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3.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Ex1.xml" ContentType="application/vnd.ms-office.chartex+xml"/>
  <Override PartName="/xl/charts/style9.xml" ContentType="application/vnd.ms-office.chartstyle+xml"/>
  <Override PartName="/xl/charts/colors9.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https://d.docs.live.net/E09DB47B10B13BAF/Documents/"/>
    </mc:Choice>
  </mc:AlternateContent>
  <xr:revisionPtr revIDLastSave="2662" documentId="8_{037FC5E1-2888-441E-B27C-FD20FE6F83FA}" xr6:coauthVersionLast="47" xr6:coauthVersionMax="47" xr10:uidLastSave="{AB7478FB-2464-4173-8679-DEC08AE5888D}"/>
  <bookViews>
    <workbookView xWindow="-108" yWindow="-108" windowWidth="23256" windowHeight="12456" activeTab="3" xr2:uid="{462BE848-3A9A-4A1D-BA6A-8EED9D7B3C92}"/>
  </bookViews>
  <sheets>
    <sheet name="Detail2" sheetId="5" r:id="rId1"/>
    <sheet name="pivot" sheetId="3" r:id="rId2"/>
    <sheet name="global_finance_sales_dataset_12" sheetId="1" r:id="rId3"/>
    <sheet name="Dashboard" sheetId="2" r:id="rId4"/>
  </sheets>
  <definedNames>
    <definedName name="_xlchart.v1.0" hidden="1">pivot!$C$77:$C$80</definedName>
    <definedName name="_xlchart.v1.1" hidden="1">pivot!$D$77:$D$80</definedName>
    <definedName name="Slicer_Product_Category">#N/A</definedName>
    <definedName name="Slicer_Quarters__Date">#N/A</definedName>
    <definedName name="Slicer_Region">#N/A</definedName>
    <definedName name="Slicer_Sales_Channel">#N/A</definedName>
    <definedName name="Slicer_Years__Dat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59" i="1" l="1"/>
  <c r="L67" i="1"/>
  <c r="L123" i="1"/>
  <c r="L131" i="1"/>
  <c r="L187" i="1"/>
  <c r="L195" i="1"/>
  <c r="L251" i="1"/>
  <c r="L259" i="1"/>
  <c r="L315" i="1"/>
  <c r="L323" i="1"/>
  <c r="L379" i="1"/>
  <c r="L387" i="1"/>
  <c r="L443" i="1"/>
  <c r="L451" i="1"/>
  <c r="L507" i="1"/>
  <c r="L515" i="1"/>
  <c r="L571" i="1"/>
  <c r="L579" i="1"/>
  <c r="L635" i="1"/>
  <c r="L643" i="1"/>
  <c r="L750" i="1"/>
  <c r="L758" i="1"/>
  <c r="L822" i="1"/>
  <c r="L886" i="1"/>
  <c r="L950" i="1"/>
  <c r="L1014" i="1"/>
  <c r="L1078" i="1"/>
  <c r="L114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2" i="1"/>
  <c r="J3" i="1"/>
  <c r="L3" i="1" s="1"/>
  <c r="J4" i="1"/>
  <c r="L4" i="1" s="1"/>
  <c r="J5" i="1"/>
  <c r="L5" i="1" s="1"/>
  <c r="J6" i="1"/>
  <c r="L6" i="1" s="1"/>
  <c r="J7" i="1"/>
  <c r="L7" i="1" s="1"/>
  <c r="J8" i="1"/>
  <c r="L8" i="1" s="1"/>
  <c r="J9" i="1"/>
  <c r="L9" i="1" s="1"/>
  <c r="J10" i="1"/>
  <c r="L10" i="1" s="1"/>
  <c r="J11" i="1"/>
  <c r="L11" i="1" s="1"/>
  <c r="J12" i="1"/>
  <c r="L12" i="1" s="1"/>
  <c r="J13" i="1"/>
  <c r="L13" i="1" s="1"/>
  <c r="J14" i="1"/>
  <c r="L14" i="1" s="1"/>
  <c r="J15" i="1"/>
  <c r="L15" i="1" s="1"/>
  <c r="J16" i="1"/>
  <c r="L16" i="1" s="1"/>
  <c r="J17" i="1"/>
  <c r="L17" i="1" s="1"/>
  <c r="J18" i="1"/>
  <c r="L18" i="1" s="1"/>
  <c r="J19" i="1"/>
  <c r="L19" i="1" s="1"/>
  <c r="J20" i="1"/>
  <c r="L20" i="1" s="1"/>
  <c r="J21" i="1"/>
  <c r="L21" i="1" s="1"/>
  <c r="J22" i="1"/>
  <c r="L22" i="1" s="1"/>
  <c r="J23" i="1"/>
  <c r="L23" i="1" s="1"/>
  <c r="J24" i="1"/>
  <c r="L24" i="1" s="1"/>
  <c r="J25" i="1"/>
  <c r="L25" i="1" s="1"/>
  <c r="J26" i="1"/>
  <c r="L26" i="1" s="1"/>
  <c r="J27" i="1"/>
  <c r="L27" i="1" s="1"/>
  <c r="J28" i="1"/>
  <c r="L28" i="1" s="1"/>
  <c r="J29" i="1"/>
  <c r="L29" i="1" s="1"/>
  <c r="J30" i="1"/>
  <c r="L30" i="1" s="1"/>
  <c r="J31" i="1"/>
  <c r="L31" i="1" s="1"/>
  <c r="J32" i="1"/>
  <c r="L32" i="1" s="1"/>
  <c r="J33" i="1"/>
  <c r="L33" i="1" s="1"/>
  <c r="J34" i="1"/>
  <c r="L34" i="1" s="1"/>
  <c r="J35" i="1"/>
  <c r="L35" i="1" s="1"/>
  <c r="J36" i="1"/>
  <c r="L36" i="1" s="1"/>
  <c r="J37" i="1"/>
  <c r="L37" i="1" s="1"/>
  <c r="J38" i="1"/>
  <c r="L38" i="1" s="1"/>
  <c r="J39" i="1"/>
  <c r="L39" i="1" s="1"/>
  <c r="J40" i="1"/>
  <c r="L40" i="1" s="1"/>
  <c r="J41" i="1"/>
  <c r="L41" i="1" s="1"/>
  <c r="J42" i="1"/>
  <c r="L42" i="1" s="1"/>
  <c r="J43" i="1"/>
  <c r="L43" i="1" s="1"/>
  <c r="J44" i="1"/>
  <c r="L44" i="1" s="1"/>
  <c r="J45" i="1"/>
  <c r="L45" i="1" s="1"/>
  <c r="J46" i="1"/>
  <c r="L46" i="1" s="1"/>
  <c r="J47" i="1"/>
  <c r="L47" i="1" s="1"/>
  <c r="J48" i="1"/>
  <c r="L48" i="1" s="1"/>
  <c r="J49" i="1"/>
  <c r="L49" i="1" s="1"/>
  <c r="J50" i="1"/>
  <c r="L50" i="1" s="1"/>
  <c r="J51" i="1"/>
  <c r="L51" i="1" s="1"/>
  <c r="J52" i="1"/>
  <c r="L52" i="1" s="1"/>
  <c r="J53" i="1"/>
  <c r="L53" i="1" s="1"/>
  <c r="J54" i="1"/>
  <c r="L54" i="1" s="1"/>
  <c r="J55" i="1"/>
  <c r="L55" i="1" s="1"/>
  <c r="J56" i="1"/>
  <c r="L56" i="1" s="1"/>
  <c r="J57" i="1"/>
  <c r="L57" i="1" s="1"/>
  <c r="J58" i="1"/>
  <c r="L58" i="1" s="1"/>
  <c r="J59" i="1"/>
  <c r="J60" i="1"/>
  <c r="L60" i="1" s="1"/>
  <c r="J61" i="1"/>
  <c r="L61" i="1" s="1"/>
  <c r="J62" i="1"/>
  <c r="L62" i="1" s="1"/>
  <c r="J63" i="1"/>
  <c r="L63" i="1" s="1"/>
  <c r="J64" i="1"/>
  <c r="L64" i="1" s="1"/>
  <c r="J65" i="1"/>
  <c r="L65" i="1" s="1"/>
  <c r="J66" i="1"/>
  <c r="L66" i="1" s="1"/>
  <c r="J67" i="1"/>
  <c r="J68" i="1"/>
  <c r="L68" i="1" s="1"/>
  <c r="J69" i="1"/>
  <c r="L69" i="1" s="1"/>
  <c r="J70" i="1"/>
  <c r="L70" i="1" s="1"/>
  <c r="J71" i="1"/>
  <c r="L71" i="1" s="1"/>
  <c r="J72" i="1"/>
  <c r="L72" i="1" s="1"/>
  <c r="J73" i="1"/>
  <c r="L73" i="1" s="1"/>
  <c r="J74" i="1"/>
  <c r="L74" i="1" s="1"/>
  <c r="J75" i="1"/>
  <c r="L75" i="1" s="1"/>
  <c r="J76" i="1"/>
  <c r="L76" i="1" s="1"/>
  <c r="J77" i="1"/>
  <c r="L77" i="1" s="1"/>
  <c r="J78" i="1"/>
  <c r="L78" i="1" s="1"/>
  <c r="J79" i="1"/>
  <c r="L79" i="1" s="1"/>
  <c r="J80" i="1"/>
  <c r="L80" i="1" s="1"/>
  <c r="J81" i="1"/>
  <c r="L81" i="1" s="1"/>
  <c r="J82" i="1"/>
  <c r="L82" i="1" s="1"/>
  <c r="J83" i="1"/>
  <c r="L83" i="1" s="1"/>
  <c r="J84" i="1"/>
  <c r="L84" i="1" s="1"/>
  <c r="J85" i="1"/>
  <c r="L85" i="1" s="1"/>
  <c r="J86" i="1"/>
  <c r="L86" i="1" s="1"/>
  <c r="J87" i="1"/>
  <c r="L87" i="1" s="1"/>
  <c r="J88" i="1"/>
  <c r="L88" i="1" s="1"/>
  <c r="J89" i="1"/>
  <c r="L89" i="1" s="1"/>
  <c r="J90" i="1"/>
  <c r="L90" i="1" s="1"/>
  <c r="J91" i="1"/>
  <c r="L91" i="1" s="1"/>
  <c r="J92" i="1"/>
  <c r="L92" i="1" s="1"/>
  <c r="J93" i="1"/>
  <c r="L93" i="1" s="1"/>
  <c r="J94" i="1"/>
  <c r="L94" i="1" s="1"/>
  <c r="J95" i="1"/>
  <c r="L95" i="1" s="1"/>
  <c r="J96" i="1"/>
  <c r="L96" i="1" s="1"/>
  <c r="J97" i="1"/>
  <c r="L97" i="1" s="1"/>
  <c r="J98" i="1"/>
  <c r="L98" i="1" s="1"/>
  <c r="J99" i="1"/>
  <c r="L99" i="1" s="1"/>
  <c r="J100" i="1"/>
  <c r="L100" i="1" s="1"/>
  <c r="J101" i="1"/>
  <c r="L101" i="1" s="1"/>
  <c r="J102" i="1"/>
  <c r="L102" i="1" s="1"/>
  <c r="J103" i="1"/>
  <c r="L103" i="1" s="1"/>
  <c r="J104" i="1"/>
  <c r="L104" i="1" s="1"/>
  <c r="J105" i="1"/>
  <c r="L105" i="1" s="1"/>
  <c r="J106" i="1"/>
  <c r="L106" i="1" s="1"/>
  <c r="J107" i="1"/>
  <c r="L107" i="1" s="1"/>
  <c r="J108" i="1"/>
  <c r="L108" i="1" s="1"/>
  <c r="J109" i="1"/>
  <c r="L109" i="1" s="1"/>
  <c r="J110" i="1"/>
  <c r="L110" i="1" s="1"/>
  <c r="J111" i="1"/>
  <c r="L111" i="1" s="1"/>
  <c r="J112" i="1"/>
  <c r="L112" i="1" s="1"/>
  <c r="J113" i="1"/>
  <c r="L113" i="1" s="1"/>
  <c r="J114" i="1"/>
  <c r="L114" i="1" s="1"/>
  <c r="J115" i="1"/>
  <c r="L115" i="1" s="1"/>
  <c r="J116" i="1"/>
  <c r="L116" i="1" s="1"/>
  <c r="J117" i="1"/>
  <c r="L117" i="1" s="1"/>
  <c r="J118" i="1"/>
  <c r="L118" i="1" s="1"/>
  <c r="J119" i="1"/>
  <c r="L119" i="1" s="1"/>
  <c r="J120" i="1"/>
  <c r="L120" i="1" s="1"/>
  <c r="J121" i="1"/>
  <c r="L121" i="1" s="1"/>
  <c r="J122" i="1"/>
  <c r="L122" i="1" s="1"/>
  <c r="J123" i="1"/>
  <c r="J124" i="1"/>
  <c r="L124" i="1" s="1"/>
  <c r="J125" i="1"/>
  <c r="L125" i="1" s="1"/>
  <c r="J126" i="1"/>
  <c r="L126" i="1" s="1"/>
  <c r="J127" i="1"/>
  <c r="L127" i="1" s="1"/>
  <c r="J128" i="1"/>
  <c r="L128" i="1" s="1"/>
  <c r="J129" i="1"/>
  <c r="L129" i="1" s="1"/>
  <c r="J130" i="1"/>
  <c r="L130" i="1" s="1"/>
  <c r="J131" i="1"/>
  <c r="J132" i="1"/>
  <c r="L132" i="1" s="1"/>
  <c r="J133" i="1"/>
  <c r="L133" i="1" s="1"/>
  <c r="J134" i="1"/>
  <c r="L134" i="1" s="1"/>
  <c r="J135" i="1"/>
  <c r="L135" i="1" s="1"/>
  <c r="J136" i="1"/>
  <c r="L136" i="1" s="1"/>
  <c r="J137" i="1"/>
  <c r="L137" i="1" s="1"/>
  <c r="J138" i="1"/>
  <c r="L138" i="1" s="1"/>
  <c r="J139" i="1"/>
  <c r="L139" i="1" s="1"/>
  <c r="J140" i="1"/>
  <c r="L140" i="1" s="1"/>
  <c r="J141" i="1"/>
  <c r="L141" i="1" s="1"/>
  <c r="J142" i="1"/>
  <c r="L142" i="1" s="1"/>
  <c r="J143" i="1"/>
  <c r="L143" i="1" s="1"/>
  <c r="J144" i="1"/>
  <c r="L144" i="1" s="1"/>
  <c r="J145" i="1"/>
  <c r="L145" i="1" s="1"/>
  <c r="J146" i="1"/>
  <c r="L146" i="1" s="1"/>
  <c r="J147" i="1"/>
  <c r="L147" i="1" s="1"/>
  <c r="J148" i="1"/>
  <c r="L148" i="1" s="1"/>
  <c r="J149" i="1"/>
  <c r="L149" i="1" s="1"/>
  <c r="J150" i="1"/>
  <c r="L150" i="1" s="1"/>
  <c r="J151" i="1"/>
  <c r="L151" i="1" s="1"/>
  <c r="J152" i="1"/>
  <c r="L152" i="1" s="1"/>
  <c r="J153" i="1"/>
  <c r="L153" i="1" s="1"/>
  <c r="J154" i="1"/>
  <c r="L154" i="1" s="1"/>
  <c r="J155" i="1"/>
  <c r="L155" i="1" s="1"/>
  <c r="J156" i="1"/>
  <c r="L156" i="1" s="1"/>
  <c r="J157" i="1"/>
  <c r="L157" i="1" s="1"/>
  <c r="J158" i="1"/>
  <c r="L158" i="1" s="1"/>
  <c r="J159" i="1"/>
  <c r="L159" i="1" s="1"/>
  <c r="J160" i="1"/>
  <c r="L160" i="1" s="1"/>
  <c r="J161" i="1"/>
  <c r="L161" i="1" s="1"/>
  <c r="J162" i="1"/>
  <c r="L162" i="1" s="1"/>
  <c r="J163" i="1"/>
  <c r="L163" i="1" s="1"/>
  <c r="J164" i="1"/>
  <c r="L164" i="1" s="1"/>
  <c r="J165" i="1"/>
  <c r="L165" i="1" s="1"/>
  <c r="J166" i="1"/>
  <c r="L166" i="1" s="1"/>
  <c r="J167" i="1"/>
  <c r="L167" i="1" s="1"/>
  <c r="J168" i="1"/>
  <c r="L168" i="1" s="1"/>
  <c r="J169" i="1"/>
  <c r="L169" i="1" s="1"/>
  <c r="J170" i="1"/>
  <c r="L170" i="1" s="1"/>
  <c r="J171" i="1"/>
  <c r="L171" i="1" s="1"/>
  <c r="J172" i="1"/>
  <c r="L172" i="1" s="1"/>
  <c r="J173" i="1"/>
  <c r="L173" i="1" s="1"/>
  <c r="J174" i="1"/>
  <c r="L174" i="1" s="1"/>
  <c r="J175" i="1"/>
  <c r="L175" i="1" s="1"/>
  <c r="J176" i="1"/>
  <c r="L176" i="1" s="1"/>
  <c r="J177" i="1"/>
  <c r="L177" i="1" s="1"/>
  <c r="J178" i="1"/>
  <c r="L178" i="1" s="1"/>
  <c r="J179" i="1"/>
  <c r="L179" i="1" s="1"/>
  <c r="J180" i="1"/>
  <c r="L180" i="1" s="1"/>
  <c r="J181" i="1"/>
  <c r="L181" i="1" s="1"/>
  <c r="J182" i="1"/>
  <c r="L182" i="1" s="1"/>
  <c r="J183" i="1"/>
  <c r="L183" i="1" s="1"/>
  <c r="J184" i="1"/>
  <c r="L184" i="1" s="1"/>
  <c r="J185" i="1"/>
  <c r="L185" i="1" s="1"/>
  <c r="J186" i="1"/>
  <c r="L186" i="1" s="1"/>
  <c r="J187" i="1"/>
  <c r="J188" i="1"/>
  <c r="L188" i="1" s="1"/>
  <c r="J189" i="1"/>
  <c r="L189" i="1" s="1"/>
  <c r="J190" i="1"/>
  <c r="L190" i="1" s="1"/>
  <c r="J191" i="1"/>
  <c r="L191" i="1" s="1"/>
  <c r="J192" i="1"/>
  <c r="L192" i="1" s="1"/>
  <c r="J193" i="1"/>
  <c r="L193" i="1" s="1"/>
  <c r="J194" i="1"/>
  <c r="L194" i="1" s="1"/>
  <c r="J195" i="1"/>
  <c r="J196" i="1"/>
  <c r="L196" i="1" s="1"/>
  <c r="J197" i="1"/>
  <c r="L197" i="1" s="1"/>
  <c r="J198" i="1"/>
  <c r="L198" i="1" s="1"/>
  <c r="J199" i="1"/>
  <c r="L199" i="1" s="1"/>
  <c r="J200" i="1"/>
  <c r="L200" i="1" s="1"/>
  <c r="J201" i="1"/>
  <c r="L201" i="1" s="1"/>
  <c r="J202" i="1"/>
  <c r="L202" i="1" s="1"/>
  <c r="J203" i="1"/>
  <c r="L203" i="1" s="1"/>
  <c r="J204" i="1"/>
  <c r="L204" i="1" s="1"/>
  <c r="J205" i="1"/>
  <c r="L205" i="1" s="1"/>
  <c r="J206" i="1"/>
  <c r="L206" i="1" s="1"/>
  <c r="J207" i="1"/>
  <c r="L207" i="1" s="1"/>
  <c r="J208" i="1"/>
  <c r="L208" i="1" s="1"/>
  <c r="J209" i="1"/>
  <c r="L209" i="1" s="1"/>
  <c r="J210" i="1"/>
  <c r="L210" i="1" s="1"/>
  <c r="J211" i="1"/>
  <c r="L211" i="1" s="1"/>
  <c r="J212" i="1"/>
  <c r="L212" i="1" s="1"/>
  <c r="J213" i="1"/>
  <c r="L213" i="1" s="1"/>
  <c r="J214" i="1"/>
  <c r="L214" i="1" s="1"/>
  <c r="J215" i="1"/>
  <c r="L215" i="1" s="1"/>
  <c r="J216" i="1"/>
  <c r="L216" i="1" s="1"/>
  <c r="J217" i="1"/>
  <c r="L217" i="1" s="1"/>
  <c r="J218" i="1"/>
  <c r="L218" i="1" s="1"/>
  <c r="J219" i="1"/>
  <c r="L219" i="1" s="1"/>
  <c r="J220" i="1"/>
  <c r="L220" i="1" s="1"/>
  <c r="J221" i="1"/>
  <c r="L221" i="1" s="1"/>
  <c r="J222" i="1"/>
  <c r="L222" i="1" s="1"/>
  <c r="J223" i="1"/>
  <c r="L223" i="1" s="1"/>
  <c r="J224" i="1"/>
  <c r="L224" i="1" s="1"/>
  <c r="J225" i="1"/>
  <c r="L225" i="1" s="1"/>
  <c r="J226" i="1"/>
  <c r="L226" i="1" s="1"/>
  <c r="J227" i="1"/>
  <c r="L227" i="1" s="1"/>
  <c r="J228" i="1"/>
  <c r="L228" i="1" s="1"/>
  <c r="J229" i="1"/>
  <c r="L229" i="1" s="1"/>
  <c r="J230" i="1"/>
  <c r="L230" i="1" s="1"/>
  <c r="J231" i="1"/>
  <c r="L231" i="1" s="1"/>
  <c r="J232" i="1"/>
  <c r="L232" i="1" s="1"/>
  <c r="J233" i="1"/>
  <c r="L233" i="1" s="1"/>
  <c r="J234" i="1"/>
  <c r="L234" i="1" s="1"/>
  <c r="J235" i="1"/>
  <c r="L235" i="1" s="1"/>
  <c r="J236" i="1"/>
  <c r="L236" i="1" s="1"/>
  <c r="J237" i="1"/>
  <c r="L237" i="1" s="1"/>
  <c r="J238" i="1"/>
  <c r="L238" i="1" s="1"/>
  <c r="J239" i="1"/>
  <c r="L239" i="1" s="1"/>
  <c r="J240" i="1"/>
  <c r="L240" i="1" s="1"/>
  <c r="J241" i="1"/>
  <c r="L241" i="1" s="1"/>
  <c r="J242" i="1"/>
  <c r="L242" i="1" s="1"/>
  <c r="J243" i="1"/>
  <c r="L243" i="1" s="1"/>
  <c r="J244" i="1"/>
  <c r="L244" i="1" s="1"/>
  <c r="J245" i="1"/>
  <c r="L245" i="1" s="1"/>
  <c r="J246" i="1"/>
  <c r="L246" i="1" s="1"/>
  <c r="J247" i="1"/>
  <c r="L247" i="1" s="1"/>
  <c r="J248" i="1"/>
  <c r="L248" i="1" s="1"/>
  <c r="J249" i="1"/>
  <c r="L249" i="1" s="1"/>
  <c r="J250" i="1"/>
  <c r="L250" i="1" s="1"/>
  <c r="J251" i="1"/>
  <c r="J252" i="1"/>
  <c r="L252" i="1" s="1"/>
  <c r="J253" i="1"/>
  <c r="L253" i="1" s="1"/>
  <c r="J254" i="1"/>
  <c r="L254" i="1" s="1"/>
  <c r="J255" i="1"/>
  <c r="L255" i="1" s="1"/>
  <c r="J256" i="1"/>
  <c r="L256" i="1" s="1"/>
  <c r="J257" i="1"/>
  <c r="L257" i="1" s="1"/>
  <c r="J258" i="1"/>
  <c r="L258" i="1" s="1"/>
  <c r="J259" i="1"/>
  <c r="J260" i="1"/>
  <c r="L260" i="1" s="1"/>
  <c r="J261" i="1"/>
  <c r="L261" i="1" s="1"/>
  <c r="J262" i="1"/>
  <c r="L262" i="1" s="1"/>
  <c r="J263" i="1"/>
  <c r="L263" i="1" s="1"/>
  <c r="J264" i="1"/>
  <c r="L264" i="1" s="1"/>
  <c r="J265" i="1"/>
  <c r="L265" i="1" s="1"/>
  <c r="J266" i="1"/>
  <c r="L266" i="1" s="1"/>
  <c r="J267" i="1"/>
  <c r="L267" i="1" s="1"/>
  <c r="J268" i="1"/>
  <c r="L268" i="1" s="1"/>
  <c r="J269" i="1"/>
  <c r="L269" i="1" s="1"/>
  <c r="J270" i="1"/>
  <c r="L270" i="1" s="1"/>
  <c r="J271" i="1"/>
  <c r="L271" i="1" s="1"/>
  <c r="J272" i="1"/>
  <c r="L272" i="1" s="1"/>
  <c r="J273" i="1"/>
  <c r="L273" i="1" s="1"/>
  <c r="J274" i="1"/>
  <c r="L274" i="1" s="1"/>
  <c r="J275" i="1"/>
  <c r="L275" i="1" s="1"/>
  <c r="J276" i="1"/>
  <c r="L276" i="1" s="1"/>
  <c r="J277" i="1"/>
  <c r="L277" i="1" s="1"/>
  <c r="J278" i="1"/>
  <c r="L278" i="1" s="1"/>
  <c r="J279" i="1"/>
  <c r="L279" i="1" s="1"/>
  <c r="J280" i="1"/>
  <c r="L280" i="1" s="1"/>
  <c r="J281" i="1"/>
  <c r="L281" i="1" s="1"/>
  <c r="J282" i="1"/>
  <c r="L282" i="1" s="1"/>
  <c r="J283" i="1"/>
  <c r="L283" i="1" s="1"/>
  <c r="J284" i="1"/>
  <c r="L284" i="1" s="1"/>
  <c r="J285" i="1"/>
  <c r="L285" i="1" s="1"/>
  <c r="J286" i="1"/>
  <c r="L286" i="1" s="1"/>
  <c r="J287" i="1"/>
  <c r="L287" i="1" s="1"/>
  <c r="J288" i="1"/>
  <c r="L288" i="1" s="1"/>
  <c r="J289" i="1"/>
  <c r="L289" i="1" s="1"/>
  <c r="J290" i="1"/>
  <c r="L290" i="1" s="1"/>
  <c r="J291" i="1"/>
  <c r="L291" i="1" s="1"/>
  <c r="J292" i="1"/>
  <c r="L292" i="1" s="1"/>
  <c r="J293" i="1"/>
  <c r="L293" i="1" s="1"/>
  <c r="J294" i="1"/>
  <c r="L294" i="1" s="1"/>
  <c r="J295" i="1"/>
  <c r="L295" i="1" s="1"/>
  <c r="J296" i="1"/>
  <c r="L296" i="1" s="1"/>
  <c r="J297" i="1"/>
  <c r="L297" i="1" s="1"/>
  <c r="J298" i="1"/>
  <c r="L298" i="1" s="1"/>
  <c r="J299" i="1"/>
  <c r="L299" i="1" s="1"/>
  <c r="J300" i="1"/>
  <c r="L300" i="1" s="1"/>
  <c r="J301" i="1"/>
  <c r="L301" i="1" s="1"/>
  <c r="J302" i="1"/>
  <c r="L302" i="1" s="1"/>
  <c r="J303" i="1"/>
  <c r="L303" i="1" s="1"/>
  <c r="J304" i="1"/>
  <c r="L304" i="1" s="1"/>
  <c r="J305" i="1"/>
  <c r="L305" i="1" s="1"/>
  <c r="J306" i="1"/>
  <c r="L306" i="1" s="1"/>
  <c r="J307" i="1"/>
  <c r="L307" i="1" s="1"/>
  <c r="J308" i="1"/>
  <c r="L308" i="1" s="1"/>
  <c r="J309" i="1"/>
  <c r="L309" i="1" s="1"/>
  <c r="J310" i="1"/>
  <c r="L310" i="1" s="1"/>
  <c r="J311" i="1"/>
  <c r="L311" i="1" s="1"/>
  <c r="J312" i="1"/>
  <c r="L312" i="1" s="1"/>
  <c r="J313" i="1"/>
  <c r="L313" i="1" s="1"/>
  <c r="J314" i="1"/>
  <c r="L314" i="1" s="1"/>
  <c r="J315" i="1"/>
  <c r="J316" i="1"/>
  <c r="L316" i="1" s="1"/>
  <c r="J317" i="1"/>
  <c r="L317" i="1" s="1"/>
  <c r="J318" i="1"/>
  <c r="L318" i="1" s="1"/>
  <c r="J319" i="1"/>
  <c r="L319" i="1" s="1"/>
  <c r="J320" i="1"/>
  <c r="L320" i="1" s="1"/>
  <c r="J321" i="1"/>
  <c r="L321" i="1" s="1"/>
  <c r="J322" i="1"/>
  <c r="L322" i="1" s="1"/>
  <c r="J323" i="1"/>
  <c r="J324" i="1"/>
  <c r="L324" i="1" s="1"/>
  <c r="J325" i="1"/>
  <c r="L325" i="1" s="1"/>
  <c r="J326" i="1"/>
  <c r="L326" i="1" s="1"/>
  <c r="J327" i="1"/>
  <c r="L327" i="1" s="1"/>
  <c r="J328" i="1"/>
  <c r="L328" i="1" s="1"/>
  <c r="J329" i="1"/>
  <c r="L329" i="1" s="1"/>
  <c r="J330" i="1"/>
  <c r="L330" i="1" s="1"/>
  <c r="J331" i="1"/>
  <c r="L331" i="1" s="1"/>
  <c r="J332" i="1"/>
  <c r="L332" i="1" s="1"/>
  <c r="J333" i="1"/>
  <c r="L333" i="1" s="1"/>
  <c r="J334" i="1"/>
  <c r="L334" i="1" s="1"/>
  <c r="J335" i="1"/>
  <c r="L335" i="1" s="1"/>
  <c r="J336" i="1"/>
  <c r="L336" i="1" s="1"/>
  <c r="J337" i="1"/>
  <c r="L337" i="1" s="1"/>
  <c r="J338" i="1"/>
  <c r="L338" i="1" s="1"/>
  <c r="J339" i="1"/>
  <c r="L339" i="1" s="1"/>
  <c r="J340" i="1"/>
  <c r="L340" i="1" s="1"/>
  <c r="J341" i="1"/>
  <c r="L341" i="1" s="1"/>
  <c r="J342" i="1"/>
  <c r="L342" i="1" s="1"/>
  <c r="J343" i="1"/>
  <c r="L343" i="1" s="1"/>
  <c r="J344" i="1"/>
  <c r="L344" i="1" s="1"/>
  <c r="J345" i="1"/>
  <c r="L345" i="1" s="1"/>
  <c r="J346" i="1"/>
  <c r="L346" i="1" s="1"/>
  <c r="J347" i="1"/>
  <c r="L347" i="1" s="1"/>
  <c r="J348" i="1"/>
  <c r="L348" i="1" s="1"/>
  <c r="J349" i="1"/>
  <c r="L349" i="1" s="1"/>
  <c r="J350" i="1"/>
  <c r="L350" i="1" s="1"/>
  <c r="J351" i="1"/>
  <c r="L351" i="1" s="1"/>
  <c r="J352" i="1"/>
  <c r="L352" i="1" s="1"/>
  <c r="J353" i="1"/>
  <c r="L353" i="1" s="1"/>
  <c r="J354" i="1"/>
  <c r="L354" i="1" s="1"/>
  <c r="J355" i="1"/>
  <c r="L355" i="1" s="1"/>
  <c r="J356" i="1"/>
  <c r="L356" i="1" s="1"/>
  <c r="J357" i="1"/>
  <c r="L357" i="1" s="1"/>
  <c r="J358" i="1"/>
  <c r="L358" i="1" s="1"/>
  <c r="J359" i="1"/>
  <c r="L359" i="1" s="1"/>
  <c r="J360" i="1"/>
  <c r="L360" i="1" s="1"/>
  <c r="J361" i="1"/>
  <c r="L361" i="1" s="1"/>
  <c r="J362" i="1"/>
  <c r="L362" i="1" s="1"/>
  <c r="J363" i="1"/>
  <c r="L363" i="1" s="1"/>
  <c r="J364" i="1"/>
  <c r="L364" i="1" s="1"/>
  <c r="J365" i="1"/>
  <c r="L365" i="1" s="1"/>
  <c r="J366" i="1"/>
  <c r="L366" i="1" s="1"/>
  <c r="J367" i="1"/>
  <c r="L367" i="1" s="1"/>
  <c r="J368" i="1"/>
  <c r="L368" i="1" s="1"/>
  <c r="J369" i="1"/>
  <c r="L369" i="1" s="1"/>
  <c r="J370" i="1"/>
  <c r="L370" i="1" s="1"/>
  <c r="J371" i="1"/>
  <c r="L371" i="1" s="1"/>
  <c r="J372" i="1"/>
  <c r="L372" i="1" s="1"/>
  <c r="J373" i="1"/>
  <c r="L373" i="1" s="1"/>
  <c r="J374" i="1"/>
  <c r="L374" i="1" s="1"/>
  <c r="J375" i="1"/>
  <c r="L375" i="1" s="1"/>
  <c r="J376" i="1"/>
  <c r="L376" i="1" s="1"/>
  <c r="J377" i="1"/>
  <c r="L377" i="1" s="1"/>
  <c r="J378" i="1"/>
  <c r="L378" i="1" s="1"/>
  <c r="J379" i="1"/>
  <c r="J380" i="1"/>
  <c r="L380" i="1" s="1"/>
  <c r="J381" i="1"/>
  <c r="L381" i="1" s="1"/>
  <c r="J382" i="1"/>
  <c r="L382" i="1" s="1"/>
  <c r="J383" i="1"/>
  <c r="L383" i="1" s="1"/>
  <c r="J384" i="1"/>
  <c r="L384" i="1" s="1"/>
  <c r="J385" i="1"/>
  <c r="L385" i="1" s="1"/>
  <c r="J386" i="1"/>
  <c r="L386" i="1" s="1"/>
  <c r="J387" i="1"/>
  <c r="J388" i="1"/>
  <c r="L388" i="1" s="1"/>
  <c r="J389" i="1"/>
  <c r="L389" i="1" s="1"/>
  <c r="J390" i="1"/>
  <c r="L390" i="1" s="1"/>
  <c r="J391" i="1"/>
  <c r="L391" i="1" s="1"/>
  <c r="J392" i="1"/>
  <c r="L392" i="1" s="1"/>
  <c r="J393" i="1"/>
  <c r="L393" i="1" s="1"/>
  <c r="J394" i="1"/>
  <c r="L394" i="1" s="1"/>
  <c r="J395" i="1"/>
  <c r="L395" i="1" s="1"/>
  <c r="J396" i="1"/>
  <c r="L396" i="1" s="1"/>
  <c r="J397" i="1"/>
  <c r="L397" i="1" s="1"/>
  <c r="J398" i="1"/>
  <c r="L398" i="1" s="1"/>
  <c r="J399" i="1"/>
  <c r="L399" i="1" s="1"/>
  <c r="J400" i="1"/>
  <c r="L400" i="1" s="1"/>
  <c r="J401" i="1"/>
  <c r="L401" i="1" s="1"/>
  <c r="J402" i="1"/>
  <c r="L402" i="1" s="1"/>
  <c r="J403" i="1"/>
  <c r="L403" i="1" s="1"/>
  <c r="J404" i="1"/>
  <c r="L404" i="1" s="1"/>
  <c r="J405" i="1"/>
  <c r="L405" i="1" s="1"/>
  <c r="J406" i="1"/>
  <c r="L406" i="1" s="1"/>
  <c r="J407" i="1"/>
  <c r="L407" i="1" s="1"/>
  <c r="J408" i="1"/>
  <c r="L408" i="1" s="1"/>
  <c r="J409" i="1"/>
  <c r="L409" i="1" s="1"/>
  <c r="J410" i="1"/>
  <c r="L410" i="1" s="1"/>
  <c r="J411" i="1"/>
  <c r="L411" i="1" s="1"/>
  <c r="J412" i="1"/>
  <c r="L412" i="1" s="1"/>
  <c r="J413" i="1"/>
  <c r="L413" i="1" s="1"/>
  <c r="J414" i="1"/>
  <c r="L414" i="1" s="1"/>
  <c r="J415" i="1"/>
  <c r="L415" i="1" s="1"/>
  <c r="J416" i="1"/>
  <c r="L416" i="1" s="1"/>
  <c r="J417" i="1"/>
  <c r="L417" i="1" s="1"/>
  <c r="J418" i="1"/>
  <c r="L418" i="1" s="1"/>
  <c r="J419" i="1"/>
  <c r="L419" i="1" s="1"/>
  <c r="J420" i="1"/>
  <c r="L420" i="1" s="1"/>
  <c r="J421" i="1"/>
  <c r="L421" i="1" s="1"/>
  <c r="J422" i="1"/>
  <c r="L422" i="1" s="1"/>
  <c r="J423" i="1"/>
  <c r="L423" i="1" s="1"/>
  <c r="J424" i="1"/>
  <c r="L424" i="1" s="1"/>
  <c r="J425" i="1"/>
  <c r="L425" i="1" s="1"/>
  <c r="J426" i="1"/>
  <c r="L426" i="1" s="1"/>
  <c r="J427" i="1"/>
  <c r="L427" i="1" s="1"/>
  <c r="J428" i="1"/>
  <c r="L428" i="1" s="1"/>
  <c r="J429" i="1"/>
  <c r="L429" i="1" s="1"/>
  <c r="J430" i="1"/>
  <c r="L430" i="1" s="1"/>
  <c r="J431" i="1"/>
  <c r="L431" i="1" s="1"/>
  <c r="J432" i="1"/>
  <c r="L432" i="1" s="1"/>
  <c r="J433" i="1"/>
  <c r="L433" i="1" s="1"/>
  <c r="J434" i="1"/>
  <c r="L434" i="1" s="1"/>
  <c r="J435" i="1"/>
  <c r="L435" i="1" s="1"/>
  <c r="J436" i="1"/>
  <c r="L436" i="1" s="1"/>
  <c r="J437" i="1"/>
  <c r="L437" i="1" s="1"/>
  <c r="J438" i="1"/>
  <c r="L438" i="1" s="1"/>
  <c r="J439" i="1"/>
  <c r="L439" i="1" s="1"/>
  <c r="J440" i="1"/>
  <c r="L440" i="1" s="1"/>
  <c r="J441" i="1"/>
  <c r="L441" i="1" s="1"/>
  <c r="J442" i="1"/>
  <c r="L442" i="1" s="1"/>
  <c r="J443" i="1"/>
  <c r="J444" i="1"/>
  <c r="L444" i="1" s="1"/>
  <c r="J445" i="1"/>
  <c r="L445" i="1" s="1"/>
  <c r="J446" i="1"/>
  <c r="L446" i="1" s="1"/>
  <c r="J447" i="1"/>
  <c r="L447" i="1" s="1"/>
  <c r="J448" i="1"/>
  <c r="L448" i="1" s="1"/>
  <c r="J449" i="1"/>
  <c r="L449" i="1" s="1"/>
  <c r="J450" i="1"/>
  <c r="L450" i="1" s="1"/>
  <c r="J451" i="1"/>
  <c r="J452" i="1"/>
  <c r="L452" i="1" s="1"/>
  <c r="J453" i="1"/>
  <c r="L453" i="1" s="1"/>
  <c r="J454" i="1"/>
  <c r="L454" i="1" s="1"/>
  <c r="J455" i="1"/>
  <c r="L455" i="1" s="1"/>
  <c r="J456" i="1"/>
  <c r="L456" i="1" s="1"/>
  <c r="J457" i="1"/>
  <c r="L457" i="1" s="1"/>
  <c r="J458" i="1"/>
  <c r="L458" i="1" s="1"/>
  <c r="J459" i="1"/>
  <c r="L459" i="1" s="1"/>
  <c r="J460" i="1"/>
  <c r="L460" i="1" s="1"/>
  <c r="J461" i="1"/>
  <c r="L461" i="1" s="1"/>
  <c r="J462" i="1"/>
  <c r="L462" i="1" s="1"/>
  <c r="J463" i="1"/>
  <c r="L463" i="1" s="1"/>
  <c r="J464" i="1"/>
  <c r="L464" i="1" s="1"/>
  <c r="J465" i="1"/>
  <c r="L465" i="1" s="1"/>
  <c r="J466" i="1"/>
  <c r="L466" i="1" s="1"/>
  <c r="J467" i="1"/>
  <c r="L467" i="1" s="1"/>
  <c r="J468" i="1"/>
  <c r="L468" i="1" s="1"/>
  <c r="J469" i="1"/>
  <c r="L469" i="1" s="1"/>
  <c r="J470" i="1"/>
  <c r="L470" i="1" s="1"/>
  <c r="J471" i="1"/>
  <c r="L471" i="1" s="1"/>
  <c r="J472" i="1"/>
  <c r="L472" i="1" s="1"/>
  <c r="J473" i="1"/>
  <c r="L473" i="1" s="1"/>
  <c r="J474" i="1"/>
  <c r="L474" i="1" s="1"/>
  <c r="J475" i="1"/>
  <c r="L475" i="1" s="1"/>
  <c r="J476" i="1"/>
  <c r="L476" i="1" s="1"/>
  <c r="J477" i="1"/>
  <c r="L477" i="1" s="1"/>
  <c r="J478" i="1"/>
  <c r="L478" i="1" s="1"/>
  <c r="J479" i="1"/>
  <c r="L479" i="1" s="1"/>
  <c r="J480" i="1"/>
  <c r="L480" i="1" s="1"/>
  <c r="J481" i="1"/>
  <c r="L481" i="1" s="1"/>
  <c r="J482" i="1"/>
  <c r="L482" i="1" s="1"/>
  <c r="J483" i="1"/>
  <c r="L483" i="1" s="1"/>
  <c r="J484" i="1"/>
  <c r="L484" i="1" s="1"/>
  <c r="J485" i="1"/>
  <c r="L485" i="1" s="1"/>
  <c r="J486" i="1"/>
  <c r="L486" i="1" s="1"/>
  <c r="J487" i="1"/>
  <c r="L487" i="1" s="1"/>
  <c r="J488" i="1"/>
  <c r="L488" i="1" s="1"/>
  <c r="J489" i="1"/>
  <c r="L489" i="1" s="1"/>
  <c r="J490" i="1"/>
  <c r="L490" i="1" s="1"/>
  <c r="J491" i="1"/>
  <c r="L491" i="1" s="1"/>
  <c r="J492" i="1"/>
  <c r="L492" i="1" s="1"/>
  <c r="J493" i="1"/>
  <c r="L493" i="1" s="1"/>
  <c r="J494" i="1"/>
  <c r="L494" i="1" s="1"/>
  <c r="J495" i="1"/>
  <c r="L495" i="1" s="1"/>
  <c r="J496" i="1"/>
  <c r="L496" i="1" s="1"/>
  <c r="J497" i="1"/>
  <c r="L497" i="1" s="1"/>
  <c r="J498" i="1"/>
  <c r="L498" i="1" s="1"/>
  <c r="J499" i="1"/>
  <c r="L499" i="1" s="1"/>
  <c r="J500" i="1"/>
  <c r="L500" i="1" s="1"/>
  <c r="J501" i="1"/>
  <c r="L501" i="1" s="1"/>
  <c r="J502" i="1"/>
  <c r="L502" i="1" s="1"/>
  <c r="J503" i="1"/>
  <c r="L503" i="1" s="1"/>
  <c r="J504" i="1"/>
  <c r="L504" i="1" s="1"/>
  <c r="J505" i="1"/>
  <c r="L505" i="1" s="1"/>
  <c r="J506" i="1"/>
  <c r="L506" i="1" s="1"/>
  <c r="J507" i="1"/>
  <c r="J508" i="1"/>
  <c r="L508" i="1" s="1"/>
  <c r="J509" i="1"/>
  <c r="L509" i="1" s="1"/>
  <c r="J510" i="1"/>
  <c r="L510" i="1" s="1"/>
  <c r="J511" i="1"/>
  <c r="L511" i="1" s="1"/>
  <c r="J512" i="1"/>
  <c r="L512" i="1" s="1"/>
  <c r="J513" i="1"/>
  <c r="L513" i="1" s="1"/>
  <c r="J514" i="1"/>
  <c r="L514" i="1" s="1"/>
  <c r="J515" i="1"/>
  <c r="J516" i="1"/>
  <c r="L516" i="1" s="1"/>
  <c r="J517" i="1"/>
  <c r="L517" i="1" s="1"/>
  <c r="J518" i="1"/>
  <c r="L518" i="1" s="1"/>
  <c r="J519" i="1"/>
  <c r="L519" i="1" s="1"/>
  <c r="J520" i="1"/>
  <c r="L520" i="1" s="1"/>
  <c r="J521" i="1"/>
  <c r="L521" i="1" s="1"/>
  <c r="J522" i="1"/>
  <c r="L522" i="1" s="1"/>
  <c r="J523" i="1"/>
  <c r="L523" i="1" s="1"/>
  <c r="J524" i="1"/>
  <c r="L524" i="1" s="1"/>
  <c r="J525" i="1"/>
  <c r="L525" i="1" s="1"/>
  <c r="J526" i="1"/>
  <c r="L526" i="1" s="1"/>
  <c r="J527" i="1"/>
  <c r="L527" i="1" s="1"/>
  <c r="J528" i="1"/>
  <c r="L528" i="1" s="1"/>
  <c r="J529" i="1"/>
  <c r="L529" i="1" s="1"/>
  <c r="J530" i="1"/>
  <c r="L530" i="1" s="1"/>
  <c r="J531" i="1"/>
  <c r="L531" i="1" s="1"/>
  <c r="J532" i="1"/>
  <c r="L532" i="1" s="1"/>
  <c r="J533" i="1"/>
  <c r="L533" i="1" s="1"/>
  <c r="J534" i="1"/>
  <c r="L534" i="1" s="1"/>
  <c r="J535" i="1"/>
  <c r="L535" i="1" s="1"/>
  <c r="J536" i="1"/>
  <c r="L536" i="1" s="1"/>
  <c r="J537" i="1"/>
  <c r="L537" i="1" s="1"/>
  <c r="J538" i="1"/>
  <c r="L538" i="1" s="1"/>
  <c r="J539" i="1"/>
  <c r="L539" i="1" s="1"/>
  <c r="J540" i="1"/>
  <c r="L540" i="1" s="1"/>
  <c r="J541" i="1"/>
  <c r="L541" i="1" s="1"/>
  <c r="J542" i="1"/>
  <c r="L542" i="1" s="1"/>
  <c r="J543" i="1"/>
  <c r="L543" i="1" s="1"/>
  <c r="J544" i="1"/>
  <c r="L544" i="1" s="1"/>
  <c r="J545" i="1"/>
  <c r="L545" i="1" s="1"/>
  <c r="J546" i="1"/>
  <c r="L546" i="1" s="1"/>
  <c r="J547" i="1"/>
  <c r="L547" i="1" s="1"/>
  <c r="J548" i="1"/>
  <c r="L548" i="1" s="1"/>
  <c r="J549" i="1"/>
  <c r="L549" i="1" s="1"/>
  <c r="J550" i="1"/>
  <c r="L550" i="1" s="1"/>
  <c r="J551" i="1"/>
  <c r="L551" i="1" s="1"/>
  <c r="J552" i="1"/>
  <c r="L552" i="1" s="1"/>
  <c r="J553" i="1"/>
  <c r="L553" i="1" s="1"/>
  <c r="J554" i="1"/>
  <c r="L554" i="1" s="1"/>
  <c r="J555" i="1"/>
  <c r="L555" i="1" s="1"/>
  <c r="J556" i="1"/>
  <c r="L556" i="1" s="1"/>
  <c r="J557" i="1"/>
  <c r="L557" i="1" s="1"/>
  <c r="J558" i="1"/>
  <c r="L558" i="1" s="1"/>
  <c r="J559" i="1"/>
  <c r="L559" i="1" s="1"/>
  <c r="J560" i="1"/>
  <c r="L560" i="1" s="1"/>
  <c r="J561" i="1"/>
  <c r="L561" i="1" s="1"/>
  <c r="J562" i="1"/>
  <c r="L562" i="1" s="1"/>
  <c r="J563" i="1"/>
  <c r="L563" i="1" s="1"/>
  <c r="J564" i="1"/>
  <c r="L564" i="1" s="1"/>
  <c r="J565" i="1"/>
  <c r="L565" i="1" s="1"/>
  <c r="J566" i="1"/>
  <c r="L566" i="1" s="1"/>
  <c r="J567" i="1"/>
  <c r="L567" i="1" s="1"/>
  <c r="J568" i="1"/>
  <c r="L568" i="1" s="1"/>
  <c r="J569" i="1"/>
  <c r="L569" i="1" s="1"/>
  <c r="J570" i="1"/>
  <c r="L570" i="1" s="1"/>
  <c r="J571" i="1"/>
  <c r="J572" i="1"/>
  <c r="L572" i="1" s="1"/>
  <c r="J573" i="1"/>
  <c r="L573" i="1" s="1"/>
  <c r="J574" i="1"/>
  <c r="L574" i="1" s="1"/>
  <c r="J575" i="1"/>
  <c r="L575" i="1" s="1"/>
  <c r="J576" i="1"/>
  <c r="L576" i="1" s="1"/>
  <c r="J577" i="1"/>
  <c r="L577" i="1" s="1"/>
  <c r="J578" i="1"/>
  <c r="L578" i="1" s="1"/>
  <c r="J579" i="1"/>
  <c r="J580" i="1"/>
  <c r="L580" i="1" s="1"/>
  <c r="J581" i="1"/>
  <c r="L581" i="1" s="1"/>
  <c r="J582" i="1"/>
  <c r="L582" i="1" s="1"/>
  <c r="J583" i="1"/>
  <c r="L583" i="1" s="1"/>
  <c r="J584" i="1"/>
  <c r="L584" i="1" s="1"/>
  <c r="J585" i="1"/>
  <c r="L585" i="1" s="1"/>
  <c r="J586" i="1"/>
  <c r="L586" i="1" s="1"/>
  <c r="J587" i="1"/>
  <c r="L587" i="1" s="1"/>
  <c r="J588" i="1"/>
  <c r="L588" i="1" s="1"/>
  <c r="J589" i="1"/>
  <c r="L589" i="1" s="1"/>
  <c r="J590" i="1"/>
  <c r="L590" i="1" s="1"/>
  <c r="J591" i="1"/>
  <c r="L591" i="1" s="1"/>
  <c r="J592" i="1"/>
  <c r="L592" i="1" s="1"/>
  <c r="J593" i="1"/>
  <c r="L593" i="1" s="1"/>
  <c r="J594" i="1"/>
  <c r="L594" i="1" s="1"/>
  <c r="J595" i="1"/>
  <c r="L595" i="1" s="1"/>
  <c r="J596" i="1"/>
  <c r="L596" i="1" s="1"/>
  <c r="J597" i="1"/>
  <c r="L597" i="1" s="1"/>
  <c r="J598" i="1"/>
  <c r="L598" i="1" s="1"/>
  <c r="J599" i="1"/>
  <c r="L599" i="1" s="1"/>
  <c r="J600" i="1"/>
  <c r="L600" i="1" s="1"/>
  <c r="J601" i="1"/>
  <c r="L601" i="1" s="1"/>
  <c r="J602" i="1"/>
  <c r="L602" i="1" s="1"/>
  <c r="J603" i="1"/>
  <c r="L603" i="1" s="1"/>
  <c r="J604" i="1"/>
  <c r="L604" i="1" s="1"/>
  <c r="J605" i="1"/>
  <c r="L605" i="1" s="1"/>
  <c r="J606" i="1"/>
  <c r="L606" i="1" s="1"/>
  <c r="J607" i="1"/>
  <c r="L607" i="1" s="1"/>
  <c r="J608" i="1"/>
  <c r="L608" i="1" s="1"/>
  <c r="J609" i="1"/>
  <c r="L609" i="1" s="1"/>
  <c r="J610" i="1"/>
  <c r="L610" i="1" s="1"/>
  <c r="J611" i="1"/>
  <c r="L611" i="1" s="1"/>
  <c r="J612" i="1"/>
  <c r="L612" i="1" s="1"/>
  <c r="J613" i="1"/>
  <c r="L613" i="1" s="1"/>
  <c r="J614" i="1"/>
  <c r="L614" i="1" s="1"/>
  <c r="J615" i="1"/>
  <c r="L615" i="1" s="1"/>
  <c r="J616" i="1"/>
  <c r="L616" i="1" s="1"/>
  <c r="J617" i="1"/>
  <c r="L617" i="1" s="1"/>
  <c r="J618" i="1"/>
  <c r="L618" i="1" s="1"/>
  <c r="J619" i="1"/>
  <c r="L619" i="1" s="1"/>
  <c r="J620" i="1"/>
  <c r="L620" i="1" s="1"/>
  <c r="J621" i="1"/>
  <c r="L621" i="1" s="1"/>
  <c r="J622" i="1"/>
  <c r="L622" i="1" s="1"/>
  <c r="J623" i="1"/>
  <c r="L623" i="1" s="1"/>
  <c r="J624" i="1"/>
  <c r="L624" i="1" s="1"/>
  <c r="J625" i="1"/>
  <c r="L625" i="1" s="1"/>
  <c r="J626" i="1"/>
  <c r="L626" i="1" s="1"/>
  <c r="J627" i="1"/>
  <c r="L627" i="1" s="1"/>
  <c r="J628" i="1"/>
  <c r="L628" i="1" s="1"/>
  <c r="J629" i="1"/>
  <c r="L629" i="1" s="1"/>
  <c r="J630" i="1"/>
  <c r="L630" i="1" s="1"/>
  <c r="J631" i="1"/>
  <c r="L631" i="1" s="1"/>
  <c r="J632" i="1"/>
  <c r="L632" i="1" s="1"/>
  <c r="J633" i="1"/>
  <c r="L633" i="1" s="1"/>
  <c r="J634" i="1"/>
  <c r="L634" i="1" s="1"/>
  <c r="J635" i="1"/>
  <c r="J636" i="1"/>
  <c r="L636" i="1" s="1"/>
  <c r="J637" i="1"/>
  <c r="L637" i="1" s="1"/>
  <c r="J638" i="1"/>
  <c r="L638" i="1" s="1"/>
  <c r="J639" i="1"/>
  <c r="L639" i="1" s="1"/>
  <c r="J640" i="1"/>
  <c r="L640" i="1" s="1"/>
  <c r="J641" i="1"/>
  <c r="L641" i="1" s="1"/>
  <c r="J642" i="1"/>
  <c r="L642" i="1" s="1"/>
  <c r="J643" i="1"/>
  <c r="J644" i="1"/>
  <c r="L644" i="1" s="1"/>
  <c r="J645" i="1"/>
  <c r="L645" i="1" s="1"/>
  <c r="J646" i="1"/>
  <c r="L646" i="1" s="1"/>
  <c r="J647" i="1"/>
  <c r="L647" i="1" s="1"/>
  <c r="J648" i="1"/>
  <c r="L648" i="1" s="1"/>
  <c r="J649" i="1"/>
  <c r="L649" i="1" s="1"/>
  <c r="J650" i="1"/>
  <c r="L650" i="1" s="1"/>
  <c r="J651" i="1"/>
  <c r="L651" i="1" s="1"/>
  <c r="J652" i="1"/>
  <c r="L652" i="1" s="1"/>
  <c r="J653" i="1"/>
  <c r="L653" i="1" s="1"/>
  <c r="J654" i="1"/>
  <c r="L654" i="1" s="1"/>
  <c r="J655" i="1"/>
  <c r="L655" i="1" s="1"/>
  <c r="J656" i="1"/>
  <c r="L656" i="1" s="1"/>
  <c r="J657" i="1"/>
  <c r="L657" i="1" s="1"/>
  <c r="J658" i="1"/>
  <c r="L658" i="1" s="1"/>
  <c r="J659" i="1"/>
  <c r="L659" i="1" s="1"/>
  <c r="J660" i="1"/>
  <c r="L660" i="1" s="1"/>
  <c r="J661" i="1"/>
  <c r="L661" i="1" s="1"/>
  <c r="J662" i="1"/>
  <c r="L662" i="1" s="1"/>
  <c r="J663" i="1"/>
  <c r="L663" i="1" s="1"/>
  <c r="J664" i="1"/>
  <c r="L664" i="1" s="1"/>
  <c r="J665" i="1"/>
  <c r="L665" i="1" s="1"/>
  <c r="J666" i="1"/>
  <c r="L666" i="1" s="1"/>
  <c r="J667" i="1"/>
  <c r="L667" i="1" s="1"/>
  <c r="J668" i="1"/>
  <c r="L668" i="1" s="1"/>
  <c r="J669" i="1"/>
  <c r="L669" i="1" s="1"/>
  <c r="J670" i="1"/>
  <c r="L670" i="1" s="1"/>
  <c r="J671" i="1"/>
  <c r="L671" i="1" s="1"/>
  <c r="J672" i="1"/>
  <c r="L672" i="1" s="1"/>
  <c r="J673" i="1"/>
  <c r="L673" i="1" s="1"/>
  <c r="J674" i="1"/>
  <c r="L674" i="1" s="1"/>
  <c r="J675" i="1"/>
  <c r="L675" i="1" s="1"/>
  <c r="J676" i="1"/>
  <c r="L676" i="1" s="1"/>
  <c r="J677" i="1"/>
  <c r="L677" i="1" s="1"/>
  <c r="J678" i="1"/>
  <c r="L678" i="1" s="1"/>
  <c r="J679" i="1"/>
  <c r="L679" i="1" s="1"/>
  <c r="J680" i="1"/>
  <c r="L680" i="1" s="1"/>
  <c r="J681" i="1"/>
  <c r="L681" i="1" s="1"/>
  <c r="J682" i="1"/>
  <c r="L682" i="1" s="1"/>
  <c r="J683" i="1"/>
  <c r="L683" i="1" s="1"/>
  <c r="J684" i="1"/>
  <c r="L684" i="1" s="1"/>
  <c r="J685" i="1"/>
  <c r="L685" i="1" s="1"/>
  <c r="J686" i="1"/>
  <c r="L686" i="1" s="1"/>
  <c r="J687" i="1"/>
  <c r="L687" i="1" s="1"/>
  <c r="J688" i="1"/>
  <c r="L688" i="1" s="1"/>
  <c r="J689" i="1"/>
  <c r="L689" i="1" s="1"/>
  <c r="J690" i="1"/>
  <c r="L690" i="1" s="1"/>
  <c r="J691" i="1"/>
  <c r="L691" i="1" s="1"/>
  <c r="J692" i="1"/>
  <c r="L692" i="1" s="1"/>
  <c r="J693" i="1"/>
  <c r="L693" i="1" s="1"/>
  <c r="J694" i="1"/>
  <c r="L694" i="1" s="1"/>
  <c r="J695" i="1"/>
  <c r="L695" i="1" s="1"/>
  <c r="J696" i="1"/>
  <c r="L696" i="1" s="1"/>
  <c r="J697" i="1"/>
  <c r="L697" i="1" s="1"/>
  <c r="J698" i="1"/>
  <c r="L698" i="1" s="1"/>
  <c r="J699" i="1"/>
  <c r="L699" i="1" s="1"/>
  <c r="J700" i="1"/>
  <c r="L700" i="1" s="1"/>
  <c r="J701" i="1"/>
  <c r="L701" i="1" s="1"/>
  <c r="J702" i="1"/>
  <c r="L702" i="1" s="1"/>
  <c r="J703" i="1"/>
  <c r="L703" i="1" s="1"/>
  <c r="J704" i="1"/>
  <c r="L704" i="1" s="1"/>
  <c r="J705" i="1"/>
  <c r="L705" i="1" s="1"/>
  <c r="J706" i="1"/>
  <c r="L706" i="1" s="1"/>
  <c r="J707" i="1"/>
  <c r="L707" i="1" s="1"/>
  <c r="J708" i="1"/>
  <c r="L708" i="1" s="1"/>
  <c r="J709" i="1"/>
  <c r="L709" i="1" s="1"/>
  <c r="J710" i="1"/>
  <c r="L710" i="1" s="1"/>
  <c r="J711" i="1"/>
  <c r="L711" i="1" s="1"/>
  <c r="J712" i="1"/>
  <c r="L712" i="1" s="1"/>
  <c r="J713" i="1"/>
  <c r="L713" i="1" s="1"/>
  <c r="J714" i="1"/>
  <c r="L714" i="1" s="1"/>
  <c r="J715" i="1"/>
  <c r="L715" i="1" s="1"/>
  <c r="J716" i="1"/>
  <c r="L716" i="1" s="1"/>
  <c r="J717" i="1"/>
  <c r="L717" i="1" s="1"/>
  <c r="J718" i="1"/>
  <c r="L718" i="1" s="1"/>
  <c r="J719" i="1"/>
  <c r="L719" i="1" s="1"/>
  <c r="J720" i="1"/>
  <c r="L720" i="1" s="1"/>
  <c r="J721" i="1"/>
  <c r="L721" i="1" s="1"/>
  <c r="J722" i="1"/>
  <c r="L722" i="1" s="1"/>
  <c r="J723" i="1"/>
  <c r="L723" i="1" s="1"/>
  <c r="J724" i="1"/>
  <c r="L724" i="1" s="1"/>
  <c r="J725" i="1"/>
  <c r="L725" i="1" s="1"/>
  <c r="J726" i="1"/>
  <c r="L726" i="1" s="1"/>
  <c r="J727" i="1"/>
  <c r="L727" i="1" s="1"/>
  <c r="J728" i="1"/>
  <c r="L728" i="1" s="1"/>
  <c r="J729" i="1"/>
  <c r="L729" i="1" s="1"/>
  <c r="J730" i="1"/>
  <c r="L730" i="1" s="1"/>
  <c r="J731" i="1"/>
  <c r="L731" i="1" s="1"/>
  <c r="J732" i="1"/>
  <c r="L732" i="1" s="1"/>
  <c r="J733" i="1"/>
  <c r="L733" i="1" s="1"/>
  <c r="J734" i="1"/>
  <c r="L734" i="1" s="1"/>
  <c r="J735" i="1"/>
  <c r="L735" i="1" s="1"/>
  <c r="J736" i="1"/>
  <c r="L736" i="1" s="1"/>
  <c r="J737" i="1"/>
  <c r="L737" i="1" s="1"/>
  <c r="J738" i="1"/>
  <c r="L738" i="1" s="1"/>
  <c r="J739" i="1"/>
  <c r="L739" i="1" s="1"/>
  <c r="J740" i="1"/>
  <c r="L740" i="1" s="1"/>
  <c r="J741" i="1"/>
  <c r="L741" i="1" s="1"/>
  <c r="J742" i="1"/>
  <c r="L742" i="1" s="1"/>
  <c r="J743" i="1"/>
  <c r="L743" i="1" s="1"/>
  <c r="J744" i="1"/>
  <c r="L744" i="1" s="1"/>
  <c r="J745" i="1"/>
  <c r="L745" i="1" s="1"/>
  <c r="J746" i="1"/>
  <c r="L746" i="1" s="1"/>
  <c r="J747" i="1"/>
  <c r="L747" i="1" s="1"/>
  <c r="J748" i="1"/>
  <c r="L748" i="1" s="1"/>
  <c r="J749" i="1"/>
  <c r="L749" i="1" s="1"/>
  <c r="J750" i="1"/>
  <c r="J751" i="1"/>
  <c r="L751" i="1" s="1"/>
  <c r="J752" i="1"/>
  <c r="L752" i="1" s="1"/>
  <c r="J753" i="1"/>
  <c r="L753" i="1" s="1"/>
  <c r="J754" i="1"/>
  <c r="L754" i="1" s="1"/>
  <c r="J755" i="1"/>
  <c r="L755" i="1" s="1"/>
  <c r="J756" i="1"/>
  <c r="L756" i="1" s="1"/>
  <c r="J757" i="1"/>
  <c r="L757" i="1" s="1"/>
  <c r="J758" i="1"/>
  <c r="J759" i="1"/>
  <c r="L759" i="1" s="1"/>
  <c r="J760" i="1"/>
  <c r="L760" i="1" s="1"/>
  <c r="J761" i="1"/>
  <c r="L761" i="1" s="1"/>
  <c r="J762" i="1"/>
  <c r="L762" i="1" s="1"/>
  <c r="J763" i="1"/>
  <c r="L763" i="1" s="1"/>
  <c r="J764" i="1"/>
  <c r="L764" i="1" s="1"/>
  <c r="J765" i="1"/>
  <c r="L765" i="1" s="1"/>
  <c r="J766" i="1"/>
  <c r="L766" i="1" s="1"/>
  <c r="J767" i="1"/>
  <c r="L767" i="1" s="1"/>
  <c r="J768" i="1"/>
  <c r="L768" i="1" s="1"/>
  <c r="J769" i="1"/>
  <c r="L769" i="1" s="1"/>
  <c r="J770" i="1"/>
  <c r="L770" i="1" s="1"/>
  <c r="J771" i="1"/>
  <c r="L771" i="1" s="1"/>
  <c r="J772" i="1"/>
  <c r="L772" i="1" s="1"/>
  <c r="J773" i="1"/>
  <c r="L773" i="1" s="1"/>
  <c r="J774" i="1"/>
  <c r="L774" i="1" s="1"/>
  <c r="J775" i="1"/>
  <c r="L775" i="1" s="1"/>
  <c r="J776" i="1"/>
  <c r="L776" i="1" s="1"/>
  <c r="J777" i="1"/>
  <c r="L777" i="1" s="1"/>
  <c r="J778" i="1"/>
  <c r="L778" i="1" s="1"/>
  <c r="J779" i="1"/>
  <c r="L779" i="1" s="1"/>
  <c r="J780" i="1"/>
  <c r="L780" i="1" s="1"/>
  <c r="J781" i="1"/>
  <c r="L781" i="1" s="1"/>
  <c r="J782" i="1"/>
  <c r="L782" i="1" s="1"/>
  <c r="J783" i="1"/>
  <c r="L783" i="1" s="1"/>
  <c r="J784" i="1"/>
  <c r="L784" i="1" s="1"/>
  <c r="J785" i="1"/>
  <c r="L785" i="1" s="1"/>
  <c r="J786" i="1"/>
  <c r="L786" i="1" s="1"/>
  <c r="J787" i="1"/>
  <c r="L787" i="1" s="1"/>
  <c r="J788" i="1"/>
  <c r="L788" i="1" s="1"/>
  <c r="J789" i="1"/>
  <c r="L789" i="1" s="1"/>
  <c r="J790" i="1"/>
  <c r="L790" i="1" s="1"/>
  <c r="J791" i="1"/>
  <c r="L791" i="1" s="1"/>
  <c r="J792" i="1"/>
  <c r="L792" i="1" s="1"/>
  <c r="J793" i="1"/>
  <c r="L793" i="1" s="1"/>
  <c r="J794" i="1"/>
  <c r="L794" i="1" s="1"/>
  <c r="J795" i="1"/>
  <c r="L795" i="1" s="1"/>
  <c r="J796" i="1"/>
  <c r="L796" i="1" s="1"/>
  <c r="J797" i="1"/>
  <c r="L797" i="1" s="1"/>
  <c r="J798" i="1"/>
  <c r="L798" i="1" s="1"/>
  <c r="J799" i="1"/>
  <c r="L799" i="1" s="1"/>
  <c r="J800" i="1"/>
  <c r="L800" i="1" s="1"/>
  <c r="J801" i="1"/>
  <c r="L801" i="1" s="1"/>
  <c r="J802" i="1"/>
  <c r="L802" i="1" s="1"/>
  <c r="J803" i="1"/>
  <c r="L803" i="1" s="1"/>
  <c r="J804" i="1"/>
  <c r="L804" i="1" s="1"/>
  <c r="J805" i="1"/>
  <c r="L805" i="1" s="1"/>
  <c r="J806" i="1"/>
  <c r="L806" i="1" s="1"/>
  <c r="J807" i="1"/>
  <c r="L807" i="1" s="1"/>
  <c r="J808" i="1"/>
  <c r="L808" i="1" s="1"/>
  <c r="J809" i="1"/>
  <c r="L809" i="1" s="1"/>
  <c r="J810" i="1"/>
  <c r="L810" i="1" s="1"/>
  <c r="J811" i="1"/>
  <c r="L811" i="1" s="1"/>
  <c r="J812" i="1"/>
  <c r="L812" i="1" s="1"/>
  <c r="J813" i="1"/>
  <c r="L813" i="1" s="1"/>
  <c r="J814" i="1"/>
  <c r="L814" i="1" s="1"/>
  <c r="J815" i="1"/>
  <c r="L815" i="1" s="1"/>
  <c r="J816" i="1"/>
  <c r="L816" i="1" s="1"/>
  <c r="J817" i="1"/>
  <c r="L817" i="1" s="1"/>
  <c r="J818" i="1"/>
  <c r="L818" i="1" s="1"/>
  <c r="J819" i="1"/>
  <c r="L819" i="1" s="1"/>
  <c r="J820" i="1"/>
  <c r="L820" i="1" s="1"/>
  <c r="J821" i="1"/>
  <c r="L821" i="1" s="1"/>
  <c r="J822" i="1"/>
  <c r="J823" i="1"/>
  <c r="L823" i="1" s="1"/>
  <c r="J824" i="1"/>
  <c r="L824" i="1" s="1"/>
  <c r="J825" i="1"/>
  <c r="L825" i="1" s="1"/>
  <c r="J826" i="1"/>
  <c r="L826" i="1" s="1"/>
  <c r="J827" i="1"/>
  <c r="L827" i="1" s="1"/>
  <c r="J828" i="1"/>
  <c r="L828" i="1" s="1"/>
  <c r="J829" i="1"/>
  <c r="L829" i="1" s="1"/>
  <c r="J830" i="1"/>
  <c r="L830" i="1" s="1"/>
  <c r="J831" i="1"/>
  <c r="L831" i="1" s="1"/>
  <c r="J832" i="1"/>
  <c r="L832" i="1" s="1"/>
  <c r="J833" i="1"/>
  <c r="L833" i="1" s="1"/>
  <c r="J834" i="1"/>
  <c r="L834" i="1" s="1"/>
  <c r="J835" i="1"/>
  <c r="L835" i="1" s="1"/>
  <c r="J836" i="1"/>
  <c r="L836" i="1" s="1"/>
  <c r="J837" i="1"/>
  <c r="L837" i="1" s="1"/>
  <c r="J838" i="1"/>
  <c r="L838" i="1" s="1"/>
  <c r="J839" i="1"/>
  <c r="L839" i="1" s="1"/>
  <c r="J840" i="1"/>
  <c r="L840" i="1" s="1"/>
  <c r="J841" i="1"/>
  <c r="L841" i="1" s="1"/>
  <c r="J842" i="1"/>
  <c r="L842" i="1" s="1"/>
  <c r="J843" i="1"/>
  <c r="L843" i="1" s="1"/>
  <c r="J844" i="1"/>
  <c r="L844" i="1" s="1"/>
  <c r="J845" i="1"/>
  <c r="L845" i="1" s="1"/>
  <c r="J846" i="1"/>
  <c r="L846" i="1" s="1"/>
  <c r="J847" i="1"/>
  <c r="L847" i="1" s="1"/>
  <c r="J848" i="1"/>
  <c r="L848" i="1" s="1"/>
  <c r="J849" i="1"/>
  <c r="L849" i="1" s="1"/>
  <c r="J850" i="1"/>
  <c r="L850" i="1" s="1"/>
  <c r="J851" i="1"/>
  <c r="L851" i="1" s="1"/>
  <c r="J852" i="1"/>
  <c r="L852" i="1" s="1"/>
  <c r="J853" i="1"/>
  <c r="L853" i="1" s="1"/>
  <c r="J854" i="1"/>
  <c r="L854" i="1" s="1"/>
  <c r="J855" i="1"/>
  <c r="L855" i="1" s="1"/>
  <c r="J856" i="1"/>
  <c r="L856" i="1" s="1"/>
  <c r="J857" i="1"/>
  <c r="L857" i="1" s="1"/>
  <c r="J858" i="1"/>
  <c r="L858" i="1" s="1"/>
  <c r="J859" i="1"/>
  <c r="L859" i="1" s="1"/>
  <c r="J860" i="1"/>
  <c r="L860" i="1" s="1"/>
  <c r="J861" i="1"/>
  <c r="L861" i="1" s="1"/>
  <c r="J862" i="1"/>
  <c r="L862" i="1" s="1"/>
  <c r="J863" i="1"/>
  <c r="L863" i="1" s="1"/>
  <c r="J864" i="1"/>
  <c r="L864" i="1" s="1"/>
  <c r="J865" i="1"/>
  <c r="L865" i="1" s="1"/>
  <c r="J866" i="1"/>
  <c r="L866" i="1" s="1"/>
  <c r="J867" i="1"/>
  <c r="L867" i="1" s="1"/>
  <c r="J868" i="1"/>
  <c r="L868" i="1" s="1"/>
  <c r="J869" i="1"/>
  <c r="L869" i="1" s="1"/>
  <c r="J870" i="1"/>
  <c r="L870" i="1" s="1"/>
  <c r="J871" i="1"/>
  <c r="L871" i="1" s="1"/>
  <c r="J872" i="1"/>
  <c r="L872" i="1" s="1"/>
  <c r="J873" i="1"/>
  <c r="L873" i="1" s="1"/>
  <c r="J874" i="1"/>
  <c r="L874" i="1" s="1"/>
  <c r="J875" i="1"/>
  <c r="L875" i="1" s="1"/>
  <c r="J876" i="1"/>
  <c r="L876" i="1" s="1"/>
  <c r="J877" i="1"/>
  <c r="L877" i="1" s="1"/>
  <c r="J878" i="1"/>
  <c r="L878" i="1" s="1"/>
  <c r="J879" i="1"/>
  <c r="L879" i="1" s="1"/>
  <c r="J880" i="1"/>
  <c r="L880" i="1" s="1"/>
  <c r="J881" i="1"/>
  <c r="L881" i="1" s="1"/>
  <c r="J882" i="1"/>
  <c r="L882" i="1" s="1"/>
  <c r="J883" i="1"/>
  <c r="L883" i="1" s="1"/>
  <c r="J884" i="1"/>
  <c r="L884" i="1" s="1"/>
  <c r="J885" i="1"/>
  <c r="L885" i="1" s="1"/>
  <c r="J886" i="1"/>
  <c r="J887" i="1"/>
  <c r="L887" i="1" s="1"/>
  <c r="J888" i="1"/>
  <c r="L888" i="1" s="1"/>
  <c r="J889" i="1"/>
  <c r="L889" i="1" s="1"/>
  <c r="J890" i="1"/>
  <c r="L890" i="1" s="1"/>
  <c r="J891" i="1"/>
  <c r="L891" i="1" s="1"/>
  <c r="J892" i="1"/>
  <c r="L892" i="1" s="1"/>
  <c r="J893" i="1"/>
  <c r="L893" i="1" s="1"/>
  <c r="J894" i="1"/>
  <c r="L894" i="1" s="1"/>
  <c r="J895" i="1"/>
  <c r="L895" i="1" s="1"/>
  <c r="J896" i="1"/>
  <c r="L896" i="1" s="1"/>
  <c r="J897" i="1"/>
  <c r="L897" i="1" s="1"/>
  <c r="J898" i="1"/>
  <c r="L898" i="1" s="1"/>
  <c r="J899" i="1"/>
  <c r="L899" i="1" s="1"/>
  <c r="J900" i="1"/>
  <c r="L900" i="1" s="1"/>
  <c r="J901" i="1"/>
  <c r="L901" i="1" s="1"/>
  <c r="J902" i="1"/>
  <c r="L902" i="1" s="1"/>
  <c r="J903" i="1"/>
  <c r="L903" i="1" s="1"/>
  <c r="J904" i="1"/>
  <c r="L904" i="1" s="1"/>
  <c r="J905" i="1"/>
  <c r="L905" i="1" s="1"/>
  <c r="J906" i="1"/>
  <c r="L906" i="1" s="1"/>
  <c r="J907" i="1"/>
  <c r="L907" i="1" s="1"/>
  <c r="J908" i="1"/>
  <c r="L908" i="1" s="1"/>
  <c r="J909" i="1"/>
  <c r="L909" i="1" s="1"/>
  <c r="J910" i="1"/>
  <c r="L910" i="1" s="1"/>
  <c r="J911" i="1"/>
  <c r="L911" i="1" s="1"/>
  <c r="J912" i="1"/>
  <c r="L912" i="1" s="1"/>
  <c r="J913" i="1"/>
  <c r="L913" i="1" s="1"/>
  <c r="J914" i="1"/>
  <c r="L914" i="1" s="1"/>
  <c r="J915" i="1"/>
  <c r="L915" i="1" s="1"/>
  <c r="J916" i="1"/>
  <c r="L916" i="1" s="1"/>
  <c r="J917" i="1"/>
  <c r="L917" i="1" s="1"/>
  <c r="J918" i="1"/>
  <c r="L918" i="1" s="1"/>
  <c r="J919" i="1"/>
  <c r="L919" i="1" s="1"/>
  <c r="J920" i="1"/>
  <c r="L920" i="1" s="1"/>
  <c r="J921" i="1"/>
  <c r="L921" i="1" s="1"/>
  <c r="J922" i="1"/>
  <c r="L922" i="1" s="1"/>
  <c r="J923" i="1"/>
  <c r="L923" i="1" s="1"/>
  <c r="J924" i="1"/>
  <c r="L924" i="1" s="1"/>
  <c r="J925" i="1"/>
  <c r="L925" i="1" s="1"/>
  <c r="J926" i="1"/>
  <c r="L926" i="1" s="1"/>
  <c r="J927" i="1"/>
  <c r="L927" i="1" s="1"/>
  <c r="J928" i="1"/>
  <c r="L928" i="1" s="1"/>
  <c r="J929" i="1"/>
  <c r="L929" i="1" s="1"/>
  <c r="J930" i="1"/>
  <c r="L930" i="1" s="1"/>
  <c r="J931" i="1"/>
  <c r="L931" i="1" s="1"/>
  <c r="J932" i="1"/>
  <c r="L932" i="1" s="1"/>
  <c r="J933" i="1"/>
  <c r="L933" i="1" s="1"/>
  <c r="J934" i="1"/>
  <c r="L934" i="1" s="1"/>
  <c r="J935" i="1"/>
  <c r="L935" i="1" s="1"/>
  <c r="J936" i="1"/>
  <c r="L936" i="1" s="1"/>
  <c r="J937" i="1"/>
  <c r="L937" i="1" s="1"/>
  <c r="J938" i="1"/>
  <c r="L938" i="1" s="1"/>
  <c r="J939" i="1"/>
  <c r="L939" i="1" s="1"/>
  <c r="J940" i="1"/>
  <c r="L940" i="1" s="1"/>
  <c r="J941" i="1"/>
  <c r="L941" i="1" s="1"/>
  <c r="J942" i="1"/>
  <c r="L942" i="1" s="1"/>
  <c r="J943" i="1"/>
  <c r="L943" i="1" s="1"/>
  <c r="J944" i="1"/>
  <c r="L944" i="1" s="1"/>
  <c r="J945" i="1"/>
  <c r="L945" i="1" s="1"/>
  <c r="J946" i="1"/>
  <c r="L946" i="1" s="1"/>
  <c r="J947" i="1"/>
  <c r="L947" i="1" s="1"/>
  <c r="J948" i="1"/>
  <c r="L948" i="1" s="1"/>
  <c r="J949" i="1"/>
  <c r="L949" i="1" s="1"/>
  <c r="J950" i="1"/>
  <c r="J951" i="1"/>
  <c r="L951" i="1" s="1"/>
  <c r="J952" i="1"/>
  <c r="L952" i="1" s="1"/>
  <c r="J953" i="1"/>
  <c r="L953" i="1" s="1"/>
  <c r="J954" i="1"/>
  <c r="L954" i="1" s="1"/>
  <c r="J955" i="1"/>
  <c r="L955" i="1" s="1"/>
  <c r="J956" i="1"/>
  <c r="L956" i="1" s="1"/>
  <c r="J957" i="1"/>
  <c r="L957" i="1" s="1"/>
  <c r="J958" i="1"/>
  <c r="L958" i="1" s="1"/>
  <c r="J959" i="1"/>
  <c r="L959" i="1" s="1"/>
  <c r="J960" i="1"/>
  <c r="L960" i="1" s="1"/>
  <c r="J961" i="1"/>
  <c r="L961" i="1" s="1"/>
  <c r="J962" i="1"/>
  <c r="L962" i="1" s="1"/>
  <c r="J963" i="1"/>
  <c r="L963" i="1" s="1"/>
  <c r="J964" i="1"/>
  <c r="L964" i="1" s="1"/>
  <c r="J965" i="1"/>
  <c r="L965" i="1" s="1"/>
  <c r="J966" i="1"/>
  <c r="L966" i="1" s="1"/>
  <c r="J967" i="1"/>
  <c r="L967" i="1" s="1"/>
  <c r="J968" i="1"/>
  <c r="L968" i="1" s="1"/>
  <c r="J969" i="1"/>
  <c r="L969" i="1" s="1"/>
  <c r="J970" i="1"/>
  <c r="L970" i="1" s="1"/>
  <c r="J971" i="1"/>
  <c r="L971" i="1" s="1"/>
  <c r="J972" i="1"/>
  <c r="L972" i="1" s="1"/>
  <c r="J973" i="1"/>
  <c r="L973" i="1" s="1"/>
  <c r="J974" i="1"/>
  <c r="L974" i="1" s="1"/>
  <c r="J975" i="1"/>
  <c r="L975" i="1" s="1"/>
  <c r="J976" i="1"/>
  <c r="L976" i="1" s="1"/>
  <c r="J977" i="1"/>
  <c r="L977" i="1" s="1"/>
  <c r="J978" i="1"/>
  <c r="L978" i="1" s="1"/>
  <c r="J979" i="1"/>
  <c r="L979" i="1" s="1"/>
  <c r="J980" i="1"/>
  <c r="L980" i="1" s="1"/>
  <c r="J981" i="1"/>
  <c r="L981" i="1" s="1"/>
  <c r="J982" i="1"/>
  <c r="L982" i="1" s="1"/>
  <c r="J983" i="1"/>
  <c r="L983" i="1" s="1"/>
  <c r="J984" i="1"/>
  <c r="L984" i="1" s="1"/>
  <c r="J985" i="1"/>
  <c r="L985" i="1" s="1"/>
  <c r="J986" i="1"/>
  <c r="L986" i="1" s="1"/>
  <c r="J987" i="1"/>
  <c r="L987" i="1" s="1"/>
  <c r="J988" i="1"/>
  <c r="L988" i="1" s="1"/>
  <c r="J989" i="1"/>
  <c r="L989" i="1" s="1"/>
  <c r="J990" i="1"/>
  <c r="L990" i="1" s="1"/>
  <c r="J991" i="1"/>
  <c r="L991" i="1" s="1"/>
  <c r="J992" i="1"/>
  <c r="L992" i="1" s="1"/>
  <c r="J993" i="1"/>
  <c r="L993" i="1" s="1"/>
  <c r="J994" i="1"/>
  <c r="L994" i="1" s="1"/>
  <c r="J995" i="1"/>
  <c r="L995" i="1" s="1"/>
  <c r="J996" i="1"/>
  <c r="L996" i="1" s="1"/>
  <c r="J997" i="1"/>
  <c r="L997" i="1" s="1"/>
  <c r="J998" i="1"/>
  <c r="L998" i="1" s="1"/>
  <c r="J999" i="1"/>
  <c r="L999" i="1" s="1"/>
  <c r="J1000" i="1"/>
  <c r="L1000" i="1" s="1"/>
  <c r="J1001" i="1"/>
  <c r="L1001" i="1" s="1"/>
  <c r="J1002" i="1"/>
  <c r="L1002" i="1" s="1"/>
  <c r="J1003" i="1"/>
  <c r="L1003" i="1" s="1"/>
  <c r="J1004" i="1"/>
  <c r="L1004" i="1" s="1"/>
  <c r="J1005" i="1"/>
  <c r="L1005" i="1" s="1"/>
  <c r="J1006" i="1"/>
  <c r="L1006" i="1" s="1"/>
  <c r="J1007" i="1"/>
  <c r="L1007" i="1" s="1"/>
  <c r="J1008" i="1"/>
  <c r="L1008" i="1" s="1"/>
  <c r="J1009" i="1"/>
  <c r="L1009" i="1" s="1"/>
  <c r="J1010" i="1"/>
  <c r="L1010" i="1" s="1"/>
  <c r="J1011" i="1"/>
  <c r="L1011" i="1" s="1"/>
  <c r="J1012" i="1"/>
  <c r="L1012" i="1" s="1"/>
  <c r="J1013" i="1"/>
  <c r="L1013" i="1" s="1"/>
  <c r="J1014" i="1"/>
  <c r="J1015" i="1"/>
  <c r="L1015" i="1" s="1"/>
  <c r="J1016" i="1"/>
  <c r="L1016" i="1" s="1"/>
  <c r="J1017" i="1"/>
  <c r="L1017" i="1" s="1"/>
  <c r="J1018" i="1"/>
  <c r="L1018" i="1" s="1"/>
  <c r="J1019" i="1"/>
  <c r="L1019" i="1" s="1"/>
  <c r="J1020" i="1"/>
  <c r="L1020" i="1" s="1"/>
  <c r="J1021" i="1"/>
  <c r="L1021" i="1" s="1"/>
  <c r="J1022" i="1"/>
  <c r="L1022" i="1" s="1"/>
  <c r="J1023" i="1"/>
  <c r="L1023" i="1" s="1"/>
  <c r="J1024" i="1"/>
  <c r="L1024" i="1" s="1"/>
  <c r="J1025" i="1"/>
  <c r="L1025" i="1" s="1"/>
  <c r="J1026" i="1"/>
  <c r="L1026" i="1" s="1"/>
  <c r="J1027" i="1"/>
  <c r="L1027" i="1" s="1"/>
  <c r="J1028" i="1"/>
  <c r="L1028" i="1" s="1"/>
  <c r="J1029" i="1"/>
  <c r="L1029" i="1" s="1"/>
  <c r="J1030" i="1"/>
  <c r="L1030" i="1" s="1"/>
  <c r="J1031" i="1"/>
  <c r="L1031" i="1" s="1"/>
  <c r="J1032" i="1"/>
  <c r="L1032" i="1" s="1"/>
  <c r="J1033" i="1"/>
  <c r="L1033" i="1" s="1"/>
  <c r="J1034" i="1"/>
  <c r="L1034" i="1" s="1"/>
  <c r="J1035" i="1"/>
  <c r="L1035" i="1" s="1"/>
  <c r="J1036" i="1"/>
  <c r="L1036" i="1" s="1"/>
  <c r="J1037" i="1"/>
  <c r="L1037" i="1" s="1"/>
  <c r="J1038" i="1"/>
  <c r="L1038" i="1" s="1"/>
  <c r="J1039" i="1"/>
  <c r="L1039" i="1" s="1"/>
  <c r="J1040" i="1"/>
  <c r="L1040" i="1" s="1"/>
  <c r="J1041" i="1"/>
  <c r="L1041" i="1" s="1"/>
  <c r="J1042" i="1"/>
  <c r="L1042" i="1" s="1"/>
  <c r="J1043" i="1"/>
  <c r="L1043" i="1" s="1"/>
  <c r="J1044" i="1"/>
  <c r="L1044" i="1" s="1"/>
  <c r="J1045" i="1"/>
  <c r="L1045" i="1" s="1"/>
  <c r="J1046" i="1"/>
  <c r="L1046" i="1" s="1"/>
  <c r="J1047" i="1"/>
  <c r="L1047" i="1" s="1"/>
  <c r="J1048" i="1"/>
  <c r="L1048" i="1" s="1"/>
  <c r="J1049" i="1"/>
  <c r="L1049" i="1" s="1"/>
  <c r="J1050" i="1"/>
  <c r="L1050" i="1" s="1"/>
  <c r="J1051" i="1"/>
  <c r="L1051" i="1" s="1"/>
  <c r="J1052" i="1"/>
  <c r="L1052" i="1" s="1"/>
  <c r="J1053" i="1"/>
  <c r="L1053" i="1" s="1"/>
  <c r="J1054" i="1"/>
  <c r="L1054" i="1" s="1"/>
  <c r="J1055" i="1"/>
  <c r="L1055" i="1" s="1"/>
  <c r="J1056" i="1"/>
  <c r="L1056" i="1" s="1"/>
  <c r="J1057" i="1"/>
  <c r="L1057" i="1" s="1"/>
  <c r="J1058" i="1"/>
  <c r="L1058" i="1" s="1"/>
  <c r="J1059" i="1"/>
  <c r="L1059" i="1" s="1"/>
  <c r="J1060" i="1"/>
  <c r="L1060" i="1" s="1"/>
  <c r="J1061" i="1"/>
  <c r="L1061" i="1" s="1"/>
  <c r="J1062" i="1"/>
  <c r="L1062" i="1" s="1"/>
  <c r="J1063" i="1"/>
  <c r="L1063" i="1" s="1"/>
  <c r="J1064" i="1"/>
  <c r="L1064" i="1" s="1"/>
  <c r="J1065" i="1"/>
  <c r="L1065" i="1" s="1"/>
  <c r="J1066" i="1"/>
  <c r="L1066" i="1" s="1"/>
  <c r="J1067" i="1"/>
  <c r="L1067" i="1" s="1"/>
  <c r="J1068" i="1"/>
  <c r="L1068" i="1" s="1"/>
  <c r="J1069" i="1"/>
  <c r="L1069" i="1" s="1"/>
  <c r="J1070" i="1"/>
  <c r="L1070" i="1" s="1"/>
  <c r="J1071" i="1"/>
  <c r="L1071" i="1" s="1"/>
  <c r="J1072" i="1"/>
  <c r="L1072" i="1" s="1"/>
  <c r="J1073" i="1"/>
  <c r="L1073" i="1" s="1"/>
  <c r="J1074" i="1"/>
  <c r="L1074" i="1" s="1"/>
  <c r="J1075" i="1"/>
  <c r="L1075" i="1" s="1"/>
  <c r="J1076" i="1"/>
  <c r="L1076" i="1" s="1"/>
  <c r="J1077" i="1"/>
  <c r="L1077" i="1" s="1"/>
  <c r="J1078" i="1"/>
  <c r="J1079" i="1"/>
  <c r="L1079" i="1" s="1"/>
  <c r="J1080" i="1"/>
  <c r="L1080" i="1" s="1"/>
  <c r="J1081" i="1"/>
  <c r="L1081" i="1" s="1"/>
  <c r="J1082" i="1"/>
  <c r="L1082" i="1" s="1"/>
  <c r="J1083" i="1"/>
  <c r="L1083" i="1" s="1"/>
  <c r="J1084" i="1"/>
  <c r="L1084" i="1" s="1"/>
  <c r="J1085" i="1"/>
  <c r="L1085" i="1" s="1"/>
  <c r="J1086" i="1"/>
  <c r="L1086" i="1" s="1"/>
  <c r="J1087" i="1"/>
  <c r="L1087" i="1" s="1"/>
  <c r="J1088" i="1"/>
  <c r="L1088" i="1" s="1"/>
  <c r="J1089" i="1"/>
  <c r="L1089" i="1" s="1"/>
  <c r="J1090" i="1"/>
  <c r="L1090" i="1" s="1"/>
  <c r="J1091" i="1"/>
  <c r="L1091" i="1" s="1"/>
  <c r="J1092" i="1"/>
  <c r="L1092" i="1" s="1"/>
  <c r="J1093" i="1"/>
  <c r="L1093" i="1" s="1"/>
  <c r="J1094" i="1"/>
  <c r="L1094" i="1" s="1"/>
  <c r="J1095" i="1"/>
  <c r="L1095" i="1" s="1"/>
  <c r="J1096" i="1"/>
  <c r="L1096" i="1" s="1"/>
  <c r="J1097" i="1"/>
  <c r="L1097" i="1" s="1"/>
  <c r="J1098" i="1"/>
  <c r="L1098" i="1" s="1"/>
  <c r="J1099" i="1"/>
  <c r="L1099" i="1" s="1"/>
  <c r="J1100" i="1"/>
  <c r="L1100" i="1" s="1"/>
  <c r="J1101" i="1"/>
  <c r="L1101" i="1" s="1"/>
  <c r="J1102" i="1"/>
  <c r="L1102" i="1" s="1"/>
  <c r="J1103" i="1"/>
  <c r="L1103" i="1" s="1"/>
  <c r="J1104" i="1"/>
  <c r="L1104" i="1" s="1"/>
  <c r="J1105" i="1"/>
  <c r="L1105" i="1" s="1"/>
  <c r="J1106" i="1"/>
  <c r="L1106" i="1" s="1"/>
  <c r="J1107" i="1"/>
  <c r="L1107" i="1" s="1"/>
  <c r="J1108" i="1"/>
  <c r="L1108" i="1" s="1"/>
  <c r="J1109" i="1"/>
  <c r="L1109" i="1" s="1"/>
  <c r="J1110" i="1"/>
  <c r="L1110" i="1" s="1"/>
  <c r="J1111" i="1"/>
  <c r="L1111" i="1" s="1"/>
  <c r="J1112" i="1"/>
  <c r="L1112" i="1" s="1"/>
  <c r="J1113" i="1"/>
  <c r="L1113" i="1" s="1"/>
  <c r="J1114" i="1"/>
  <c r="L1114" i="1" s="1"/>
  <c r="J1115" i="1"/>
  <c r="L1115" i="1" s="1"/>
  <c r="J1116" i="1"/>
  <c r="L1116" i="1" s="1"/>
  <c r="J1117" i="1"/>
  <c r="L1117" i="1" s="1"/>
  <c r="J1118" i="1"/>
  <c r="L1118" i="1" s="1"/>
  <c r="J1119" i="1"/>
  <c r="L1119" i="1" s="1"/>
  <c r="J1120" i="1"/>
  <c r="L1120" i="1" s="1"/>
  <c r="J1121" i="1"/>
  <c r="L1121" i="1" s="1"/>
  <c r="J1122" i="1"/>
  <c r="L1122" i="1" s="1"/>
  <c r="J1123" i="1"/>
  <c r="L1123" i="1" s="1"/>
  <c r="J1124" i="1"/>
  <c r="L1124" i="1" s="1"/>
  <c r="J1125" i="1"/>
  <c r="L1125" i="1" s="1"/>
  <c r="J1126" i="1"/>
  <c r="L1126" i="1" s="1"/>
  <c r="J1127" i="1"/>
  <c r="L1127" i="1" s="1"/>
  <c r="J1128" i="1"/>
  <c r="L1128" i="1" s="1"/>
  <c r="J1129" i="1"/>
  <c r="L1129" i="1" s="1"/>
  <c r="J1130" i="1"/>
  <c r="L1130" i="1" s="1"/>
  <c r="J1131" i="1"/>
  <c r="L1131" i="1" s="1"/>
  <c r="J1132" i="1"/>
  <c r="L1132" i="1" s="1"/>
  <c r="J1133" i="1"/>
  <c r="L1133" i="1" s="1"/>
  <c r="J1134" i="1"/>
  <c r="L1134" i="1" s="1"/>
  <c r="J1135" i="1"/>
  <c r="L1135" i="1" s="1"/>
  <c r="J1136" i="1"/>
  <c r="L1136" i="1" s="1"/>
  <c r="J1137" i="1"/>
  <c r="L1137" i="1" s="1"/>
  <c r="J1138" i="1"/>
  <c r="L1138" i="1" s="1"/>
  <c r="J1139" i="1"/>
  <c r="L1139" i="1" s="1"/>
  <c r="J1140" i="1"/>
  <c r="L1140" i="1" s="1"/>
  <c r="J1141" i="1"/>
  <c r="L1141" i="1" s="1"/>
  <c r="J1142" i="1"/>
  <c r="J1143" i="1"/>
  <c r="L1143" i="1" s="1"/>
  <c r="J1144" i="1"/>
  <c r="L1144" i="1" s="1"/>
  <c r="J1145" i="1"/>
  <c r="L1145" i="1" s="1"/>
  <c r="J1146" i="1"/>
  <c r="L1146" i="1" s="1"/>
  <c r="J1147" i="1"/>
  <c r="L1147" i="1" s="1"/>
  <c r="J1148" i="1"/>
  <c r="L1148" i="1" s="1"/>
  <c r="J1149" i="1"/>
  <c r="L1149" i="1" s="1"/>
  <c r="J1150" i="1"/>
  <c r="L1150" i="1" s="1"/>
  <c r="J1151" i="1"/>
  <c r="L1151" i="1" s="1"/>
  <c r="J1152" i="1"/>
  <c r="L1152" i="1" s="1"/>
  <c r="J1153" i="1"/>
  <c r="L1153" i="1" s="1"/>
  <c r="J1154" i="1"/>
  <c r="L1154" i="1" s="1"/>
  <c r="J1155" i="1"/>
  <c r="L1155" i="1" s="1"/>
  <c r="J1156" i="1"/>
  <c r="L1156" i="1" s="1"/>
  <c r="J1157" i="1"/>
  <c r="L1157" i="1" s="1"/>
  <c r="J1158" i="1"/>
  <c r="L1158" i="1" s="1"/>
  <c r="J1159" i="1"/>
  <c r="L1159" i="1" s="1"/>
  <c r="J1160" i="1"/>
  <c r="L1160" i="1" s="1"/>
  <c r="J1161" i="1"/>
  <c r="L1161" i="1" s="1"/>
  <c r="J1162" i="1"/>
  <c r="L1162" i="1" s="1"/>
  <c r="J1163" i="1"/>
  <c r="L1163" i="1" s="1"/>
  <c r="J1164" i="1"/>
  <c r="L1164" i="1" s="1"/>
  <c r="J1165" i="1"/>
  <c r="L1165" i="1" s="1"/>
  <c r="J1166" i="1"/>
  <c r="L1166" i="1" s="1"/>
  <c r="J1167" i="1"/>
  <c r="L1167" i="1" s="1"/>
  <c r="J1168" i="1"/>
  <c r="L1168" i="1" s="1"/>
  <c r="J1169" i="1"/>
  <c r="L1169" i="1" s="1"/>
  <c r="J1170" i="1"/>
  <c r="L1170" i="1" s="1"/>
  <c r="J1171" i="1"/>
  <c r="L1171" i="1" s="1"/>
  <c r="J1172" i="1"/>
  <c r="L1172" i="1" s="1"/>
  <c r="J1173" i="1"/>
  <c r="L1173" i="1" s="1"/>
  <c r="J1174" i="1"/>
  <c r="L1174" i="1" s="1"/>
  <c r="J1175" i="1"/>
  <c r="L1175" i="1" s="1"/>
  <c r="J1176" i="1"/>
  <c r="L1176" i="1" s="1"/>
  <c r="J1177" i="1"/>
  <c r="L1177" i="1" s="1"/>
  <c r="J1178" i="1"/>
  <c r="L1178" i="1" s="1"/>
  <c r="J1179" i="1"/>
  <c r="L1179" i="1" s="1"/>
  <c r="J1180" i="1"/>
  <c r="L1180" i="1" s="1"/>
  <c r="J1181" i="1"/>
  <c r="L1181" i="1" s="1"/>
  <c r="J1182" i="1"/>
  <c r="L1182" i="1" s="1"/>
  <c r="J1183" i="1"/>
  <c r="L1183" i="1" s="1"/>
  <c r="J1184" i="1"/>
  <c r="L1184" i="1" s="1"/>
  <c r="J1185" i="1"/>
  <c r="L1185" i="1" s="1"/>
  <c r="J1186" i="1"/>
  <c r="L1186" i="1" s="1"/>
  <c r="J1187" i="1"/>
  <c r="L1187" i="1" s="1"/>
  <c r="J1188" i="1"/>
  <c r="L1188" i="1" s="1"/>
  <c r="J1189" i="1"/>
  <c r="L1189" i="1" s="1"/>
  <c r="J1190" i="1"/>
  <c r="L1190" i="1" s="1"/>
  <c r="J1191" i="1"/>
  <c r="L1191" i="1" s="1"/>
  <c r="J1192" i="1"/>
  <c r="L1192" i="1" s="1"/>
  <c r="J1193" i="1"/>
  <c r="L1193" i="1" s="1"/>
  <c r="J1194" i="1"/>
  <c r="L1194" i="1" s="1"/>
  <c r="J1195" i="1"/>
  <c r="L1195" i="1" s="1"/>
  <c r="J1196" i="1"/>
  <c r="L1196" i="1" s="1"/>
  <c r="J1197" i="1"/>
  <c r="L1197" i="1" s="1"/>
  <c r="J1198" i="1"/>
  <c r="L1198" i="1" s="1"/>
  <c r="J1199" i="1"/>
  <c r="L1199" i="1" s="1"/>
  <c r="J1200" i="1"/>
  <c r="L1200" i="1" s="1"/>
  <c r="J1201" i="1"/>
  <c r="L1201" i="1" s="1"/>
  <c r="J2" i="1"/>
  <c r="L2" i="1" s="1"/>
  <c r="E89" i="3"/>
  <c r="F86" i="3"/>
</calcChain>
</file>

<file path=xl/sharedStrings.xml><?xml version="1.0" encoding="utf-8"?>
<sst xmlns="http://schemas.openxmlformats.org/spreadsheetml/2006/main" count="4858" uniqueCount="50">
  <si>
    <t>Date</t>
  </si>
  <si>
    <t>Region</t>
  </si>
  <si>
    <t>Product Category</t>
  </si>
  <si>
    <t>Sales Channel</t>
  </si>
  <si>
    <t>Revenue_USD</t>
  </si>
  <si>
    <t>COGS_USD</t>
  </si>
  <si>
    <t>Budget_Target</t>
  </si>
  <si>
    <t>CSAT</t>
  </si>
  <si>
    <t>Discount_Percent</t>
  </si>
  <si>
    <t>LATAM</t>
  </si>
  <si>
    <t>Enterprise Software</t>
  </si>
  <si>
    <t>Online</t>
  </si>
  <si>
    <t>APAC</t>
  </si>
  <si>
    <t>Consulting</t>
  </si>
  <si>
    <t>Direct</t>
  </si>
  <si>
    <t>EMEA</t>
  </si>
  <si>
    <t>Cloud Services</t>
  </si>
  <si>
    <t>Partner</t>
  </si>
  <si>
    <t>Hardware</t>
  </si>
  <si>
    <t>North America</t>
  </si>
  <si>
    <t>Gross_Profit</t>
  </si>
  <si>
    <t>Budget Achievement %</t>
  </si>
  <si>
    <t>Profit Margin %</t>
  </si>
  <si>
    <t>Grand Total</t>
  </si>
  <si>
    <t>Product category wise profit</t>
  </si>
  <si>
    <t>Sum of Gross_Profit</t>
  </si>
  <si>
    <t>Region wise Gross profit</t>
  </si>
  <si>
    <t>Sum of Budget_Target</t>
  </si>
  <si>
    <t>Budget Achievement of each channel</t>
  </si>
  <si>
    <t>Sum of Revenue_USD</t>
  </si>
  <si>
    <t>Qtr1</t>
  </si>
  <si>
    <t>Qtr2</t>
  </si>
  <si>
    <t>Qtr3</t>
  </si>
  <si>
    <t>Qtr4</t>
  </si>
  <si>
    <t>Quartile wise revenue</t>
  </si>
  <si>
    <t>Sales Channle</t>
  </si>
  <si>
    <t>Quarters</t>
  </si>
  <si>
    <t>Revenue vs COGS by Product Category</t>
  </si>
  <si>
    <t>Sum of COGS_USD</t>
  </si>
  <si>
    <t>Discount impact on revenue</t>
  </si>
  <si>
    <t>Average of Revenue_USD</t>
  </si>
  <si>
    <t>CSAT by Sales Channel</t>
  </si>
  <si>
    <t>Average of CSAT</t>
  </si>
  <si>
    <t>product category</t>
  </si>
  <si>
    <t>Revenue by Product Category</t>
  </si>
  <si>
    <t>Profit margin</t>
  </si>
  <si>
    <t>Budget achievement</t>
  </si>
  <si>
    <t>Sum of Bedget Achievement %</t>
  </si>
  <si>
    <t>Details for Sum of Bedget Achievement % - Sales Channel: Direct</t>
  </si>
  <si>
    <t>Discount_Percentage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</si>
</sst>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0,,&quot;M&quot;"/>
    <numFmt numFmtId="165" formatCode="0.00,&quot;K&quot;"/>
    <numFmt numFmtId="166" formatCode="#,##0.00,,&quot;M&quot;"/>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8"/>
      <color theme="1"/>
      <name val="Aptos Narrow"/>
      <family val="2"/>
      <scheme val="minor"/>
    </font>
    <font>
      <sz val="20"/>
      <color theme="1"/>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17221D"/>
        <bgColor indexed="64"/>
      </patternFill>
    </fill>
    <fill>
      <patternFill patternType="solid">
        <fgColor rgb="FF1F6F54"/>
        <bgColor indexed="64"/>
      </patternFill>
    </fill>
    <fill>
      <patternFill patternType="solid">
        <fgColor theme="1" tint="0.499984740745262"/>
        <bgColor indexed="64"/>
      </patternFill>
    </fill>
    <fill>
      <patternFill patternType="solid">
        <fgColor theme="6"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14" fontId="0" fillId="0" borderId="0" xfId="0" applyNumberFormat="1"/>
    <xf numFmtId="10"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16" fillId="0" borderId="0" xfId="0" applyFont="1"/>
    <xf numFmtId="0" fontId="0" fillId="34" borderId="0" xfId="0" applyFill="1"/>
    <xf numFmtId="164" fontId="0" fillId="0" borderId="0" xfId="0" applyNumberFormat="1"/>
    <xf numFmtId="165" fontId="0" fillId="0" borderId="0" xfId="0" applyNumberFormat="1"/>
    <xf numFmtId="166" fontId="0" fillId="0" borderId="0" xfId="0" applyNumberFormat="1"/>
    <xf numFmtId="0" fontId="0" fillId="35" borderId="0" xfId="0" applyFill="1"/>
    <xf numFmtId="0" fontId="0" fillId="33" borderId="0" xfId="0" applyFill="1"/>
    <xf numFmtId="0" fontId="0" fillId="36" borderId="0" xfId="0" applyFill="1"/>
    <xf numFmtId="0" fontId="19" fillId="36" borderId="0" xfId="0" applyFont="1" applyFill="1"/>
    <xf numFmtId="0" fontId="16" fillId="36" borderId="0" xfId="0" applyFont="1" applyFill="1"/>
    <xf numFmtId="0" fontId="18" fillId="33" borderId="0" xfId="0" applyFont="1" applyFill="1" applyAlignment="1">
      <alignment horizontal="center"/>
    </xf>
    <xf numFmtId="0" fontId="0" fillId="33" borderId="0" xfId="0" applyFill="1" applyAlignment="1">
      <alignment horizontal="center"/>
    </xf>
    <xf numFmtId="0" fontId="0" fillId="0" borderId="0" xfId="0" applyAlignment="1">
      <alignment horizontal="center" vertical="center" wrapText="1"/>
    </xf>
    <xf numFmtId="0" fontId="16" fillId="0" borderId="0" xfId="0" applyFont="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
    <dxf>
      <numFmt numFmtId="14" formatCode="0.00%"/>
    </dxf>
    <dxf>
      <numFmt numFmtId="14" formatCode="0.00%"/>
    </dxf>
    <dxf>
      <numFmt numFmtId="19" formatCode="dd/mm/yyyy"/>
    </dxf>
    <dxf>
      <numFmt numFmtId="14" formatCode="0.00%"/>
    </dxf>
    <dxf>
      <numFmt numFmtId="14" formatCode="0.00%"/>
    </dxf>
    <dxf>
      <numFmt numFmtId="14" formatCode="0.00%"/>
    </dxf>
    <dxf>
      <numFmt numFmtId="166"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6" formatCode="#,##0.00,,&quot;M&quot;"/>
    </dxf>
    <dxf>
      <numFmt numFmtId="164" formatCode="0.00,,&quot;M&quot;"/>
    </dxf>
    <dxf>
      <numFmt numFmtId="19" formatCode="dd/mm/yyyy"/>
    </dxf>
    <dxf>
      <font>
        <color theme="0"/>
      </font>
      <fill>
        <patternFill>
          <bgColor rgb="FF17221D"/>
        </patternFill>
      </fill>
    </dxf>
    <dxf>
      <font>
        <color theme="0"/>
      </font>
      <fill>
        <patternFill>
          <bgColor rgb="FF6B2638"/>
        </patternFill>
      </fill>
    </dxf>
  </dxfs>
  <tableStyles count="2" defaultTableStyle="TableStyleMedium2" defaultPivotStyle="PivotStyleLight16">
    <tableStyle name="Burgandy" pivot="0" table="0" count="3" xr9:uid="{2C65FF4B-8EB2-4E90-B9D4-ABAA7EA0B141}">
      <tableStyleElement type="headerRow" dxfId="16"/>
    </tableStyle>
    <tableStyle name="Corporate Green" pivot="0" table="0" count="3" xr9:uid="{5FAF636A-B8DB-42A6-986B-4D33417FE148}">
      <tableStyleElement type="headerRow" dxfId="15"/>
    </tableStyle>
  </tableStyles>
  <colors>
    <mruColors>
      <color rgb="FFF3E8D2"/>
      <color rgb="FFB76E79"/>
      <color rgb="FF6B2638"/>
      <color rgb="FF17221D"/>
      <color rgb="FF1F6F54"/>
      <color rgb="FFC96627"/>
      <color rgb="FFFFFFFF"/>
      <color rgb="FFF5F6F4"/>
      <color rgb="FF26332D"/>
      <color rgb="FFC9A227"/>
    </mruColors>
  </colors>
  <extLst>
    <ext xmlns:x14="http://schemas.microsoft.com/office/spreadsheetml/2009/9/main" uri="{46F421CA-312F-682f-3DD2-61675219B42D}">
      <x14:dxfs count="4">
        <dxf>
          <font>
            <color theme="0"/>
          </font>
          <fill>
            <patternFill>
              <bgColor rgb="FF1F6F54"/>
            </patternFill>
          </fill>
        </dxf>
        <dxf>
          <font>
            <color rgb="FF26332D"/>
          </font>
          <fill>
            <patternFill>
              <bgColor rgb="FFFFFFFF"/>
            </patternFill>
          </fill>
        </dxf>
        <dxf>
          <fill>
            <patternFill>
              <bgColor rgb="FFF3E8D2"/>
            </patternFill>
          </fill>
        </dxf>
        <dxf>
          <fill>
            <patternFill>
              <bgColor rgb="FFB76E79"/>
            </patternFill>
          </fill>
        </dxf>
      </x14:dxfs>
    </ext>
    <ext xmlns:x14="http://schemas.microsoft.com/office/spreadsheetml/2009/9/main" uri="{EB79DEF2-80B8-43e5-95BD-54CBDDF9020C}">
      <x14:slicerStyles defaultSlicerStyle="SlicerStyleLight1">
        <x14:slicerStyle name="Burgandy">
          <x14:slicerStyleElements>
            <x14:slicerStyleElement type="selectedItemWithData" dxfId="3"/>
            <x14:slicerStyleElement type="selectedItemWithNoData" dxfId="2"/>
          </x14:slicerStyleElements>
        </x14:slicerStyle>
        <x14:slicerStyle name="Corporate Green">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ubbleChart>
        <c:varyColors val="0"/>
        <c:ser>
          <c:idx val="0"/>
          <c:order val="0"/>
          <c:spPr>
            <a:solidFill>
              <a:schemeClr val="accent1">
                <a:alpha val="75000"/>
              </a:schemeClr>
            </a:solidFill>
            <a:ln>
              <a:noFill/>
            </a:ln>
            <a:effectLst/>
          </c:spPr>
          <c:invertIfNegative val="0"/>
          <c:yVal>
            <c:numRef>
              <c:f>pivot!$C$44:$C$59</c:f>
              <c:numCache>
                <c:formatCode>General</c:formatCode>
                <c:ptCount val="1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numCache>
            </c:numRef>
          </c:yVal>
          <c:bubbleSize>
            <c:numRef>
              <c:f>pivot!$D$44:$D$59</c:f>
              <c:numCache>
                <c:formatCode>0.00,"K"</c:formatCode>
                <c:ptCount val="16"/>
                <c:pt idx="0">
                  <c:v>249421.1794871795</c:v>
                </c:pt>
                <c:pt idx="1">
                  <c:v>279749.73749999999</c:v>
                </c:pt>
                <c:pt idx="2">
                  <c:v>256292.16923076924</c:v>
                </c:pt>
                <c:pt idx="3">
                  <c:v>259175.42424242425</c:v>
                </c:pt>
                <c:pt idx="4">
                  <c:v>289845.22784810129</c:v>
                </c:pt>
                <c:pt idx="5">
                  <c:v>277700.27586206899</c:v>
                </c:pt>
                <c:pt idx="6">
                  <c:v>270767.31506849313</c:v>
                </c:pt>
                <c:pt idx="7">
                  <c:v>255435.4025974026</c:v>
                </c:pt>
                <c:pt idx="8">
                  <c:v>254032.1794871795</c:v>
                </c:pt>
                <c:pt idx="9">
                  <c:v>238587.14285714287</c:v>
                </c:pt>
                <c:pt idx="10">
                  <c:v>277489.71666666667</c:v>
                </c:pt>
                <c:pt idx="11">
                  <c:v>284639.4675324675</c:v>
                </c:pt>
                <c:pt idx="12">
                  <c:v>244340.46376811594</c:v>
                </c:pt>
                <c:pt idx="13">
                  <c:v>278341.23287671234</c:v>
                </c:pt>
                <c:pt idx="14">
                  <c:v>253951.63529411764</c:v>
                </c:pt>
                <c:pt idx="15">
                  <c:v>267863.5</c:v>
                </c:pt>
              </c:numCache>
            </c:numRef>
          </c:bubbleSize>
          <c:bubble3D val="0"/>
          <c:extLst>
            <c:ext xmlns:c16="http://schemas.microsoft.com/office/drawing/2014/chart" uri="{C3380CC4-5D6E-409C-BE32-E72D297353CC}">
              <c16:uniqueId val="{00000000-5E5D-492A-8BBF-DD54098435D0}"/>
            </c:ext>
          </c:extLst>
        </c:ser>
        <c:dLbls>
          <c:showLegendKey val="0"/>
          <c:showVal val="0"/>
          <c:showCatName val="0"/>
          <c:showSerName val="0"/>
          <c:showPercent val="0"/>
          <c:showBubbleSize val="0"/>
        </c:dLbls>
        <c:bubbleScale val="100"/>
        <c:showNegBubbles val="0"/>
        <c:axId val="1964220128"/>
        <c:axId val="1898529680"/>
      </c:bubbleChart>
      <c:valAx>
        <c:axId val="1964220128"/>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8529680"/>
        <c:crosses val="autoZero"/>
        <c:crossBetween val="midCat"/>
      </c:valAx>
      <c:valAx>
        <c:axId val="1898529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422012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[global_finance_sales_.xlsx]pivot!PivotTable13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FFFFFF"/>
                </a:solidFill>
              </a:rPr>
              <a:t>Product category wise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9662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Total</c:v>
                </c:pt>
              </c:strCache>
            </c:strRef>
          </c:tx>
          <c:spPr>
            <a:solidFill>
              <a:srgbClr val="C96627"/>
            </a:solidFill>
            <a:ln>
              <a:noFill/>
            </a:ln>
            <a:effectLst/>
          </c:spPr>
          <c:invertIfNegative val="0"/>
          <c:cat>
            <c:strRef>
              <c:f>pivot!$A$4:$A$8</c:f>
              <c:strCache>
                <c:ptCount val="4"/>
                <c:pt idx="0">
                  <c:v>Cloud Services</c:v>
                </c:pt>
                <c:pt idx="1">
                  <c:v>Consulting</c:v>
                </c:pt>
                <c:pt idx="2">
                  <c:v>Enterprise Software</c:v>
                </c:pt>
                <c:pt idx="3">
                  <c:v>Hardware</c:v>
                </c:pt>
              </c:strCache>
            </c:strRef>
          </c:cat>
          <c:val>
            <c:numRef>
              <c:f>pivot!$B$4:$B$8</c:f>
              <c:numCache>
                <c:formatCode>0.00,,"M"</c:formatCode>
                <c:ptCount val="4"/>
                <c:pt idx="0">
                  <c:v>39810613</c:v>
                </c:pt>
                <c:pt idx="1">
                  <c:v>40343141</c:v>
                </c:pt>
                <c:pt idx="2">
                  <c:v>49827830</c:v>
                </c:pt>
                <c:pt idx="3">
                  <c:v>39260541</c:v>
                </c:pt>
              </c:numCache>
            </c:numRef>
          </c:val>
          <c:extLst>
            <c:ext xmlns:c16="http://schemas.microsoft.com/office/drawing/2014/chart" uri="{C3380CC4-5D6E-409C-BE32-E72D297353CC}">
              <c16:uniqueId val="{00000001-BF04-43C1-80C1-3407BB0D6E96}"/>
            </c:ext>
          </c:extLst>
        </c:ser>
        <c:dLbls>
          <c:showLegendKey val="0"/>
          <c:showVal val="0"/>
          <c:showCatName val="0"/>
          <c:showSerName val="0"/>
          <c:showPercent val="0"/>
          <c:showBubbleSize val="0"/>
        </c:dLbls>
        <c:gapWidth val="219"/>
        <c:overlap val="-27"/>
        <c:axId val="227687791"/>
        <c:axId val="2059932847"/>
      </c:barChart>
      <c:catAx>
        <c:axId val="227687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2059932847"/>
        <c:crosses val="autoZero"/>
        <c:auto val="1"/>
        <c:lblAlgn val="ctr"/>
        <c:lblOffset val="100"/>
        <c:noMultiLvlLbl val="0"/>
      </c:catAx>
      <c:valAx>
        <c:axId val="2059932847"/>
        <c:scaling>
          <c:orientation val="minMax"/>
        </c:scaling>
        <c:delete val="0"/>
        <c:axPos val="l"/>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bg1"/>
                </a:solidFill>
                <a:effectLst/>
                <a:latin typeface="+mn-lt"/>
                <a:ea typeface="+mn-ea"/>
                <a:cs typeface="+mn-cs"/>
              </a:defRPr>
            </a:pPr>
            <a:endParaRPr lang="en-US"/>
          </a:p>
        </c:txPr>
        <c:crossAx val="227687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F6F54"/>
    </a:solidFill>
    <a:ln w="9525" cap="flat" cmpd="sng" algn="ctr">
      <a:solidFill>
        <a:srgbClr val="C96627"/>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[global_finance_sales_.xlsx]pivot!PivotTable14</c:name>
    <c:fmtId val="3"/>
  </c:pivotSource>
  <c:chart>
    <c:title>
      <c:tx>
        <c:rich>
          <a:bodyPr rot="0" spcFirstLastPara="1" vertOverflow="ellipsis" vert="horz" wrap="square" anchor="ctr" anchorCtr="1"/>
          <a:lstStyle/>
          <a:p>
            <a:pPr>
              <a:defRPr sz="1400" b="0" i="0" u="none" strike="noStrike" kern="1200" spc="0" baseline="0">
                <a:solidFill>
                  <a:srgbClr val="FFFFFF"/>
                </a:solidFill>
                <a:latin typeface="+mn-lt"/>
                <a:ea typeface="+mn-ea"/>
                <a:cs typeface="+mn-cs"/>
              </a:defRPr>
            </a:pPr>
            <a:r>
              <a:rPr lang="en-US" b="1">
                <a:solidFill>
                  <a:srgbClr val="FFFFFF"/>
                </a:solidFill>
              </a:rPr>
              <a:t>Region wise Gross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FFFF"/>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1"/>
        <c:spPr>
          <a:solidFill>
            <a:srgbClr val="17221D"/>
          </a:solidFill>
          <a:ln w="19050">
            <a:solidFill>
              <a:schemeClr val="lt1"/>
            </a:solidFill>
          </a:ln>
          <a:effectLst/>
        </c:spPr>
      </c:pivotFmt>
      <c:pivotFmt>
        <c:idx val="12"/>
        <c:spPr>
          <a:solidFill>
            <a:schemeClr val="accent2">
              <a:lumMod val="60000"/>
              <a:lumOff val="40000"/>
            </a:schemeClr>
          </a:solidFill>
          <a:ln w="19050">
            <a:solidFill>
              <a:schemeClr val="lt1"/>
            </a:solidFill>
          </a:ln>
          <a:effectLst/>
        </c:spPr>
      </c:pivotFmt>
      <c:pivotFmt>
        <c:idx val="13"/>
        <c:spPr>
          <a:solidFill>
            <a:schemeClr val="tx1">
              <a:lumMod val="65000"/>
              <a:lumOff val="35000"/>
            </a:schemeClr>
          </a:solidFill>
          <a:ln w="19050">
            <a:solidFill>
              <a:schemeClr val="lt1"/>
            </a:solidFill>
          </a:ln>
          <a:effectLst/>
        </c:spPr>
      </c:pivotFmt>
      <c:pivotFmt>
        <c:idx val="14"/>
        <c:spPr>
          <a:solidFill>
            <a:srgbClr val="C96627"/>
          </a:solidFill>
          <a:ln w="19050">
            <a:solidFill>
              <a:schemeClr val="lt1"/>
            </a:solidFill>
          </a:ln>
          <a:effectLst/>
        </c:spPr>
      </c:pivotFmt>
    </c:pivotFmts>
    <c:plotArea>
      <c:layout/>
      <c:pieChart>
        <c:varyColors val="1"/>
        <c:ser>
          <c:idx val="0"/>
          <c:order val="0"/>
          <c:tx>
            <c:strRef>
              <c:f>pivot!$B$11</c:f>
              <c:strCache>
                <c:ptCount val="1"/>
                <c:pt idx="0">
                  <c:v>Total</c:v>
                </c:pt>
              </c:strCache>
            </c:strRef>
          </c:tx>
          <c:dPt>
            <c:idx val="0"/>
            <c:bubble3D val="0"/>
            <c:spPr>
              <a:solidFill>
                <a:srgbClr val="17221D"/>
              </a:solidFill>
              <a:ln w="19050">
                <a:solidFill>
                  <a:schemeClr val="lt1"/>
                </a:solidFill>
              </a:ln>
              <a:effectLst/>
            </c:spPr>
            <c:extLst>
              <c:ext xmlns:c16="http://schemas.microsoft.com/office/drawing/2014/chart" uri="{C3380CC4-5D6E-409C-BE32-E72D297353CC}">
                <c16:uniqueId val="{00000001-8AC4-453C-B3D8-11A09B535628}"/>
              </c:ext>
            </c:extLst>
          </c:dPt>
          <c:dPt>
            <c:idx val="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3-8AC4-453C-B3D8-11A09B535628}"/>
              </c:ext>
            </c:extLst>
          </c:dPt>
          <c:dPt>
            <c:idx val="2"/>
            <c:bubble3D val="0"/>
            <c:spPr>
              <a:solidFill>
                <a:schemeClr val="tx1">
                  <a:lumMod val="65000"/>
                  <a:lumOff val="35000"/>
                </a:schemeClr>
              </a:solidFill>
              <a:ln w="19050">
                <a:solidFill>
                  <a:schemeClr val="lt1"/>
                </a:solidFill>
              </a:ln>
              <a:effectLst/>
            </c:spPr>
            <c:extLst>
              <c:ext xmlns:c16="http://schemas.microsoft.com/office/drawing/2014/chart" uri="{C3380CC4-5D6E-409C-BE32-E72D297353CC}">
                <c16:uniqueId val="{00000005-8AC4-453C-B3D8-11A09B535628}"/>
              </c:ext>
            </c:extLst>
          </c:dPt>
          <c:dPt>
            <c:idx val="3"/>
            <c:bubble3D val="0"/>
            <c:spPr>
              <a:solidFill>
                <a:srgbClr val="C96627"/>
              </a:solidFill>
              <a:ln w="19050">
                <a:solidFill>
                  <a:schemeClr val="lt1"/>
                </a:solidFill>
              </a:ln>
              <a:effectLst/>
            </c:spPr>
            <c:extLst>
              <c:ext xmlns:c16="http://schemas.microsoft.com/office/drawing/2014/chart" uri="{C3380CC4-5D6E-409C-BE32-E72D297353CC}">
                <c16:uniqueId val="{00000007-8AC4-453C-B3D8-11A09B53562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pivot!$A$12:$A$16</c:f>
              <c:strCache>
                <c:ptCount val="4"/>
                <c:pt idx="0">
                  <c:v>APAC</c:v>
                </c:pt>
                <c:pt idx="1">
                  <c:v>EMEA</c:v>
                </c:pt>
                <c:pt idx="2">
                  <c:v>LATAM</c:v>
                </c:pt>
                <c:pt idx="3">
                  <c:v>North America</c:v>
                </c:pt>
              </c:strCache>
            </c:strRef>
          </c:cat>
          <c:val>
            <c:numRef>
              <c:f>pivot!$B$12:$B$16</c:f>
              <c:numCache>
                <c:formatCode>General</c:formatCode>
                <c:ptCount val="4"/>
                <c:pt idx="0">
                  <c:v>40816067</c:v>
                </c:pt>
                <c:pt idx="1">
                  <c:v>43494502</c:v>
                </c:pt>
                <c:pt idx="2">
                  <c:v>39266710</c:v>
                </c:pt>
                <c:pt idx="3">
                  <c:v>45664846</c:v>
                </c:pt>
              </c:numCache>
            </c:numRef>
          </c:val>
          <c:extLst>
            <c:ext xmlns:c16="http://schemas.microsoft.com/office/drawing/2014/chart" uri="{C3380CC4-5D6E-409C-BE32-E72D297353CC}">
              <c16:uniqueId val="{00000008-8AC4-453C-B3D8-11A09B535628}"/>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F6F54"/>
    </a:solidFill>
    <a:ln w="9525" cap="flat" cmpd="sng" algn="ctr">
      <a:solidFill>
        <a:srgbClr val="C96627"/>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[global_finance_sales_.xlsx]pivot!PivotTable15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Budget Achievement of each channel</a:t>
            </a:r>
          </a:p>
        </c:rich>
      </c:tx>
      <c:overlay val="0"/>
      <c:spPr>
        <a:solidFill>
          <a:srgbClr val="1F6F54"/>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C9662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pivot!$B$19</c:f>
              <c:strCache>
                <c:ptCount val="1"/>
                <c:pt idx="0">
                  <c:v>Total</c:v>
                </c:pt>
              </c:strCache>
            </c:strRef>
          </c:tx>
          <c:spPr>
            <a:solidFill>
              <a:srgbClr val="C96627"/>
            </a:solidFill>
            <a:ln>
              <a:noFill/>
            </a:ln>
            <a:effectLst/>
          </c:spPr>
          <c:invertIfNegative val="0"/>
          <c:cat>
            <c:strRef>
              <c:f>pivot!$A$20:$A$23</c:f>
              <c:strCache>
                <c:ptCount val="3"/>
                <c:pt idx="0">
                  <c:v>Direct</c:v>
                </c:pt>
                <c:pt idx="1">
                  <c:v>Online</c:v>
                </c:pt>
                <c:pt idx="2">
                  <c:v>Partner</c:v>
                </c:pt>
              </c:strCache>
            </c:strRef>
          </c:cat>
          <c:val>
            <c:numRef>
              <c:f>pivot!$B$20:$B$23</c:f>
              <c:numCache>
                <c:formatCode>0.00%</c:formatCode>
                <c:ptCount val="3"/>
                <c:pt idx="0">
                  <c:v>0.9978118169133311</c:v>
                </c:pt>
                <c:pt idx="1">
                  <c:v>0.99880603364590048</c:v>
                </c:pt>
                <c:pt idx="2">
                  <c:v>1.0053584209370976</c:v>
                </c:pt>
              </c:numCache>
            </c:numRef>
          </c:val>
          <c:extLst>
            <c:ext xmlns:c16="http://schemas.microsoft.com/office/drawing/2014/chart" uri="{C3380CC4-5D6E-409C-BE32-E72D297353CC}">
              <c16:uniqueId val="{00000001-2186-45CD-862A-49D57B87DF6A}"/>
            </c:ext>
          </c:extLst>
        </c:ser>
        <c:dLbls>
          <c:showLegendKey val="0"/>
          <c:showVal val="0"/>
          <c:showCatName val="0"/>
          <c:showSerName val="0"/>
          <c:showPercent val="0"/>
          <c:showBubbleSize val="0"/>
        </c:dLbls>
        <c:gapWidth val="182"/>
        <c:axId val="2630384"/>
        <c:axId val="2059833007"/>
      </c:barChart>
      <c:catAx>
        <c:axId val="2630384"/>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2059833007"/>
        <c:crosses val="autoZero"/>
        <c:auto val="1"/>
        <c:lblAlgn val="ctr"/>
        <c:lblOffset val="100"/>
        <c:noMultiLvlLbl val="0"/>
      </c:catAx>
      <c:valAx>
        <c:axId val="2059833007"/>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bg1">
                    <a:lumMod val="95000"/>
                  </a:schemeClr>
                </a:solidFill>
                <a:latin typeface="+mn-lt"/>
                <a:ea typeface="+mn-ea"/>
                <a:cs typeface="+mn-cs"/>
              </a:defRPr>
            </a:pPr>
            <a:endParaRPr lang="en-US"/>
          </a:p>
        </c:txPr>
        <c:crossAx val="2630384"/>
        <c:crosses val="autoZero"/>
        <c:crossBetween val="between"/>
        <c:majorUnit val="4.000000000000001E-3"/>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F6F54"/>
    </a:solidFill>
    <a:ln w="9525" cap="flat" cmpd="sng" algn="ctr">
      <a:solidFill>
        <a:srgbClr val="C96627"/>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[global_finance_sales_.xlsx]pivot!PivotTable16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FFFFFF"/>
                </a:solidFill>
              </a:rPr>
              <a:t>Quartile wise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C9662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pivot!$B$26</c:f>
              <c:strCache>
                <c:ptCount val="1"/>
                <c:pt idx="0">
                  <c:v>Total</c:v>
                </c:pt>
              </c:strCache>
            </c:strRef>
          </c:tx>
          <c:spPr>
            <a:ln w="28575" cap="rnd">
              <a:solidFill>
                <a:srgbClr val="C96627"/>
              </a:solidFill>
              <a:round/>
            </a:ln>
            <a:effectLst/>
          </c:spPr>
          <c:marker>
            <c:symbol val="none"/>
          </c:marker>
          <c:cat>
            <c:strRef>
              <c:f>pivot!$A$27:$A$31</c:f>
              <c:strCache>
                <c:ptCount val="4"/>
                <c:pt idx="0">
                  <c:v>Qtr1</c:v>
                </c:pt>
                <c:pt idx="1">
                  <c:v>Qtr2</c:v>
                </c:pt>
                <c:pt idx="2">
                  <c:v>Qtr3</c:v>
                </c:pt>
                <c:pt idx="3">
                  <c:v>Qtr4</c:v>
                </c:pt>
              </c:strCache>
            </c:strRef>
          </c:cat>
          <c:val>
            <c:numRef>
              <c:f>pivot!$B$27:$B$31</c:f>
              <c:numCache>
                <c:formatCode>0.00,,"M"</c:formatCode>
                <c:ptCount val="4"/>
                <c:pt idx="0">
                  <c:v>82425325</c:v>
                </c:pt>
                <c:pt idx="1">
                  <c:v>75559787</c:v>
                </c:pt>
                <c:pt idx="2">
                  <c:v>84530311</c:v>
                </c:pt>
                <c:pt idx="3">
                  <c:v>75450473</c:v>
                </c:pt>
              </c:numCache>
            </c:numRef>
          </c:val>
          <c:smooth val="0"/>
          <c:extLst>
            <c:ext xmlns:c16="http://schemas.microsoft.com/office/drawing/2014/chart" uri="{C3380CC4-5D6E-409C-BE32-E72D297353CC}">
              <c16:uniqueId val="{00000000-C346-45D4-9628-A5FCD47DEA59}"/>
            </c:ext>
          </c:extLst>
        </c:ser>
        <c:dLbls>
          <c:showLegendKey val="0"/>
          <c:showVal val="0"/>
          <c:showCatName val="0"/>
          <c:showSerName val="0"/>
          <c:showPercent val="0"/>
          <c:showBubbleSize val="0"/>
        </c:dLbls>
        <c:smooth val="0"/>
        <c:axId val="178666608"/>
        <c:axId val="2059908847"/>
      </c:lineChart>
      <c:catAx>
        <c:axId val="178666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2059908847"/>
        <c:crosses val="autoZero"/>
        <c:auto val="1"/>
        <c:lblAlgn val="ctr"/>
        <c:lblOffset val="100"/>
        <c:noMultiLvlLbl val="0"/>
      </c:catAx>
      <c:valAx>
        <c:axId val="2059908847"/>
        <c:scaling>
          <c:orientation val="minMax"/>
        </c:scaling>
        <c:delete val="0"/>
        <c:axPos val="l"/>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178666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F6F54"/>
    </a:solidFill>
    <a:ln w="9525" cap="flat" cmpd="sng" algn="ctr">
      <a:solidFill>
        <a:srgbClr val="C96627"/>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[global_finance_sales_.xlsx]pivot!PivotTable17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rgbClr val="F5F6F4"/>
                </a:solidFill>
              </a:rPr>
              <a:t>Revenue vs COGS by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7221D"/>
          </a:solidFill>
          <a:ln>
            <a:solidFill>
              <a:srgbClr val="C96627"/>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pivot!$B$35</c:f>
              <c:strCache>
                <c:ptCount val="1"/>
                <c:pt idx="0">
                  <c:v>Sum of Revenue_USD</c:v>
                </c:pt>
              </c:strCache>
            </c:strRef>
          </c:tx>
          <c:spPr>
            <a:solidFill>
              <a:srgbClr val="17221D"/>
            </a:solidFill>
            <a:ln>
              <a:solidFill>
                <a:srgbClr val="C96627"/>
              </a:solidFill>
            </a:ln>
            <a:effectLst/>
          </c:spPr>
          <c:invertIfNegative val="0"/>
          <c:cat>
            <c:strRef>
              <c:f>pivot!$A$36:$A$40</c:f>
              <c:strCache>
                <c:ptCount val="4"/>
                <c:pt idx="0">
                  <c:v>Cloud Services</c:v>
                </c:pt>
                <c:pt idx="1">
                  <c:v>Consulting</c:v>
                </c:pt>
                <c:pt idx="2">
                  <c:v>Enterprise Software</c:v>
                </c:pt>
                <c:pt idx="3">
                  <c:v>Hardware</c:v>
                </c:pt>
              </c:strCache>
            </c:strRef>
          </c:cat>
          <c:val>
            <c:numRef>
              <c:f>pivot!$B$36:$B$40</c:f>
              <c:numCache>
                <c:formatCode>0.00,,"M"</c:formatCode>
                <c:ptCount val="4"/>
                <c:pt idx="0">
                  <c:v>74830103</c:v>
                </c:pt>
                <c:pt idx="1">
                  <c:v>76148902</c:v>
                </c:pt>
                <c:pt idx="2">
                  <c:v>92519107</c:v>
                </c:pt>
                <c:pt idx="3">
                  <c:v>74467784</c:v>
                </c:pt>
              </c:numCache>
            </c:numRef>
          </c:val>
          <c:extLst>
            <c:ext xmlns:c16="http://schemas.microsoft.com/office/drawing/2014/chart" uri="{C3380CC4-5D6E-409C-BE32-E72D297353CC}">
              <c16:uniqueId val="{00000000-CB9B-4CBA-8A74-1B22FBD47A51}"/>
            </c:ext>
          </c:extLst>
        </c:ser>
        <c:dLbls>
          <c:showLegendKey val="0"/>
          <c:showVal val="0"/>
          <c:showCatName val="0"/>
          <c:showSerName val="0"/>
          <c:showPercent val="0"/>
          <c:showBubbleSize val="0"/>
        </c:dLbls>
        <c:gapWidth val="219"/>
        <c:overlap val="-27"/>
        <c:axId val="227704495"/>
        <c:axId val="2059885807"/>
      </c:barChart>
      <c:lineChart>
        <c:grouping val="standard"/>
        <c:varyColors val="0"/>
        <c:ser>
          <c:idx val="1"/>
          <c:order val="1"/>
          <c:tx>
            <c:strRef>
              <c:f>pivot!$C$35</c:f>
              <c:strCache>
                <c:ptCount val="1"/>
                <c:pt idx="0">
                  <c:v>Sum of COGS_USD</c:v>
                </c:pt>
              </c:strCache>
            </c:strRef>
          </c:tx>
          <c:spPr>
            <a:ln w="28575" cap="rnd">
              <a:solidFill>
                <a:schemeClr val="accent2"/>
              </a:solidFill>
              <a:round/>
            </a:ln>
            <a:effectLst/>
          </c:spPr>
          <c:marker>
            <c:symbol val="none"/>
          </c:marker>
          <c:cat>
            <c:strRef>
              <c:f>pivot!$A$36:$A$40</c:f>
              <c:strCache>
                <c:ptCount val="4"/>
                <c:pt idx="0">
                  <c:v>Cloud Services</c:v>
                </c:pt>
                <c:pt idx="1">
                  <c:v>Consulting</c:v>
                </c:pt>
                <c:pt idx="2">
                  <c:v>Enterprise Software</c:v>
                </c:pt>
                <c:pt idx="3">
                  <c:v>Hardware</c:v>
                </c:pt>
              </c:strCache>
            </c:strRef>
          </c:cat>
          <c:val>
            <c:numRef>
              <c:f>pivot!$C$36:$C$40</c:f>
              <c:numCache>
                <c:formatCode>0.00,,"M"</c:formatCode>
                <c:ptCount val="4"/>
                <c:pt idx="0">
                  <c:v>35019490</c:v>
                </c:pt>
                <c:pt idx="1">
                  <c:v>35805761</c:v>
                </c:pt>
                <c:pt idx="2">
                  <c:v>42691277</c:v>
                </c:pt>
                <c:pt idx="3">
                  <c:v>35207243</c:v>
                </c:pt>
              </c:numCache>
            </c:numRef>
          </c:val>
          <c:smooth val="0"/>
          <c:extLst>
            <c:ext xmlns:c16="http://schemas.microsoft.com/office/drawing/2014/chart" uri="{C3380CC4-5D6E-409C-BE32-E72D297353CC}">
              <c16:uniqueId val="{00000001-CB9B-4CBA-8A74-1B22FBD47A51}"/>
            </c:ext>
          </c:extLst>
        </c:ser>
        <c:dLbls>
          <c:showLegendKey val="0"/>
          <c:showVal val="0"/>
          <c:showCatName val="0"/>
          <c:showSerName val="0"/>
          <c:showPercent val="0"/>
          <c:showBubbleSize val="0"/>
        </c:dLbls>
        <c:marker val="1"/>
        <c:smooth val="0"/>
        <c:axId val="227704495"/>
        <c:axId val="2059885807"/>
      </c:lineChart>
      <c:catAx>
        <c:axId val="227704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2059885807"/>
        <c:crosses val="autoZero"/>
        <c:auto val="1"/>
        <c:lblAlgn val="ctr"/>
        <c:lblOffset val="100"/>
        <c:noMultiLvlLbl val="0"/>
      </c:catAx>
      <c:valAx>
        <c:axId val="2059885807"/>
        <c:scaling>
          <c:orientation val="minMax"/>
        </c:scaling>
        <c:delete val="0"/>
        <c:axPos val="l"/>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227704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F6F54"/>
    </a:solidFill>
    <a:ln w="9525" cap="flat" cmpd="sng" algn="ctr">
      <a:solidFill>
        <a:srgbClr val="C96627"/>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F5F6F4"/>
                </a:solidFill>
              </a:rPr>
              <a:t>Discount impact on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rgbClr val="C96627"/>
              </a:solidFill>
              <a:ln w="9525">
                <a:solidFill>
                  <a:schemeClr val="accent1"/>
                </a:solidFill>
              </a:ln>
              <a:effectLst/>
            </c:spPr>
          </c:marker>
          <c:xVal>
            <c:numRef>
              <c:f>pivot!$C$44:$C$59</c:f>
              <c:numCache>
                <c:formatCode>General</c:formatCode>
                <c:ptCount val="1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numCache>
            </c:numRef>
          </c:xVal>
          <c:yVal>
            <c:numRef>
              <c:f>pivot!$D$44:$D$59</c:f>
              <c:numCache>
                <c:formatCode>0.00,"K"</c:formatCode>
                <c:ptCount val="16"/>
                <c:pt idx="0">
                  <c:v>249421.1794871795</c:v>
                </c:pt>
                <c:pt idx="1">
                  <c:v>279749.73749999999</c:v>
                </c:pt>
                <c:pt idx="2">
                  <c:v>256292.16923076924</c:v>
                </c:pt>
                <c:pt idx="3">
                  <c:v>259175.42424242425</c:v>
                </c:pt>
                <c:pt idx="4">
                  <c:v>289845.22784810129</c:v>
                </c:pt>
                <c:pt idx="5">
                  <c:v>277700.27586206899</c:v>
                </c:pt>
                <c:pt idx="6">
                  <c:v>270767.31506849313</c:v>
                </c:pt>
                <c:pt idx="7">
                  <c:v>255435.4025974026</c:v>
                </c:pt>
                <c:pt idx="8">
                  <c:v>254032.1794871795</c:v>
                </c:pt>
                <c:pt idx="9">
                  <c:v>238587.14285714287</c:v>
                </c:pt>
                <c:pt idx="10">
                  <c:v>277489.71666666667</c:v>
                </c:pt>
                <c:pt idx="11">
                  <c:v>284639.4675324675</c:v>
                </c:pt>
                <c:pt idx="12">
                  <c:v>244340.46376811594</c:v>
                </c:pt>
                <c:pt idx="13">
                  <c:v>278341.23287671234</c:v>
                </c:pt>
                <c:pt idx="14">
                  <c:v>253951.63529411764</c:v>
                </c:pt>
                <c:pt idx="15">
                  <c:v>267863.5</c:v>
                </c:pt>
              </c:numCache>
            </c:numRef>
          </c:yVal>
          <c:smooth val="0"/>
          <c:extLst>
            <c:ext xmlns:c16="http://schemas.microsoft.com/office/drawing/2014/chart" uri="{C3380CC4-5D6E-409C-BE32-E72D297353CC}">
              <c16:uniqueId val="{00000000-4DC5-46A0-A967-94A9BB53DCD0}"/>
            </c:ext>
          </c:extLst>
        </c:ser>
        <c:dLbls>
          <c:showLegendKey val="0"/>
          <c:showVal val="0"/>
          <c:showCatName val="0"/>
          <c:showSerName val="0"/>
          <c:showPercent val="0"/>
          <c:showBubbleSize val="0"/>
        </c:dLbls>
        <c:axId val="1865652592"/>
        <c:axId val="895644272"/>
      </c:scatterChart>
      <c:valAx>
        <c:axId val="1865652592"/>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895644272"/>
        <c:crosses val="autoZero"/>
        <c:crossBetween val="midCat"/>
      </c:valAx>
      <c:valAx>
        <c:axId val="895644272"/>
        <c:scaling>
          <c:orientation val="minMax"/>
        </c:scaling>
        <c:delete val="0"/>
        <c:axPos val="l"/>
        <c:numFmt formatCode="0.00,&quot;K&quot;"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186565259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F6F54"/>
    </a:solidFill>
    <a:ln w="9525" cap="flat" cmpd="sng" algn="ctr">
      <a:solidFill>
        <a:srgbClr val="C96627"/>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[global_finance_sales_.xlsx]pivot!PivotTable19</c:name>
    <c:fmtId val="3"/>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solidFill>
                  <a:schemeClr val="bg1"/>
                </a:solidFill>
              </a:rPr>
              <a:t>CSAT by Sales Channel</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rgbClr val="C96627"/>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rgbClr val="C96627"/>
          </a:solidFill>
          <a:ln w="19050">
            <a:solidFill>
              <a:schemeClr val="lt1"/>
            </a:solidFill>
          </a:ln>
          <a:effectLst/>
        </c:spPr>
        <c:dLbl>
          <c:idx val="0"/>
          <c:layout>
            <c:manualLayout>
              <c:x val="7.4888138394731144E-2"/>
              <c:y val="-3.9015144096828172E-2"/>
            </c:manualLayout>
          </c:layout>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2">
              <a:lumMod val="20000"/>
              <a:lumOff val="80000"/>
            </a:schemeClr>
          </a:solidFill>
          <a:ln w="19050">
            <a:solidFill>
              <a:schemeClr val="lt1"/>
            </a:solidFill>
          </a:ln>
          <a:effectLst/>
        </c:spPr>
        <c:dLbl>
          <c:idx val="0"/>
          <c:layout>
            <c:manualLayout>
              <c:x val="2.8533721691514969E-3"/>
              <c:y val="-0.12067382553842974"/>
            </c:manualLayout>
          </c:layout>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2">
              <a:lumMod val="60000"/>
              <a:lumOff val="40000"/>
            </a:schemeClr>
          </a:solidFill>
          <a:ln w="19050">
            <a:solidFill>
              <a:schemeClr val="lt1"/>
            </a:solidFill>
          </a:ln>
          <a:effectLst/>
        </c:spPr>
        <c:dLbl>
          <c:idx val="0"/>
          <c:layout>
            <c:manualLayout>
              <c:x val="-7.6234016060665807E-2"/>
              <c:y val="-0.11795272579129844"/>
            </c:manualLayout>
          </c:layout>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568071798932075"/>
                  <c:h val="0.22173261166584912"/>
                </c:manualLayout>
              </c15:layout>
            </c:ext>
          </c:extLst>
        </c:dLbl>
      </c:pivotFmt>
    </c:pivotFmts>
    <c:plotArea>
      <c:layout/>
      <c:doughnutChart>
        <c:varyColors val="1"/>
        <c:ser>
          <c:idx val="0"/>
          <c:order val="0"/>
          <c:tx>
            <c:strRef>
              <c:f>pivot!$B$66</c:f>
              <c:strCache>
                <c:ptCount val="1"/>
                <c:pt idx="0">
                  <c:v>Total</c:v>
                </c:pt>
              </c:strCache>
            </c:strRef>
          </c:tx>
          <c:spPr>
            <a:solidFill>
              <a:srgbClr val="C96627"/>
            </a:solidFill>
          </c:spPr>
          <c:dPt>
            <c:idx val="0"/>
            <c:bubble3D val="0"/>
            <c:spPr>
              <a:solidFill>
                <a:srgbClr val="C96627"/>
              </a:solidFill>
              <a:ln w="19050">
                <a:solidFill>
                  <a:schemeClr val="lt1"/>
                </a:solidFill>
              </a:ln>
              <a:effectLst/>
            </c:spPr>
            <c:extLst>
              <c:ext xmlns:c16="http://schemas.microsoft.com/office/drawing/2014/chart" uri="{C3380CC4-5D6E-409C-BE32-E72D297353CC}">
                <c16:uniqueId val="{00000001-1DA3-4412-93F2-69F375D2E720}"/>
              </c:ext>
            </c:extLst>
          </c:dPt>
          <c:dPt>
            <c:idx val="1"/>
            <c:bubble3D val="0"/>
            <c:spPr>
              <a:solidFill>
                <a:schemeClr val="accent2">
                  <a:lumMod val="20000"/>
                  <a:lumOff val="80000"/>
                </a:schemeClr>
              </a:solidFill>
              <a:ln w="19050">
                <a:solidFill>
                  <a:schemeClr val="lt1"/>
                </a:solidFill>
              </a:ln>
              <a:effectLst/>
            </c:spPr>
            <c:extLst>
              <c:ext xmlns:c16="http://schemas.microsoft.com/office/drawing/2014/chart" uri="{C3380CC4-5D6E-409C-BE32-E72D297353CC}">
                <c16:uniqueId val="{00000003-1DA3-4412-93F2-69F375D2E720}"/>
              </c:ext>
            </c:extLst>
          </c:dPt>
          <c:dPt>
            <c:idx val="2"/>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5-1DA3-4412-93F2-69F375D2E720}"/>
              </c:ext>
            </c:extLst>
          </c:dPt>
          <c:dLbls>
            <c:dLbl>
              <c:idx val="0"/>
              <c:layout>
                <c:manualLayout>
                  <c:x val="7.4888138394731144E-2"/>
                  <c:y val="-3.901514409682817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DA3-4412-93F2-69F375D2E720}"/>
                </c:ext>
              </c:extLst>
            </c:dLbl>
            <c:dLbl>
              <c:idx val="1"/>
              <c:layout>
                <c:manualLayout>
                  <c:x val="2.8533721691514969E-3"/>
                  <c:y val="-0.1206738255384297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DA3-4412-93F2-69F375D2E720}"/>
                </c:ext>
              </c:extLst>
            </c:dLbl>
            <c:dLbl>
              <c:idx val="2"/>
              <c:layout>
                <c:manualLayout>
                  <c:x val="-7.6234016060665807E-2"/>
                  <c:y val="-0.11795272579129844"/>
                </c:manualLayout>
              </c:layout>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568071798932075"/>
                      <c:h val="0.22173261166584912"/>
                    </c:manualLayout>
                  </c15:layout>
                </c:ext>
                <c:ext xmlns:c16="http://schemas.microsoft.com/office/drawing/2014/chart" uri="{C3380CC4-5D6E-409C-BE32-E72D297353CC}">
                  <c16:uniqueId val="{00000005-1DA3-4412-93F2-69F375D2E720}"/>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pivot!$A$67:$A$70</c:f>
              <c:strCache>
                <c:ptCount val="3"/>
                <c:pt idx="0">
                  <c:v>Direct</c:v>
                </c:pt>
                <c:pt idx="1">
                  <c:v>Online</c:v>
                </c:pt>
                <c:pt idx="2">
                  <c:v>Partner</c:v>
                </c:pt>
              </c:strCache>
            </c:strRef>
          </c:cat>
          <c:val>
            <c:numRef>
              <c:f>pivot!$B$67:$B$70</c:f>
              <c:numCache>
                <c:formatCode>General</c:formatCode>
                <c:ptCount val="3"/>
                <c:pt idx="0">
                  <c:v>4.2201030927835044</c:v>
                </c:pt>
                <c:pt idx="1">
                  <c:v>4.244029850746271</c:v>
                </c:pt>
                <c:pt idx="2">
                  <c:v>4.2409756097560951</c:v>
                </c:pt>
              </c:numCache>
            </c:numRef>
          </c:val>
          <c:extLst>
            <c:ext xmlns:c16="http://schemas.microsoft.com/office/drawing/2014/chart" uri="{C3380CC4-5D6E-409C-BE32-E72D297353CC}">
              <c16:uniqueId val="{00000006-1DA3-4412-93F2-69F375D2E720}"/>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F6F54"/>
    </a:solidFill>
    <a:ln w="9525" cap="flat" cmpd="sng" algn="ctr">
      <a:solidFill>
        <a:srgbClr val="C96627"/>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Revenue by Product Category</cx:v>
        </cx:txData>
      </cx:tx>
      <cx:spPr>
        <a:ln>
          <a:noFill/>
        </a:ln>
      </cx:spPr>
      <cx:txPr>
        <a:bodyPr spcFirstLastPara="1" vertOverflow="ellipsis" horzOverflow="overflow" wrap="square" lIns="0" tIns="0" rIns="0" bIns="0" anchor="ctr" anchorCtr="1"/>
        <a:lstStyle/>
        <a:p>
          <a:pPr algn="ctr" rtl="0">
            <a:defRPr>
              <a:solidFill>
                <a:srgbClr val="FFFFFF"/>
              </a:solidFill>
            </a:defRPr>
          </a:pPr>
          <a:r>
            <a:rPr lang="en-GB" sz="1400" b="1" i="0" u="none" strike="noStrike" baseline="0">
              <a:solidFill>
                <a:srgbClr val="FFFFFF"/>
              </a:solidFill>
              <a:latin typeface="Aptos Narrow" panose="02110004020202020204"/>
            </a:rPr>
            <a:t>Revenue by Product Category</a:t>
          </a:r>
        </a:p>
      </cx:txPr>
    </cx:title>
    <cx:plotArea>
      <cx:plotAreaRegion>
        <cx:series layoutId="treemap" uniqueId="{00000000-F731-44BB-8607-530C672E1C6D}">
          <cx:spPr>
            <a:ln>
              <a:solidFill>
                <a:srgbClr val="C96627"/>
              </a:solidFill>
            </a:ln>
          </cx:spPr>
          <cx:dataPt idx="2">
            <cx:spPr>
              <a:ln>
                <a:solidFill>
                  <a:srgbClr val="C96627"/>
                </a:solidFill>
              </a:ln>
            </cx:spPr>
          </cx:dataPt>
          <cx:dataLabels pos="inEnd">
            <cx:visibility seriesName="0" categoryName="1" value="0"/>
          </cx:dataLabels>
          <cx:dataId val="0"/>
          <cx:layoutPr>
            <cx:parentLabelLayout val="overlapping"/>
          </cx:layoutPr>
        </cx:series>
      </cx:plotAreaRegion>
    </cx:plotArea>
  </cx:chart>
  <cx:spPr>
    <a:solidFill>
      <a:srgbClr val="1F6F54"/>
    </a:solidFill>
    <a:ln>
      <a:solidFill>
        <a:srgbClr val="C96627"/>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2.xml"/><Relationship Id="rId18" Type="http://schemas.openxmlformats.org/officeDocument/2006/relationships/chart" Target="../charts/chart7.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6.xml"/><Relationship Id="rId2" Type="http://schemas.openxmlformats.org/officeDocument/2006/relationships/image" Target="../media/image2.svg"/><Relationship Id="rId16" Type="http://schemas.openxmlformats.org/officeDocument/2006/relationships/chart" Target="../charts/chart5.xml"/><Relationship Id="rId20" Type="http://schemas.microsoft.com/office/2014/relationships/chartEx" Target="../charts/chartEx1.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4.xml"/><Relationship Id="rId10" Type="http://schemas.openxmlformats.org/officeDocument/2006/relationships/image" Target="../media/image10.svg"/><Relationship Id="rId19" Type="http://schemas.openxmlformats.org/officeDocument/2006/relationships/chart" Target="../charts/chart8.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xdr:col>
      <xdr:colOff>538480</xdr:colOff>
      <xdr:row>49</xdr:row>
      <xdr:rowOff>101600</xdr:rowOff>
    </xdr:from>
    <xdr:to>
      <xdr:col>7</xdr:col>
      <xdr:colOff>619760</xdr:colOff>
      <xdr:row>64</xdr:row>
      <xdr:rowOff>101600</xdr:rowOff>
    </xdr:to>
    <xdr:graphicFrame macro="">
      <xdr:nvGraphicFramePr>
        <xdr:cNvPr id="11" name="Chart 10">
          <a:extLst>
            <a:ext uri="{FF2B5EF4-FFF2-40B4-BE49-F238E27FC236}">
              <a16:creationId xmlns:a16="http://schemas.microsoft.com/office/drawing/2014/main" id="{3257F897-138F-227C-AAB2-A304F0C557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464820</xdr:colOff>
      <xdr:row>0</xdr:row>
      <xdr:rowOff>0</xdr:rowOff>
    </xdr:from>
    <xdr:to>
      <xdr:col>16</xdr:col>
      <xdr:colOff>381000</xdr:colOff>
      <xdr:row>2</xdr:row>
      <xdr:rowOff>114300</xdr:rowOff>
    </xdr:to>
    <xdr:sp macro="" textlink="">
      <xdr:nvSpPr>
        <xdr:cNvPr id="2" name="TextBox 1">
          <a:extLst>
            <a:ext uri="{FF2B5EF4-FFF2-40B4-BE49-F238E27FC236}">
              <a16:creationId xmlns:a16="http://schemas.microsoft.com/office/drawing/2014/main" id="{B5BD7BE7-9E3A-4049-66F9-FE2DEA6E2196}"/>
            </a:ext>
          </a:extLst>
        </xdr:cNvPr>
        <xdr:cNvSpPr txBox="1"/>
      </xdr:nvSpPr>
      <xdr:spPr>
        <a:xfrm>
          <a:off x="1074420" y="0"/>
          <a:ext cx="9060180" cy="480060"/>
        </a:xfrm>
        <a:prstGeom prst="rect">
          <a:avLst/>
        </a:prstGeom>
        <a:solidFill>
          <a:srgbClr val="17221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t>                                      </a:t>
          </a:r>
          <a:r>
            <a:rPr lang="en-IN" sz="2800" b="1">
              <a:solidFill>
                <a:schemeClr val="bg1"/>
              </a:solidFill>
              <a:latin typeface="Calibri" panose="020F0502020204030204" pitchFamily="34" charset="0"/>
              <a:ea typeface="Calibri" panose="020F0502020204030204" pitchFamily="34" charset="0"/>
              <a:cs typeface="Calibri" panose="020F0502020204030204" pitchFamily="34" charset="0"/>
            </a:rPr>
            <a:t>Financial Performance &amp; Business Insights</a:t>
          </a:r>
        </a:p>
      </xdr:txBody>
    </xdr:sp>
    <xdr:clientData/>
  </xdr:twoCellAnchor>
  <xdr:twoCellAnchor>
    <xdr:from>
      <xdr:col>8</xdr:col>
      <xdr:colOff>563880</xdr:colOff>
      <xdr:row>2</xdr:row>
      <xdr:rowOff>76200</xdr:rowOff>
    </xdr:from>
    <xdr:to>
      <xdr:col>14</xdr:col>
      <xdr:colOff>373380</xdr:colOff>
      <xdr:row>3</xdr:row>
      <xdr:rowOff>144780</xdr:rowOff>
    </xdr:to>
    <xdr:sp macro="" textlink="">
      <xdr:nvSpPr>
        <xdr:cNvPr id="3" name="TextBox 2">
          <a:extLst>
            <a:ext uri="{FF2B5EF4-FFF2-40B4-BE49-F238E27FC236}">
              <a16:creationId xmlns:a16="http://schemas.microsoft.com/office/drawing/2014/main" id="{4EC563EF-A362-C0C3-9A29-107902E1EC46}"/>
            </a:ext>
          </a:extLst>
        </xdr:cNvPr>
        <xdr:cNvSpPr txBox="1"/>
      </xdr:nvSpPr>
      <xdr:spPr>
        <a:xfrm>
          <a:off x="5440680" y="441960"/>
          <a:ext cx="3467100" cy="251460"/>
        </a:xfrm>
        <a:prstGeom prst="rect">
          <a:avLst/>
        </a:prstGeom>
        <a:solidFill>
          <a:srgbClr val="17221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C96627"/>
              </a:solidFill>
            </a:rPr>
            <a:t>Revenue Analysis | Profitability Insights</a:t>
          </a:r>
        </a:p>
      </xdr:txBody>
    </xdr:sp>
    <xdr:clientData/>
  </xdr:twoCellAnchor>
  <xdr:twoCellAnchor editAs="oneCell">
    <xdr:from>
      <xdr:col>5</xdr:col>
      <xdr:colOff>114300</xdr:colOff>
      <xdr:row>0</xdr:row>
      <xdr:rowOff>45720</xdr:rowOff>
    </xdr:from>
    <xdr:to>
      <xdr:col>5</xdr:col>
      <xdr:colOff>533400</xdr:colOff>
      <xdr:row>2</xdr:row>
      <xdr:rowOff>99060</xdr:rowOff>
    </xdr:to>
    <xdr:pic>
      <xdr:nvPicPr>
        <xdr:cNvPr id="5" name="Graphic 4" descr="Treasure chest with solid fill">
          <a:extLst>
            <a:ext uri="{FF2B5EF4-FFF2-40B4-BE49-F238E27FC236}">
              <a16:creationId xmlns:a16="http://schemas.microsoft.com/office/drawing/2014/main" id="{20D75125-D184-8BB7-6490-EA1264A8F43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162300" y="45720"/>
          <a:ext cx="419100" cy="419100"/>
        </a:xfrm>
        <a:prstGeom prst="rect">
          <a:avLst/>
        </a:prstGeom>
      </xdr:spPr>
    </xdr:pic>
    <xdr:clientData/>
  </xdr:twoCellAnchor>
  <xdr:twoCellAnchor>
    <xdr:from>
      <xdr:col>0</xdr:col>
      <xdr:colOff>426720</xdr:colOff>
      <xdr:row>4</xdr:row>
      <xdr:rowOff>149055</xdr:rowOff>
    </xdr:from>
    <xdr:to>
      <xdr:col>4</xdr:col>
      <xdr:colOff>426720</xdr:colOff>
      <xdr:row>9</xdr:row>
      <xdr:rowOff>118575</xdr:rowOff>
    </xdr:to>
    <xdr:grpSp>
      <xdr:nvGrpSpPr>
        <xdr:cNvPr id="15" name="Group 14">
          <a:extLst>
            <a:ext uri="{FF2B5EF4-FFF2-40B4-BE49-F238E27FC236}">
              <a16:creationId xmlns:a16="http://schemas.microsoft.com/office/drawing/2014/main" id="{7E35181C-2D80-30C2-BB1A-605597C32EDF}"/>
            </a:ext>
          </a:extLst>
        </xdr:cNvPr>
        <xdr:cNvGrpSpPr/>
      </xdr:nvGrpSpPr>
      <xdr:grpSpPr>
        <a:xfrm>
          <a:off x="426720" y="886992"/>
          <a:ext cx="2438400" cy="891941"/>
          <a:chOff x="624840" y="914400"/>
          <a:chExt cx="2438400" cy="883920"/>
        </a:xfrm>
        <a:solidFill>
          <a:schemeClr val="accent3">
            <a:lumMod val="40000"/>
            <a:lumOff val="60000"/>
          </a:schemeClr>
        </a:solidFill>
      </xdr:grpSpPr>
      <xdr:sp macro="" textlink="pivot!$A$86">
        <xdr:nvSpPr>
          <xdr:cNvPr id="6" name="Rectangle: Rounded Corners 5">
            <a:extLst>
              <a:ext uri="{FF2B5EF4-FFF2-40B4-BE49-F238E27FC236}">
                <a16:creationId xmlns:a16="http://schemas.microsoft.com/office/drawing/2014/main" id="{C9B1A2D0-99AF-0F9F-D83C-0A831C5FE3A2}"/>
              </a:ext>
            </a:extLst>
          </xdr:cNvPr>
          <xdr:cNvSpPr/>
        </xdr:nvSpPr>
        <xdr:spPr>
          <a:xfrm>
            <a:off x="624840" y="914400"/>
            <a:ext cx="2438400" cy="88392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pivot!$A$86">
        <xdr:nvSpPr>
          <xdr:cNvPr id="4" name="TextBox 3">
            <a:extLst>
              <a:ext uri="{FF2B5EF4-FFF2-40B4-BE49-F238E27FC236}">
                <a16:creationId xmlns:a16="http://schemas.microsoft.com/office/drawing/2014/main" id="{5671289C-FA95-0706-4142-D76EF2FB8AAB}"/>
              </a:ext>
            </a:extLst>
          </xdr:cNvPr>
          <xdr:cNvSpPr txBox="1"/>
        </xdr:nvSpPr>
        <xdr:spPr>
          <a:xfrm>
            <a:off x="1339965" y="1281502"/>
            <a:ext cx="1520815" cy="418482"/>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9099BE7-C7B4-43F5-BD3C-602E97FDCE0C}" type="TxLink">
              <a:rPr lang="en-US" sz="2000" b="1" i="0" u="none" strike="noStrike">
                <a:solidFill>
                  <a:srgbClr val="1F6F54"/>
                </a:solidFill>
                <a:latin typeface="Aptos Narrow"/>
              </a:rPr>
              <a:pPr/>
              <a:t>317.97M</a:t>
            </a:fld>
            <a:endParaRPr lang="en-IN" sz="2000" b="1">
              <a:solidFill>
                <a:srgbClr val="1F6F54"/>
              </a:solidFill>
            </a:endParaRPr>
          </a:p>
        </xdr:txBody>
      </xdr:sp>
      <xdr:sp macro="" textlink="">
        <xdr:nvSpPr>
          <xdr:cNvPr id="10" name="TextBox 9">
            <a:extLst>
              <a:ext uri="{FF2B5EF4-FFF2-40B4-BE49-F238E27FC236}">
                <a16:creationId xmlns:a16="http://schemas.microsoft.com/office/drawing/2014/main" id="{D953A38D-6339-2B3A-B997-7F8BFB4F1A9D}"/>
              </a:ext>
            </a:extLst>
          </xdr:cNvPr>
          <xdr:cNvSpPr txBox="1"/>
        </xdr:nvSpPr>
        <xdr:spPr>
          <a:xfrm>
            <a:off x="777240" y="982980"/>
            <a:ext cx="2186940" cy="32766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rgbClr val="17221D"/>
                </a:solidFill>
              </a:rPr>
              <a:t>       Total Revenue</a:t>
            </a:r>
          </a:p>
        </xdr:txBody>
      </xdr:sp>
      <xdr:pic>
        <xdr:nvPicPr>
          <xdr:cNvPr id="14" name="Graphic 13" descr="Money outline">
            <a:extLst>
              <a:ext uri="{FF2B5EF4-FFF2-40B4-BE49-F238E27FC236}">
                <a16:creationId xmlns:a16="http://schemas.microsoft.com/office/drawing/2014/main" id="{68E37DA2-FB09-D1DF-676B-02DFB20B20D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9620" y="960120"/>
            <a:ext cx="411480" cy="411480"/>
          </a:xfrm>
          <a:prstGeom prst="rect">
            <a:avLst/>
          </a:prstGeom>
        </xdr:spPr>
      </xdr:pic>
    </xdr:grpSp>
    <xdr:clientData/>
  </xdr:twoCellAnchor>
  <xdr:oneCellAnchor>
    <xdr:from>
      <xdr:col>11</xdr:col>
      <xdr:colOff>403860</xdr:colOff>
      <xdr:row>16</xdr:row>
      <xdr:rowOff>121920</xdr:rowOff>
    </xdr:from>
    <xdr:ext cx="184731" cy="264560"/>
    <xdr:sp macro="" textlink="">
      <xdr:nvSpPr>
        <xdr:cNvPr id="18" name="TextBox 17">
          <a:extLst>
            <a:ext uri="{FF2B5EF4-FFF2-40B4-BE49-F238E27FC236}">
              <a16:creationId xmlns:a16="http://schemas.microsoft.com/office/drawing/2014/main" id="{70709784-990C-6858-72F1-3696E5A9181C}"/>
            </a:ext>
          </a:extLst>
        </xdr:cNvPr>
        <xdr:cNvSpPr txBox="1"/>
      </xdr:nvSpPr>
      <xdr:spPr>
        <a:xfrm>
          <a:off x="7109460" y="3048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5</xdr:col>
      <xdr:colOff>168570</xdr:colOff>
      <xdr:row>4</xdr:row>
      <xdr:rowOff>158348</xdr:rowOff>
    </xdr:from>
    <xdr:to>
      <xdr:col>9</xdr:col>
      <xdr:colOff>168571</xdr:colOff>
      <xdr:row>9</xdr:row>
      <xdr:rowOff>127868</xdr:rowOff>
    </xdr:to>
    <xdr:grpSp>
      <xdr:nvGrpSpPr>
        <xdr:cNvPr id="21" name="Group 20">
          <a:extLst>
            <a:ext uri="{FF2B5EF4-FFF2-40B4-BE49-F238E27FC236}">
              <a16:creationId xmlns:a16="http://schemas.microsoft.com/office/drawing/2014/main" id="{B33DA1B0-43C1-1608-8A97-F7C9B2852D19}"/>
            </a:ext>
          </a:extLst>
        </xdr:cNvPr>
        <xdr:cNvGrpSpPr/>
      </xdr:nvGrpSpPr>
      <xdr:grpSpPr>
        <a:xfrm>
          <a:off x="3216570" y="896285"/>
          <a:ext cx="2438401" cy="891941"/>
          <a:chOff x="4222634" y="905262"/>
          <a:chExt cx="2438400" cy="883920"/>
        </a:xfrm>
        <a:solidFill>
          <a:schemeClr val="accent3">
            <a:lumMod val="40000"/>
            <a:lumOff val="60000"/>
          </a:schemeClr>
        </a:solidFill>
      </xdr:grpSpPr>
      <xdr:sp macro="" textlink="">
        <xdr:nvSpPr>
          <xdr:cNvPr id="7" name="Rectangle: Rounded Corners 6">
            <a:extLst>
              <a:ext uri="{FF2B5EF4-FFF2-40B4-BE49-F238E27FC236}">
                <a16:creationId xmlns:a16="http://schemas.microsoft.com/office/drawing/2014/main" id="{B7C68EF3-DFD1-4B27-830D-45A9AA28E979}"/>
              </a:ext>
            </a:extLst>
          </xdr:cNvPr>
          <xdr:cNvSpPr/>
        </xdr:nvSpPr>
        <xdr:spPr>
          <a:xfrm>
            <a:off x="4222634" y="905262"/>
            <a:ext cx="2438400" cy="88392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1F6F54"/>
              </a:solidFill>
            </a:endParaRPr>
          </a:p>
        </xdr:txBody>
      </xdr:sp>
      <xdr:sp macro="" textlink="pivot!$C$86">
        <xdr:nvSpPr>
          <xdr:cNvPr id="16" name="TextBox 15">
            <a:extLst>
              <a:ext uri="{FF2B5EF4-FFF2-40B4-BE49-F238E27FC236}">
                <a16:creationId xmlns:a16="http://schemas.microsoft.com/office/drawing/2014/main" id="{8920F6AE-57F7-0B14-90A1-CAA1585F9495}"/>
              </a:ext>
            </a:extLst>
          </xdr:cNvPr>
          <xdr:cNvSpPr txBox="1"/>
        </xdr:nvSpPr>
        <xdr:spPr>
          <a:xfrm>
            <a:off x="4958541" y="1229883"/>
            <a:ext cx="1396398" cy="44196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11E61DF-59E6-48F6-8BAE-9C819C036A17}" type="TxLink">
              <a:rPr lang="en-US" sz="2000" b="1" i="0" u="none" strike="noStrike">
                <a:solidFill>
                  <a:srgbClr val="1F6F54"/>
                </a:solidFill>
                <a:latin typeface="Aptos Narrow"/>
              </a:rPr>
              <a:pPr/>
              <a:t>169.24M</a:t>
            </a:fld>
            <a:endParaRPr lang="en-IN" sz="2000" b="1">
              <a:solidFill>
                <a:srgbClr val="1F6F54"/>
              </a:solidFill>
            </a:endParaRPr>
          </a:p>
        </xdr:txBody>
      </xdr:sp>
      <xdr:sp macro="" textlink="">
        <xdr:nvSpPr>
          <xdr:cNvPr id="17" name="TextBox 16">
            <a:extLst>
              <a:ext uri="{FF2B5EF4-FFF2-40B4-BE49-F238E27FC236}">
                <a16:creationId xmlns:a16="http://schemas.microsoft.com/office/drawing/2014/main" id="{B7CA6C96-43AC-8D7E-2F19-2C8BC6D9BA05}"/>
              </a:ext>
            </a:extLst>
          </xdr:cNvPr>
          <xdr:cNvSpPr txBox="1"/>
        </xdr:nvSpPr>
        <xdr:spPr>
          <a:xfrm>
            <a:off x="4259580" y="1013460"/>
            <a:ext cx="2385060" cy="32766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rgbClr val="1F6F54"/>
                </a:solidFill>
              </a:rPr>
              <a:t>            Gross Profit</a:t>
            </a:r>
          </a:p>
        </xdr:txBody>
      </xdr:sp>
      <xdr:pic>
        <xdr:nvPicPr>
          <xdr:cNvPr id="20" name="Graphic 19" descr="Bar graph with upward trend with solid fill">
            <a:extLst>
              <a:ext uri="{FF2B5EF4-FFF2-40B4-BE49-F238E27FC236}">
                <a16:creationId xmlns:a16="http://schemas.microsoft.com/office/drawing/2014/main" id="{F8EC69AB-6AB2-A634-1893-4D127246112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518660" y="1051560"/>
            <a:ext cx="373380" cy="373380"/>
          </a:xfrm>
          <a:prstGeom prst="rect">
            <a:avLst/>
          </a:prstGeom>
        </xdr:spPr>
      </xdr:pic>
    </xdr:grpSp>
    <xdr:clientData/>
  </xdr:twoCellAnchor>
  <xdr:twoCellAnchor>
    <xdr:from>
      <xdr:col>9</xdr:col>
      <xdr:colOff>571500</xdr:colOff>
      <xdr:row>4</xdr:row>
      <xdr:rowOff>167640</xdr:rowOff>
    </xdr:from>
    <xdr:to>
      <xdr:col>13</xdr:col>
      <xdr:colOff>571500</xdr:colOff>
      <xdr:row>9</xdr:row>
      <xdr:rowOff>137160</xdr:rowOff>
    </xdr:to>
    <xdr:grpSp>
      <xdr:nvGrpSpPr>
        <xdr:cNvPr id="27" name="Group 26">
          <a:extLst>
            <a:ext uri="{FF2B5EF4-FFF2-40B4-BE49-F238E27FC236}">
              <a16:creationId xmlns:a16="http://schemas.microsoft.com/office/drawing/2014/main" id="{9D4F5255-555C-F244-9973-464F9F7908E0}"/>
            </a:ext>
          </a:extLst>
        </xdr:cNvPr>
        <xdr:cNvGrpSpPr/>
      </xdr:nvGrpSpPr>
      <xdr:grpSpPr>
        <a:xfrm>
          <a:off x="6057900" y="905577"/>
          <a:ext cx="2438400" cy="891941"/>
          <a:chOff x="7955280" y="922020"/>
          <a:chExt cx="2438400" cy="883920"/>
        </a:xfrm>
        <a:solidFill>
          <a:schemeClr val="accent3">
            <a:lumMod val="40000"/>
            <a:lumOff val="60000"/>
          </a:schemeClr>
        </a:solidFill>
      </xdr:grpSpPr>
      <xdr:sp macro="" textlink="">
        <xdr:nvSpPr>
          <xdr:cNvPr id="8" name="Rectangle: Rounded Corners 7">
            <a:extLst>
              <a:ext uri="{FF2B5EF4-FFF2-40B4-BE49-F238E27FC236}">
                <a16:creationId xmlns:a16="http://schemas.microsoft.com/office/drawing/2014/main" id="{77A5E38E-3B84-412E-B0CA-4A144ECFEEBC}"/>
              </a:ext>
            </a:extLst>
          </xdr:cNvPr>
          <xdr:cNvSpPr/>
        </xdr:nvSpPr>
        <xdr:spPr>
          <a:xfrm>
            <a:off x="7955280" y="922020"/>
            <a:ext cx="2438400" cy="88392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2" name="TextBox 21">
            <a:extLst>
              <a:ext uri="{FF2B5EF4-FFF2-40B4-BE49-F238E27FC236}">
                <a16:creationId xmlns:a16="http://schemas.microsoft.com/office/drawing/2014/main" id="{F771AD12-9E93-696D-C9CF-A10E727A1996}"/>
              </a:ext>
            </a:extLst>
          </xdr:cNvPr>
          <xdr:cNvSpPr txBox="1"/>
        </xdr:nvSpPr>
        <xdr:spPr>
          <a:xfrm>
            <a:off x="8389620" y="1005840"/>
            <a:ext cx="1943100" cy="33528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t>Profit Margin </a:t>
            </a:r>
          </a:p>
        </xdr:txBody>
      </xdr:sp>
      <xdr:sp macro="" textlink="">
        <xdr:nvSpPr>
          <xdr:cNvPr id="24" name="TextBox 23">
            <a:extLst>
              <a:ext uri="{FF2B5EF4-FFF2-40B4-BE49-F238E27FC236}">
                <a16:creationId xmlns:a16="http://schemas.microsoft.com/office/drawing/2014/main" id="{B742BABC-48D4-A2E3-EB30-9B37156BC727}"/>
              </a:ext>
            </a:extLst>
          </xdr:cNvPr>
          <xdr:cNvSpPr txBox="1"/>
        </xdr:nvSpPr>
        <xdr:spPr>
          <a:xfrm>
            <a:off x="8679180" y="1348740"/>
            <a:ext cx="929640" cy="28194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1F6F54"/>
                </a:solidFill>
              </a:rPr>
              <a:t>53.23%</a:t>
            </a:r>
          </a:p>
        </xdr:txBody>
      </xdr:sp>
      <xdr:pic>
        <xdr:nvPicPr>
          <xdr:cNvPr id="26" name="Graphic 25" descr="Bar chart with solid fill">
            <a:extLst>
              <a:ext uri="{FF2B5EF4-FFF2-40B4-BE49-F238E27FC236}">
                <a16:creationId xmlns:a16="http://schemas.microsoft.com/office/drawing/2014/main" id="{566141A4-F6EF-250B-FD1E-7CAEEEBAC37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054340" y="1036320"/>
            <a:ext cx="411480" cy="411480"/>
          </a:xfrm>
          <a:prstGeom prst="rect">
            <a:avLst/>
          </a:prstGeom>
        </xdr:spPr>
      </xdr:pic>
    </xdr:grpSp>
    <xdr:clientData/>
  </xdr:twoCellAnchor>
  <xdr:twoCellAnchor>
    <xdr:from>
      <xdr:col>14</xdr:col>
      <xdr:colOff>281940</xdr:colOff>
      <xdr:row>4</xdr:row>
      <xdr:rowOff>167640</xdr:rowOff>
    </xdr:from>
    <xdr:to>
      <xdr:col>18</xdr:col>
      <xdr:colOff>289560</xdr:colOff>
      <xdr:row>9</xdr:row>
      <xdr:rowOff>137160</xdr:rowOff>
    </xdr:to>
    <xdr:grpSp>
      <xdr:nvGrpSpPr>
        <xdr:cNvPr id="37" name="Group 36">
          <a:extLst>
            <a:ext uri="{FF2B5EF4-FFF2-40B4-BE49-F238E27FC236}">
              <a16:creationId xmlns:a16="http://schemas.microsoft.com/office/drawing/2014/main" id="{00EEFCF9-D28B-2753-F68C-2AEDC294C6C0}"/>
            </a:ext>
          </a:extLst>
        </xdr:cNvPr>
        <xdr:cNvGrpSpPr/>
      </xdr:nvGrpSpPr>
      <xdr:grpSpPr>
        <a:xfrm>
          <a:off x="8816340" y="905577"/>
          <a:ext cx="2446020" cy="891941"/>
          <a:chOff x="11567160" y="914400"/>
          <a:chExt cx="2446020" cy="883920"/>
        </a:xfrm>
        <a:solidFill>
          <a:schemeClr val="accent3">
            <a:lumMod val="40000"/>
            <a:lumOff val="60000"/>
          </a:schemeClr>
        </a:solidFill>
      </xdr:grpSpPr>
      <xdr:sp macro="" textlink="">
        <xdr:nvSpPr>
          <xdr:cNvPr id="9" name="Rectangle: Rounded Corners 8">
            <a:extLst>
              <a:ext uri="{FF2B5EF4-FFF2-40B4-BE49-F238E27FC236}">
                <a16:creationId xmlns:a16="http://schemas.microsoft.com/office/drawing/2014/main" id="{FDB53387-3525-413E-9697-05E377A3FF72}"/>
              </a:ext>
            </a:extLst>
          </xdr:cNvPr>
          <xdr:cNvSpPr/>
        </xdr:nvSpPr>
        <xdr:spPr>
          <a:xfrm>
            <a:off x="11574780" y="914400"/>
            <a:ext cx="2438400" cy="88392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a:p>
            <a:pPr algn="l"/>
            <a:endParaRPr lang="en-IN" sz="1100"/>
          </a:p>
          <a:p>
            <a:pPr algn="l"/>
            <a:r>
              <a:rPr lang="en-IN" sz="1100" baseline="0"/>
              <a:t>                                 100.0</a:t>
            </a:r>
            <a:endParaRPr lang="en-IN" sz="1100"/>
          </a:p>
        </xdr:txBody>
      </xdr:sp>
      <xdr:sp macro="" textlink="">
        <xdr:nvSpPr>
          <xdr:cNvPr id="28" name="TextBox 27">
            <a:extLst>
              <a:ext uri="{FF2B5EF4-FFF2-40B4-BE49-F238E27FC236}">
                <a16:creationId xmlns:a16="http://schemas.microsoft.com/office/drawing/2014/main" id="{B6C46658-35AD-21A7-9AF4-85C551F4697A}"/>
              </a:ext>
            </a:extLst>
          </xdr:cNvPr>
          <xdr:cNvSpPr txBox="1"/>
        </xdr:nvSpPr>
        <xdr:spPr>
          <a:xfrm>
            <a:off x="11788140" y="982980"/>
            <a:ext cx="2179320" cy="32004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Budget Achievement</a:t>
            </a:r>
          </a:p>
        </xdr:txBody>
      </xdr:sp>
      <xdr:sp macro="" textlink="">
        <xdr:nvSpPr>
          <xdr:cNvPr id="29" name="TextBox 28">
            <a:extLst>
              <a:ext uri="{FF2B5EF4-FFF2-40B4-BE49-F238E27FC236}">
                <a16:creationId xmlns:a16="http://schemas.microsoft.com/office/drawing/2014/main" id="{67E5C1C6-3605-7EFD-18A1-2ADD30C3E0DF}"/>
              </a:ext>
            </a:extLst>
          </xdr:cNvPr>
          <xdr:cNvSpPr txBox="1"/>
        </xdr:nvSpPr>
        <xdr:spPr>
          <a:xfrm>
            <a:off x="12374880" y="1268730"/>
            <a:ext cx="1005840" cy="40767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1F6F54"/>
                </a:solidFill>
              </a:rPr>
              <a:t>100.07%</a:t>
            </a:r>
          </a:p>
        </xdr:txBody>
      </xdr:sp>
      <xdr:pic>
        <xdr:nvPicPr>
          <xdr:cNvPr id="36" name="Graphic 35" descr="Bullseye with solid fill">
            <a:extLst>
              <a:ext uri="{FF2B5EF4-FFF2-40B4-BE49-F238E27FC236}">
                <a16:creationId xmlns:a16="http://schemas.microsoft.com/office/drawing/2014/main" id="{141C6E27-4E6A-C631-B94D-F601E01843E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1567160" y="1021080"/>
            <a:ext cx="327660" cy="327660"/>
          </a:xfrm>
          <a:prstGeom prst="rect">
            <a:avLst/>
          </a:prstGeom>
        </xdr:spPr>
      </xdr:pic>
    </xdr:grpSp>
    <xdr:clientData/>
  </xdr:twoCellAnchor>
  <xdr:twoCellAnchor>
    <xdr:from>
      <xdr:col>18</xdr:col>
      <xdr:colOff>574845</xdr:colOff>
      <xdr:row>4</xdr:row>
      <xdr:rowOff>121177</xdr:rowOff>
    </xdr:from>
    <xdr:to>
      <xdr:col>22</xdr:col>
      <xdr:colOff>346245</xdr:colOff>
      <xdr:row>9</xdr:row>
      <xdr:rowOff>113557</xdr:rowOff>
    </xdr:to>
    <xdr:grpSp>
      <xdr:nvGrpSpPr>
        <xdr:cNvPr id="38" name="Group 37">
          <a:extLst>
            <a:ext uri="{FF2B5EF4-FFF2-40B4-BE49-F238E27FC236}">
              <a16:creationId xmlns:a16="http://schemas.microsoft.com/office/drawing/2014/main" id="{D18A6DA7-0C5D-B2BB-D832-2EA420D596B3}"/>
            </a:ext>
          </a:extLst>
        </xdr:cNvPr>
        <xdr:cNvGrpSpPr/>
      </xdr:nvGrpSpPr>
      <xdr:grpSpPr>
        <a:xfrm>
          <a:off x="11547645" y="859114"/>
          <a:ext cx="2209800" cy="914801"/>
          <a:chOff x="11614552" y="864592"/>
          <a:chExt cx="2224669" cy="921648"/>
        </a:xfrm>
        <a:solidFill>
          <a:schemeClr val="accent3">
            <a:lumMod val="40000"/>
            <a:lumOff val="60000"/>
          </a:schemeClr>
        </a:solidFill>
      </xdr:grpSpPr>
      <xdr:sp macro="" textlink="">
        <xdr:nvSpPr>
          <xdr:cNvPr id="39" name="Rectangle: Rounded Corners 38">
            <a:extLst>
              <a:ext uri="{FF2B5EF4-FFF2-40B4-BE49-F238E27FC236}">
                <a16:creationId xmlns:a16="http://schemas.microsoft.com/office/drawing/2014/main" id="{54BD9296-F9A0-E8F9-727B-6DCE201EC426}"/>
              </a:ext>
            </a:extLst>
          </xdr:cNvPr>
          <xdr:cNvSpPr/>
        </xdr:nvSpPr>
        <xdr:spPr>
          <a:xfrm>
            <a:off x="11614552" y="864592"/>
            <a:ext cx="2224669" cy="921648"/>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0" name="TextBox 39">
            <a:extLst>
              <a:ext uri="{FF2B5EF4-FFF2-40B4-BE49-F238E27FC236}">
                <a16:creationId xmlns:a16="http://schemas.microsoft.com/office/drawing/2014/main" id="{26E304F7-2224-F38C-2A64-81D5C93B9299}"/>
              </a:ext>
            </a:extLst>
          </xdr:cNvPr>
          <xdr:cNvSpPr txBox="1"/>
        </xdr:nvSpPr>
        <xdr:spPr>
          <a:xfrm>
            <a:off x="12041644" y="1020708"/>
            <a:ext cx="1489432" cy="371708"/>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17221D"/>
                </a:solidFill>
              </a:rPr>
              <a:t>Total COGS</a:t>
            </a:r>
          </a:p>
        </xdr:txBody>
      </xdr:sp>
      <xdr:sp macro="" textlink="pivot!$I$86">
        <xdr:nvSpPr>
          <xdr:cNvPr id="41" name="TextBox 40">
            <a:extLst>
              <a:ext uri="{FF2B5EF4-FFF2-40B4-BE49-F238E27FC236}">
                <a16:creationId xmlns:a16="http://schemas.microsoft.com/office/drawing/2014/main" id="{9F61E637-3940-F005-2D27-204A763537E4}"/>
              </a:ext>
            </a:extLst>
          </xdr:cNvPr>
          <xdr:cNvSpPr txBox="1"/>
        </xdr:nvSpPr>
        <xdr:spPr>
          <a:xfrm>
            <a:off x="12245340" y="1299304"/>
            <a:ext cx="1257115" cy="330633"/>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1374819-A35C-4FE9-A976-DFFB22DC8906}" type="TxLink">
              <a:rPr lang="en-US" sz="1800" b="1" i="0" u="none" strike="noStrike">
                <a:solidFill>
                  <a:srgbClr val="1F6F54"/>
                </a:solidFill>
                <a:latin typeface="Aptos Narrow"/>
              </a:rPr>
              <a:pPr/>
              <a:t>148.72M</a:t>
            </a:fld>
            <a:endParaRPr lang="en-IN" sz="1800" b="1">
              <a:solidFill>
                <a:srgbClr val="1F6F54"/>
              </a:solidFill>
            </a:endParaRPr>
          </a:p>
        </xdr:txBody>
      </xdr:sp>
      <xdr:pic>
        <xdr:nvPicPr>
          <xdr:cNvPr id="43" name="Graphic 42" descr="Credit card with solid fill">
            <a:extLst>
              <a:ext uri="{FF2B5EF4-FFF2-40B4-BE49-F238E27FC236}">
                <a16:creationId xmlns:a16="http://schemas.microsoft.com/office/drawing/2014/main" id="{C29CA2B4-C1BA-75CF-59EA-7B1F2BD72B9C}"/>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1683504" y="1013088"/>
            <a:ext cx="449580" cy="455528"/>
          </a:xfrm>
          <a:prstGeom prst="rect">
            <a:avLst/>
          </a:prstGeom>
        </xdr:spPr>
      </xdr:pic>
    </xdr:grpSp>
    <xdr:clientData/>
  </xdr:twoCellAnchor>
  <xdr:twoCellAnchor editAs="oneCell">
    <xdr:from>
      <xdr:col>10</xdr:col>
      <xdr:colOff>275786</xdr:colOff>
      <xdr:row>10</xdr:row>
      <xdr:rowOff>74289</xdr:rowOff>
    </xdr:from>
    <xdr:to>
      <xdr:col>13</xdr:col>
      <xdr:colOff>284663</xdr:colOff>
      <xdr:row>17</xdr:row>
      <xdr:rowOff>111280</xdr:rowOff>
    </xdr:to>
    <mc:AlternateContent xmlns:mc="http://schemas.openxmlformats.org/markup-compatibility/2006" xmlns:a14="http://schemas.microsoft.com/office/drawing/2010/main">
      <mc:Choice Requires="a14">
        <xdr:graphicFrame macro="">
          <xdr:nvGraphicFramePr>
            <xdr:cNvPr id="44" name="Region">
              <a:extLst>
                <a:ext uri="{FF2B5EF4-FFF2-40B4-BE49-F238E27FC236}">
                  <a16:creationId xmlns:a16="http://schemas.microsoft.com/office/drawing/2014/main" id="{D608C87E-E2A1-4045-94C4-89CABA34B51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401668" y="1867230"/>
              <a:ext cx="1846642" cy="14414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456796</xdr:colOff>
      <xdr:row>10</xdr:row>
      <xdr:rowOff>50132</xdr:rowOff>
    </xdr:from>
    <xdr:to>
      <xdr:col>8</xdr:col>
      <xdr:colOff>465674</xdr:colOff>
      <xdr:row>17</xdr:row>
      <xdr:rowOff>79724</xdr:rowOff>
    </xdr:to>
    <mc:AlternateContent xmlns:mc="http://schemas.openxmlformats.org/markup-compatibility/2006" xmlns:a14="http://schemas.microsoft.com/office/drawing/2010/main">
      <mc:Choice Requires="a14">
        <xdr:graphicFrame macro="">
          <xdr:nvGraphicFramePr>
            <xdr:cNvPr id="45" name="Sales Channel">
              <a:extLst>
                <a:ext uri="{FF2B5EF4-FFF2-40B4-BE49-F238E27FC236}">
                  <a16:creationId xmlns:a16="http://schemas.microsoft.com/office/drawing/2014/main" id="{6E0FE9FF-D631-4CF2-808A-5304065A42C0}"/>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3519737" y="1843073"/>
              <a:ext cx="1846643" cy="14340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538974</xdr:colOff>
      <xdr:row>19</xdr:row>
      <xdr:rowOff>130097</xdr:rowOff>
    </xdr:from>
    <xdr:to>
      <xdr:col>7</xdr:col>
      <xdr:colOff>521367</xdr:colOff>
      <xdr:row>32</xdr:row>
      <xdr:rowOff>174486</xdr:rowOff>
    </xdr:to>
    <xdr:graphicFrame macro="">
      <xdr:nvGraphicFramePr>
        <xdr:cNvPr id="11" name="Chart 10">
          <a:extLst>
            <a:ext uri="{FF2B5EF4-FFF2-40B4-BE49-F238E27FC236}">
              <a16:creationId xmlns:a16="http://schemas.microsoft.com/office/drawing/2014/main" id="{AE834D5E-8FD0-40AB-82C1-976A328073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125654</xdr:colOff>
      <xdr:row>19</xdr:row>
      <xdr:rowOff>103323</xdr:rowOff>
    </xdr:from>
    <xdr:to>
      <xdr:col>15</xdr:col>
      <xdr:colOff>32083</xdr:colOff>
      <xdr:row>32</xdr:row>
      <xdr:rowOff>158886</xdr:rowOff>
    </xdr:to>
    <xdr:graphicFrame macro="">
      <xdr:nvGraphicFramePr>
        <xdr:cNvPr id="12" name="Chart 11">
          <a:extLst>
            <a:ext uri="{FF2B5EF4-FFF2-40B4-BE49-F238E27FC236}">
              <a16:creationId xmlns:a16="http://schemas.microsoft.com/office/drawing/2014/main" id="{6EEF7FA1-5A3A-4343-8432-C18BE75CC5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280737</xdr:colOff>
      <xdr:row>19</xdr:row>
      <xdr:rowOff>93779</xdr:rowOff>
    </xdr:from>
    <xdr:to>
      <xdr:col>22</xdr:col>
      <xdr:colOff>207096</xdr:colOff>
      <xdr:row>32</xdr:row>
      <xdr:rowOff>171784</xdr:rowOff>
    </xdr:to>
    <xdr:graphicFrame macro="">
      <xdr:nvGraphicFramePr>
        <xdr:cNvPr id="13" name="Chart 12">
          <a:extLst>
            <a:ext uri="{FF2B5EF4-FFF2-40B4-BE49-F238E27FC236}">
              <a16:creationId xmlns:a16="http://schemas.microsoft.com/office/drawing/2014/main" id="{72FAADB3-0750-4D69-B232-248177A1C5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511600</xdr:colOff>
      <xdr:row>34</xdr:row>
      <xdr:rowOff>21348</xdr:rowOff>
    </xdr:from>
    <xdr:to>
      <xdr:col>7</xdr:col>
      <xdr:colOff>529389</xdr:colOff>
      <xdr:row>47</xdr:row>
      <xdr:rowOff>114525</xdr:rowOff>
    </xdr:to>
    <xdr:graphicFrame macro="">
      <xdr:nvGraphicFramePr>
        <xdr:cNvPr id="19" name="Chart 18">
          <a:extLst>
            <a:ext uri="{FF2B5EF4-FFF2-40B4-BE49-F238E27FC236}">
              <a16:creationId xmlns:a16="http://schemas.microsoft.com/office/drawing/2014/main" id="{1320970B-3AA2-41D6-988B-1E49A394B7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8</xdr:col>
      <xdr:colOff>144379</xdr:colOff>
      <xdr:row>34</xdr:row>
      <xdr:rowOff>29101</xdr:rowOff>
    </xdr:from>
    <xdr:to>
      <xdr:col>22</xdr:col>
      <xdr:colOff>216568</xdr:colOff>
      <xdr:row>47</xdr:row>
      <xdr:rowOff>122280</xdr:rowOff>
    </xdr:to>
    <xdr:graphicFrame macro="">
      <xdr:nvGraphicFramePr>
        <xdr:cNvPr id="23" name="Chart 22">
          <a:extLst>
            <a:ext uri="{FF2B5EF4-FFF2-40B4-BE49-F238E27FC236}">
              <a16:creationId xmlns:a16="http://schemas.microsoft.com/office/drawing/2014/main" id="{21DD17B8-6860-484A-B260-7074C73104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0</xdr:col>
      <xdr:colOff>529683</xdr:colOff>
      <xdr:row>48</xdr:row>
      <xdr:rowOff>111512</xdr:rowOff>
    </xdr:from>
    <xdr:to>
      <xdr:col>7</xdr:col>
      <xdr:colOff>241881</xdr:colOff>
      <xdr:row>62</xdr:row>
      <xdr:rowOff>111512</xdr:rowOff>
    </xdr:to>
    <xdr:graphicFrame macro="">
      <xdr:nvGraphicFramePr>
        <xdr:cNvPr id="25" name="Chart 24">
          <a:extLst>
            <a:ext uri="{FF2B5EF4-FFF2-40B4-BE49-F238E27FC236}">
              <a16:creationId xmlns:a16="http://schemas.microsoft.com/office/drawing/2014/main" id="{B7CC364B-DF54-4068-84BF-3E3F258921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7</xdr:col>
      <xdr:colOff>414291</xdr:colOff>
      <xdr:row>48</xdr:row>
      <xdr:rowOff>86522</xdr:rowOff>
    </xdr:from>
    <xdr:to>
      <xdr:col>14</xdr:col>
      <xdr:colOff>577048</xdr:colOff>
      <xdr:row>62</xdr:row>
      <xdr:rowOff>102221</xdr:rowOff>
    </xdr:to>
    <xdr:graphicFrame macro="">
      <xdr:nvGraphicFramePr>
        <xdr:cNvPr id="30" name="Chart 29">
          <a:extLst>
            <a:ext uri="{FF2B5EF4-FFF2-40B4-BE49-F238E27FC236}">
              <a16:creationId xmlns:a16="http://schemas.microsoft.com/office/drawing/2014/main" id="{12E404E2-EB9B-4E4A-84E8-3CE6218768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15</xdr:col>
      <xdr:colOff>115229</xdr:colOff>
      <xdr:row>48</xdr:row>
      <xdr:rowOff>102220</xdr:rowOff>
    </xdr:from>
    <xdr:to>
      <xdr:col>23</xdr:col>
      <xdr:colOff>43040</xdr:colOff>
      <xdr:row>62</xdr:row>
      <xdr:rowOff>92828</xdr:rowOff>
    </xdr:to>
    <mc:AlternateContent xmlns:mc="http://schemas.openxmlformats.org/markup-compatibility/2006">
      <mc:Choice xmlns:cx1="http://schemas.microsoft.com/office/drawing/2015/9/8/chartex" Requires="cx1">
        <xdr:graphicFrame macro="">
          <xdr:nvGraphicFramePr>
            <xdr:cNvPr id="31" name="Chart 30">
              <a:extLst>
                <a:ext uri="{FF2B5EF4-FFF2-40B4-BE49-F238E27FC236}">
                  <a16:creationId xmlns:a16="http://schemas.microsoft.com/office/drawing/2014/main" id="{BF5D0A6B-1AB3-4B94-857B-270E8156532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0"/>
            </a:graphicData>
          </a:graphic>
        </xdr:graphicFrame>
      </mc:Choice>
      <mc:Fallback>
        <xdr:sp macro="" textlink="">
          <xdr:nvSpPr>
            <xdr:cNvPr id="0" name=""/>
            <xdr:cNvSpPr>
              <a:spLocks noTextEdit="1"/>
            </xdr:cNvSpPr>
          </xdr:nvSpPr>
          <xdr:spPr>
            <a:xfrm>
              <a:off x="9259229" y="9025240"/>
              <a:ext cx="4804611" cy="255092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xdr:col>
      <xdr:colOff>106060</xdr:colOff>
      <xdr:row>10</xdr:row>
      <xdr:rowOff>46268</xdr:rowOff>
    </xdr:from>
    <xdr:to>
      <xdr:col>4</xdr:col>
      <xdr:colOff>114939</xdr:colOff>
      <xdr:row>17</xdr:row>
      <xdr:rowOff>57354</xdr:rowOff>
    </xdr:to>
    <mc:AlternateContent xmlns:mc="http://schemas.openxmlformats.org/markup-compatibility/2006" xmlns:a14="http://schemas.microsoft.com/office/drawing/2010/main">
      <mc:Choice Requires="a14">
        <xdr:graphicFrame macro="">
          <xdr:nvGraphicFramePr>
            <xdr:cNvPr id="32" name="Product Category">
              <a:extLst>
                <a:ext uri="{FF2B5EF4-FFF2-40B4-BE49-F238E27FC236}">
                  <a16:creationId xmlns:a16="http://schemas.microsoft.com/office/drawing/2014/main" id="{29142C4D-0584-C0F5-3AA5-3976FCBD3376}"/>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718648" y="1839209"/>
              <a:ext cx="1846644" cy="14155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23250</xdr:colOff>
      <xdr:row>10</xdr:row>
      <xdr:rowOff>91106</xdr:rowOff>
    </xdr:from>
    <xdr:to>
      <xdr:col>18</xdr:col>
      <xdr:colOff>32128</xdr:colOff>
      <xdr:row>17</xdr:row>
      <xdr:rowOff>131097</xdr:rowOff>
    </xdr:to>
    <mc:AlternateContent xmlns:mc="http://schemas.openxmlformats.org/markup-compatibility/2006" xmlns:a14="http://schemas.microsoft.com/office/drawing/2010/main">
      <mc:Choice Requires="a14">
        <xdr:graphicFrame macro="">
          <xdr:nvGraphicFramePr>
            <xdr:cNvPr id="34" name="Quarters (Date)">
              <a:extLst>
                <a:ext uri="{FF2B5EF4-FFF2-40B4-BE49-F238E27FC236}">
                  <a16:creationId xmlns:a16="http://schemas.microsoft.com/office/drawing/2014/main" id="{EEF47567-B521-FA6B-B4F2-46F84F135B74}"/>
                </a:ext>
              </a:extLst>
            </xdr:cNvPr>
            <xdr:cNvGraphicFramePr/>
          </xdr:nvGraphicFramePr>
          <xdr:xfrm>
            <a:off x="0" y="0"/>
            <a:ext cx="0" cy="0"/>
          </xdr:xfrm>
          <a:graphic>
            <a:graphicData uri="http://schemas.microsoft.com/office/drawing/2010/slicer">
              <sle:slicer xmlns:sle="http://schemas.microsoft.com/office/drawing/2010/slicer" name="Quarters (Date)"/>
            </a:graphicData>
          </a:graphic>
        </xdr:graphicFrame>
      </mc:Choice>
      <mc:Fallback xmlns="">
        <xdr:sp macro="" textlink="">
          <xdr:nvSpPr>
            <xdr:cNvPr id="0" name=""/>
            <xdr:cNvSpPr>
              <a:spLocks noTextEdit="1"/>
            </xdr:cNvSpPr>
          </xdr:nvSpPr>
          <xdr:spPr>
            <a:xfrm>
              <a:off x="9212074" y="1884047"/>
              <a:ext cx="1846642" cy="14444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167722</xdr:colOff>
      <xdr:row>10</xdr:row>
      <xdr:rowOff>111924</xdr:rowOff>
    </xdr:from>
    <xdr:to>
      <xdr:col>22</xdr:col>
      <xdr:colOff>177554</xdr:colOff>
      <xdr:row>15</xdr:row>
      <xdr:rowOff>131097</xdr:rowOff>
    </xdr:to>
    <mc:AlternateContent xmlns:mc="http://schemas.openxmlformats.org/markup-compatibility/2006" xmlns:a14="http://schemas.microsoft.com/office/drawing/2010/main">
      <mc:Choice Requires="a14">
        <xdr:graphicFrame macro="">
          <xdr:nvGraphicFramePr>
            <xdr:cNvPr id="35" name="Years (Date)">
              <a:extLst>
                <a:ext uri="{FF2B5EF4-FFF2-40B4-BE49-F238E27FC236}">
                  <a16:creationId xmlns:a16="http://schemas.microsoft.com/office/drawing/2014/main" id="{0D1B4AB5-6CDC-DEAD-B6DA-9D048208A7F6}"/>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11806898" y="1904865"/>
              <a:ext cx="1847597" cy="9156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ndana" refreshedDate="46287.742402777774" createdVersion="8" refreshedVersion="8" minRefreshableVersion="3" recordCount="1200" xr:uid="{6A25BA78-796E-4590-9A32-B1D353ACE493}">
  <cacheSource type="worksheet">
    <worksheetSource name="Table1"/>
  </cacheSource>
  <cacheFields count="16">
    <cacheField name="Date" numFmtId="14">
      <sharedItems containsSemiMixedTypes="0" containsNonDate="0" containsDate="1" containsString="0" minDate="2024-01-01T00:00:00" maxDate="2025-12-31T00:00:00" count="600">
        <d v="2024-04-12T00:00:00"/>
        <d v="2024-11-26T00:00:00"/>
        <d v="2025-05-06T00:00:00"/>
        <d v="2025-07-14T00:00:00"/>
        <d v="2025-11-17T00:00:00"/>
        <d v="2024-09-30T00:00:00"/>
        <d v="2025-01-01T00:00:00"/>
        <d v="2025-01-22T00:00:00"/>
        <d v="2024-07-20T00:00:00"/>
        <d v="2025-12-25T00:00:00"/>
        <d v="2025-05-07T00:00:00"/>
        <d v="2025-10-09T00:00:00"/>
        <d v="2025-05-04T00:00:00"/>
        <d v="2025-05-17T00:00:00"/>
        <d v="2025-09-04T00:00:00"/>
        <d v="2025-01-27T00:00:00"/>
        <d v="2025-07-17T00:00:00"/>
        <d v="2025-06-08T00:00:00"/>
        <d v="2025-10-07T00:00:00"/>
        <d v="2024-07-08T00:00:00"/>
        <d v="2025-12-10T00:00:00"/>
        <d v="2025-01-08T00:00:00"/>
        <d v="2025-01-20T00:00:00"/>
        <d v="2025-07-19T00:00:00"/>
        <d v="2025-09-01T00:00:00"/>
        <d v="2025-10-21T00:00:00"/>
        <d v="2025-05-03T00:00:00"/>
        <d v="2024-05-30T00:00:00"/>
        <d v="2025-07-25T00:00:00"/>
        <d v="2024-01-09T00:00:00"/>
        <d v="2025-09-19T00:00:00"/>
        <d v="2024-06-01T00:00:00"/>
        <d v="2024-06-09T00:00:00"/>
        <d v="2025-02-04T00:00:00"/>
        <d v="2024-12-30T00:00:00"/>
        <d v="2025-04-25T00:00:00"/>
        <d v="2024-06-20T00:00:00"/>
        <d v="2024-12-14T00:00:00"/>
        <d v="2025-09-17T00:00:00"/>
        <d v="2024-04-13T00:00:00"/>
        <d v="2025-02-11T00:00:00"/>
        <d v="2025-02-03T00:00:00"/>
        <d v="2025-11-28T00:00:00"/>
        <d v="2024-02-23T00:00:00"/>
        <d v="2024-07-14T00:00:00"/>
        <d v="2025-10-31T00:00:00"/>
        <d v="2024-05-06T00:00:00"/>
        <d v="2024-04-27T00:00:00"/>
        <d v="2024-09-03T00:00:00"/>
        <d v="2024-03-09T00:00:00"/>
        <d v="2025-03-07T00:00:00"/>
        <d v="2024-04-09T00:00:00"/>
        <d v="2024-01-16T00:00:00"/>
        <d v="2025-11-20T00:00:00"/>
        <d v="2025-02-20T00:00:00"/>
        <d v="2025-05-13T00:00:00"/>
        <d v="2025-09-08T00:00:00"/>
        <d v="2024-10-03T00:00:00"/>
        <d v="2025-07-01T00:00:00"/>
        <d v="2024-10-05T00:00:00"/>
        <d v="2025-01-31T00:00:00"/>
        <d v="2025-12-18T00:00:00"/>
        <d v="2025-04-13T00:00:00"/>
        <d v="2025-02-01T00:00:00"/>
        <d v="2025-09-25T00:00:00"/>
        <d v="2024-11-22T00:00:00"/>
        <d v="2025-12-14T00:00:00"/>
        <d v="2025-03-31T00:00:00"/>
        <d v="2025-05-22T00:00:00"/>
        <d v="2024-05-28T00:00:00"/>
        <d v="2025-02-05T00:00:00"/>
        <d v="2025-10-17T00:00:00"/>
        <d v="2025-10-29T00:00:00"/>
        <d v="2024-02-10T00:00:00"/>
        <d v="2025-07-11T00:00:00"/>
        <d v="2024-08-29T00:00:00"/>
        <d v="2024-10-08T00:00:00"/>
        <d v="2025-05-25T00:00:00"/>
        <d v="2025-03-12T00:00:00"/>
        <d v="2024-01-01T00:00:00"/>
        <d v="2024-04-04T00:00:00"/>
        <d v="2024-07-25T00:00:00"/>
        <d v="2024-11-01T00:00:00"/>
        <d v="2024-11-30T00:00:00"/>
        <d v="2024-04-20T00:00:00"/>
        <d v="2025-11-26T00:00:00"/>
        <d v="2024-01-05T00:00:00"/>
        <d v="2024-03-18T00:00:00"/>
        <d v="2024-02-17T00:00:00"/>
        <d v="2024-10-29T00:00:00"/>
        <d v="2025-10-27T00:00:00"/>
        <d v="2025-05-20T00:00:00"/>
        <d v="2024-08-18T00:00:00"/>
        <d v="2024-04-18T00:00:00"/>
        <d v="2025-10-25T00:00:00"/>
        <d v="2024-11-17T00:00:00"/>
        <d v="2025-07-27T00:00:00"/>
        <d v="2025-02-13T00:00:00"/>
        <d v="2025-07-03T00:00:00"/>
        <d v="2024-01-10T00:00:00"/>
        <d v="2025-08-03T00:00:00"/>
        <d v="2024-10-22T00:00:00"/>
        <d v="2024-03-29T00:00:00"/>
        <d v="2025-10-26T00:00:00"/>
        <d v="2024-07-16T00:00:00"/>
        <d v="2025-04-22T00:00:00"/>
        <d v="2024-09-10T00:00:00"/>
        <d v="2024-06-07T00:00:00"/>
        <d v="2024-02-16T00:00:00"/>
        <d v="2024-10-09T00:00:00"/>
        <d v="2024-12-11T00:00:00"/>
        <d v="2025-04-04T00:00:00"/>
        <d v="2025-01-12T00:00:00"/>
        <d v="2025-02-08T00:00:00"/>
        <d v="2025-03-06T00:00:00"/>
        <d v="2024-08-31T00:00:00"/>
        <d v="2025-10-01T00:00:00"/>
        <d v="2024-03-24T00:00:00"/>
        <d v="2024-05-20T00:00:00"/>
        <d v="2024-10-12T00:00:00"/>
        <d v="2024-04-22T00:00:00"/>
        <d v="2025-04-02T00:00:00"/>
        <d v="2024-04-05T00:00:00"/>
        <d v="2024-01-07T00:00:00"/>
        <d v="2025-05-28T00:00:00"/>
        <d v="2025-01-30T00:00:00"/>
        <d v="2025-05-14T00:00:00"/>
        <d v="2024-04-24T00:00:00"/>
        <d v="2024-08-22T00:00:00"/>
        <d v="2024-02-11T00:00:00"/>
        <d v="2025-09-20T00:00:00"/>
        <d v="2025-03-30T00:00:00"/>
        <d v="2024-12-28T00:00:00"/>
        <d v="2025-05-26T00:00:00"/>
        <d v="2025-02-09T00:00:00"/>
        <d v="2025-05-21T00:00:00"/>
        <d v="2025-10-02T00:00:00"/>
        <d v="2024-04-17T00:00:00"/>
        <d v="2024-01-17T00:00:00"/>
        <d v="2024-03-21T00:00:00"/>
        <d v="2025-07-24T00:00:00"/>
        <d v="2025-01-25T00:00:00"/>
        <d v="2024-08-10T00:00:00"/>
        <d v="2025-09-11T00:00:00"/>
        <d v="2024-02-08T00:00:00"/>
        <d v="2025-02-19T00:00:00"/>
        <d v="2024-09-01T00:00:00"/>
        <d v="2025-07-30T00:00:00"/>
        <d v="2024-07-05T00:00:00"/>
        <d v="2024-03-02T00:00:00"/>
        <d v="2024-11-05T00:00:00"/>
        <d v="2024-01-20T00:00:00"/>
        <d v="2024-04-29T00:00:00"/>
        <d v="2024-11-18T00:00:00"/>
        <d v="2024-02-09T00:00:00"/>
        <d v="2024-06-24T00:00:00"/>
        <d v="2024-10-27T00:00:00"/>
        <d v="2024-10-15T00:00:00"/>
        <d v="2024-12-10T00:00:00"/>
        <d v="2024-01-31T00:00:00"/>
        <d v="2024-09-14T00:00:00"/>
        <d v="2025-11-30T00:00:00"/>
        <d v="2024-08-11T00:00:00"/>
        <d v="2024-07-10T00:00:00"/>
        <d v="2024-07-28T00:00:00"/>
        <d v="2024-02-02T00:00:00"/>
        <d v="2025-05-30T00:00:00"/>
        <d v="2024-05-09T00:00:00"/>
        <d v="2024-01-21T00:00:00"/>
        <d v="2024-09-13T00:00:00"/>
        <d v="2024-09-27T00:00:00"/>
        <d v="2025-08-13T00:00:00"/>
        <d v="2025-06-04T00:00:00"/>
        <d v="2024-03-04T00:00:00"/>
        <d v="2025-06-27T00:00:00"/>
        <d v="2024-03-28T00:00:00"/>
        <d v="2025-11-03T00:00:00"/>
        <d v="2024-04-25T00:00:00"/>
        <d v="2025-03-03T00:00:00"/>
        <d v="2025-05-29T00:00:00"/>
        <d v="2025-06-20T00:00:00"/>
        <d v="2024-11-04T00:00:00"/>
        <d v="2024-11-07T00:00:00"/>
        <d v="2025-02-23T00:00:00"/>
        <d v="2025-01-05T00:00:00"/>
        <d v="2025-06-03T00:00:00"/>
        <d v="2025-07-06T00:00:00"/>
        <d v="2024-01-28T00:00:00"/>
        <d v="2024-05-12T00:00:00"/>
        <d v="2024-04-16T00:00:00"/>
        <d v="2024-07-24T00:00:00"/>
        <d v="2024-07-03T00:00:00"/>
        <d v="2025-09-29T00:00:00"/>
        <d v="2025-10-30T00:00:00"/>
        <d v="2025-03-02T00:00:00"/>
        <d v="2024-08-07T00:00:00"/>
        <d v="2025-08-16T00:00:00"/>
        <d v="2025-08-23T00:00:00"/>
        <d v="2025-04-17T00:00:00"/>
        <d v="2024-01-03T00:00:00"/>
        <d v="2024-10-30T00:00:00"/>
        <d v="2025-12-15T00:00:00"/>
        <d v="2025-01-07T00:00:00"/>
        <d v="2025-05-23T00:00:00"/>
        <d v="2025-09-28T00:00:00"/>
        <d v="2024-04-11T00:00:00"/>
        <d v="2024-12-18T00:00:00"/>
        <d v="2024-02-27T00:00:00"/>
        <d v="2025-04-15T00:00:00"/>
        <d v="2024-07-26T00:00:00"/>
        <d v="2025-09-24T00:00:00"/>
        <d v="2025-03-24T00:00:00"/>
        <d v="2024-05-22T00:00:00"/>
        <d v="2024-06-06T00:00:00"/>
        <d v="2025-02-02T00:00:00"/>
        <d v="2024-09-22T00:00:00"/>
        <d v="2024-12-01T00:00:00"/>
        <d v="2025-06-15T00:00:00"/>
        <d v="2025-04-11T00:00:00"/>
        <d v="2024-03-23T00:00:00"/>
        <d v="2025-08-31T00:00:00"/>
        <d v="2025-04-27T00:00:00"/>
        <d v="2024-03-05T00:00:00"/>
        <d v="2024-06-12T00:00:00"/>
        <d v="2025-05-24T00:00:00"/>
        <d v="2024-01-29T00:00:00"/>
        <d v="2025-12-26T00:00:00"/>
        <d v="2025-03-11T00:00:00"/>
        <d v="2024-12-17T00:00:00"/>
        <d v="2024-12-25T00:00:00"/>
        <d v="2025-05-02T00:00:00"/>
        <d v="2024-09-29T00:00:00"/>
        <d v="2024-05-01T00:00:00"/>
        <d v="2025-10-22T00:00:00"/>
        <d v="2025-07-15T00:00:00"/>
        <d v="2024-10-07T00:00:00"/>
        <d v="2024-10-28T00:00:00"/>
        <d v="2024-08-21T00:00:00"/>
        <d v="2024-03-10T00:00:00"/>
        <d v="2024-08-14T00:00:00"/>
        <d v="2024-02-24T00:00:00"/>
        <d v="2024-11-14T00:00:00"/>
        <d v="2024-01-19T00:00:00"/>
        <d v="2025-04-20T00:00:00"/>
        <d v="2025-05-19T00:00:00"/>
        <d v="2025-08-24T00:00:00"/>
        <d v="2024-06-30T00:00:00"/>
        <d v="2025-02-17T00:00:00"/>
        <d v="2025-09-09T00:00:00"/>
        <d v="2024-09-06T00:00:00"/>
        <d v="2025-11-02T00:00:00"/>
        <d v="2024-05-21T00:00:00"/>
        <d v="2024-10-31T00:00:00"/>
        <d v="2025-07-26T00:00:00"/>
        <d v="2024-05-23T00:00:00"/>
        <d v="2024-08-01T00:00:00"/>
        <d v="2025-11-10T00:00:00"/>
        <d v="2025-08-08T00:00:00"/>
        <d v="2024-08-25T00:00:00"/>
        <d v="2024-09-15T00:00:00"/>
        <d v="2025-10-10T00:00:00"/>
        <d v="2024-05-10T00:00:00"/>
        <d v="2024-12-29T00:00:00"/>
        <d v="2024-12-03T00:00:00"/>
        <d v="2024-07-19T00:00:00"/>
        <d v="2024-08-06T00:00:00"/>
        <d v="2025-12-02T00:00:00"/>
        <d v="2024-09-26T00:00:00"/>
        <d v="2024-10-10T00:00:00"/>
        <d v="2025-01-10T00:00:00"/>
        <d v="2025-12-08T00:00:00"/>
        <d v="2025-11-25T00:00:00"/>
        <d v="2025-08-27T00:00:00"/>
        <d v="2025-06-23T00:00:00"/>
        <d v="2024-12-26T00:00:00"/>
        <d v="2024-09-18T00:00:00"/>
        <d v="2024-10-17T00:00:00"/>
        <d v="2025-07-08T00:00:00"/>
        <d v="2025-01-16T00:00:00"/>
        <d v="2024-07-01T00:00:00"/>
        <d v="2025-07-10T00:00:00"/>
        <d v="2024-08-27T00:00:00"/>
        <d v="2024-12-08T00:00:00"/>
        <d v="2025-02-22T00:00:00"/>
        <d v="2025-03-04T00:00:00"/>
        <d v="2024-07-13T00:00:00"/>
        <d v="2025-02-24T00:00:00"/>
        <d v="2025-01-26T00:00:00"/>
        <d v="2025-03-18T00:00:00"/>
        <d v="2024-05-04T00:00:00"/>
        <d v="2024-03-17T00:00:00"/>
        <d v="2024-06-13T00:00:00"/>
        <d v="2025-07-07T00:00:00"/>
        <d v="2024-12-24T00:00:00"/>
        <d v="2024-05-18T00:00:00"/>
        <d v="2024-04-26T00:00:00"/>
        <d v="2024-07-02T00:00:00"/>
        <d v="2024-08-03T00:00:00"/>
        <d v="2024-03-22T00:00:00"/>
        <d v="2024-11-24T00:00:00"/>
        <d v="2024-01-22T00:00:00"/>
        <d v="2024-07-22T00:00:00"/>
        <d v="2025-07-02T00:00:00"/>
        <d v="2025-12-03T00:00:00"/>
        <d v="2024-03-15T00:00:00"/>
        <d v="2024-07-06T00:00:00"/>
        <d v="2025-09-23T00:00:00"/>
        <d v="2025-06-16T00:00:00"/>
        <d v="2025-03-21T00:00:00"/>
        <d v="2024-12-19T00:00:00"/>
        <d v="2024-06-02T00:00:00"/>
        <d v="2024-06-05T00:00:00"/>
        <d v="2025-09-03T00:00:00"/>
        <d v="2024-01-23T00:00:00"/>
        <d v="2024-04-10T00:00:00"/>
        <d v="2024-08-23T00:00:00"/>
        <d v="2025-06-11T00:00:00"/>
        <d v="2024-06-21T00:00:00"/>
        <d v="2024-02-18T00:00:00"/>
        <d v="2025-08-26T00:00:00"/>
        <d v="2025-05-15T00:00:00"/>
        <d v="2024-08-12T00:00:00"/>
        <d v="2025-10-06T00:00:00"/>
        <d v="2024-03-30T00:00:00"/>
        <d v="2025-04-05T00:00:00"/>
        <d v="2024-01-15T00:00:00"/>
        <d v="2025-08-04T00:00:00"/>
        <d v="2024-11-27T00:00:00"/>
        <d v="2025-01-24T00:00:00"/>
        <d v="2025-03-25T00:00:00"/>
        <d v="2025-08-15T00:00:00"/>
        <d v="2025-07-20T00:00:00"/>
        <d v="2025-02-07T00:00:00"/>
        <d v="2025-11-15T00:00:00"/>
        <d v="2024-10-04T00:00:00"/>
        <d v="2025-08-10T00:00:00"/>
        <d v="2025-04-06T00:00:00"/>
        <d v="2025-01-02T00:00:00"/>
        <d v="2025-06-19T00:00:00"/>
        <d v="2024-12-22T00:00:00"/>
        <d v="2024-12-07T00:00:00"/>
        <d v="2025-07-04T00:00:00"/>
        <d v="2025-07-13T00:00:00"/>
        <d v="2025-07-16T00:00:00"/>
        <d v="2025-11-11T00:00:00"/>
        <d v="2024-12-04T00:00:00"/>
        <d v="2024-01-12T00:00:00"/>
        <d v="2025-07-12T00:00:00"/>
        <d v="2025-02-06T00:00:00"/>
        <d v="2025-07-22T00:00:00"/>
        <d v="2024-11-13T00:00:00"/>
        <d v="2025-01-21T00:00:00"/>
        <d v="2025-03-14T00:00:00"/>
        <d v="2025-03-27T00:00:00"/>
        <d v="2024-09-04T00:00:00"/>
        <d v="2024-05-16T00:00:00"/>
        <d v="2025-11-16T00:00:00"/>
        <d v="2025-11-24T00:00:00"/>
        <d v="2024-02-21T00:00:00"/>
        <d v="2024-06-25T00:00:00"/>
        <d v="2024-02-14T00:00:00"/>
        <d v="2025-11-04T00:00:00"/>
        <d v="2024-06-23T00:00:00"/>
        <d v="2024-07-23T00:00:00"/>
        <d v="2024-03-11T00:00:00"/>
        <d v="2025-01-14T00:00:00"/>
        <d v="2024-09-12T00:00:00"/>
        <d v="2024-05-15T00:00:00"/>
        <d v="2025-12-21T00:00:00"/>
        <d v="2025-04-29T00:00:00"/>
        <d v="2024-10-26T00:00:00"/>
        <d v="2024-05-08T00:00:00"/>
        <d v="2025-11-05T00:00:00"/>
        <d v="2024-07-09T00:00:00"/>
        <d v="2025-11-08T00:00:00"/>
        <d v="2024-04-02T00:00:00"/>
        <d v="2025-03-13T00:00:00"/>
        <d v="2024-06-03T00:00:00"/>
        <d v="2025-09-22T00:00:00"/>
        <d v="2025-06-13T00:00:00"/>
        <d v="2024-02-01T00:00:00"/>
        <d v="2025-08-30T00:00:00"/>
        <d v="2025-12-22T00:00:00"/>
        <d v="2024-06-19T00:00:00"/>
        <d v="2024-06-28T00:00:00"/>
        <d v="2024-08-24T00:00:00"/>
        <d v="2025-02-10T00:00:00"/>
        <d v="2024-08-20T00:00:00"/>
        <d v="2024-04-14T00:00:00"/>
        <d v="2024-05-11T00:00:00"/>
        <d v="2025-09-16T00:00:00"/>
        <d v="2025-10-24T00:00:00"/>
        <d v="2024-07-15T00:00:00"/>
        <d v="2025-09-06T00:00:00"/>
        <d v="2024-07-27T00:00:00"/>
        <d v="2025-10-18T00:00:00"/>
        <d v="2025-07-23T00:00:00"/>
        <d v="2025-03-23T00:00:00"/>
        <d v="2025-07-28T00:00:00"/>
        <d v="2025-10-12T00:00:00"/>
        <d v="2025-03-29T00:00:00"/>
        <d v="2025-01-09T00:00:00"/>
        <d v="2025-06-06T00:00:00"/>
        <d v="2024-04-30T00:00:00"/>
        <d v="2025-10-03T00:00:00"/>
        <d v="2024-10-14T00:00:00"/>
        <d v="2025-08-29T00:00:00"/>
        <d v="2025-11-01T00:00:00"/>
        <d v="2024-10-06T00:00:00"/>
        <d v="2025-08-21T00:00:00"/>
        <d v="2024-10-13T00:00:00"/>
        <d v="2025-12-24T00:00:00"/>
        <d v="2025-11-09T00:00:00"/>
        <d v="2025-03-16T00:00:00"/>
        <d v="2025-09-18T00:00:00"/>
        <d v="2024-12-13T00:00:00"/>
        <d v="2025-06-24T00:00:00"/>
        <d v="2024-09-16T00:00:00"/>
        <d v="2025-09-26T00:00:00"/>
        <d v="2025-10-05T00:00:00"/>
        <d v="2025-12-12T00:00:00"/>
        <d v="2025-11-13T00:00:00"/>
        <d v="2024-01-25T00:00:00"/>
        <d v="2024-05-26T00:00:00"/>
        <d v="2024-02-25T00:00:00"/>
        <d v="2024-09-05T00:00:00"/>
        <d v="2025-12-09T00:00:00"/>
        <d v="2024-06-16T00:00:00"/>
        <d v="2024-03-25T00:00:00"/>
        <d v="2025-04-10T00:00:00"/>
        <d v="2025-08-11T00:00:00"/>
        <d v="2024-02-04T00:00:00"/>
        <d v="2025-12-23T00:00:00"/>
        <d v="2024-12-31T00:00:00"/>
        <d v="2024-04-15T00:00:00"/>
        <d v="2025-06-25T00:00:00"/>
        <d v="2025-08-14T00:00:00"/>
        <d v="2024-05-31T00:00:00"/>
        <d v="2024-04-21T00:00:00"/>
        <d v="2024-08-17T00:00:00"/>
        <d v="2025-04-28T00:00:00"/>
        <d v="2025-01-06T00:00:00"/>
        <d v="2024-01-24T00:00:00"/>
        <d v="2024-11-29T00:00:00"/>
        <d v="2025-08-19T00:00:00"/>
        <d v="2024-11-20T00:00:00"/>
        <d v="2024-09-21T00:00:00"/>
        <d v="2024-02-28T00:00:00"/>
        <d v="2025-03-01T00:00:00"/>
        <d v="2025-11-21T00:00:00"/>
        <d v="2025-02-16T00:00:00"/>
        <d v="2025-04-26T00:00:00"/>
        <d v="2024-06-10T00:00:00"/>
        <d v="2025-10-13T00:00:00"/>
        <d v="2025-03-22T00:00:00"/>
        <d v="2025-02-27T00:00:00"/>
        <d v="2025-06-21T00:00:00"/>
        <d v="2024-05-13T00:00:00"/>
        <d v="2025-07-31T00:00:00"/>
        <d v="2025-11-29T00:00:00"/>
        <d v="2024-02-20T00:00:00"/>
        <d v="2025-06-29T00:00:00"/>
        <d v="2024-09-09T00:00:00"/>
        <d v="2024-05-14T00:00:00"/>
        <d v="2025-03-10T00:00:00"/>
        <d v="2024-05-19T00:00:00"/>
        <d v="2025-05-31T00:00:00"/>
        <d v="2024-01-11T00:00:00"/>
        <d v="2024-08-13T00:00:00"/>
        <d v="2024-06-29T00:00:00"/>
        <d v="2025-03-09T00:00:00"/>
        <d v="2025-12-30T00:00:00"/>
        <d v="2025-04-16T00:00:00"/>
        <d v="2024-09-02T00:00:00"/>
        <d v="2024-02-06T00:00:00"/>
        <d v="2024-05-07T00:00:00"/>
        <d v="2024-05-24T00:00:00"/>
        <d v="2025-05-11T00:00:00"/>
        <d v="2024-05-25T00:00:00"/>
        <d v="2025-08-06T00:00:00"/>
        <d v="2025-12-13T00:00:00"/>
        <d v="2025-02-12T00:00:00"/>
        <d v="2025-05-12T00:00:00"/>
        <d v="2024-12-20T00:00:00"/>
        <d v="2025-04-18T00:00:00"/>
        <d v="2024-11-09T00:00:00"/>
        <d v="2024-04-06T00:00:00"/>
        <d v="2025-08-18T00:00:00"/>
        <d v="2025-11-19T00:00:00"/>
        <d v="2024-12-23T00:00:00"/>
        <d v="2025-08-28T00:00:00"/>
        <d v="2025-02-28T00:00:00"/>
        <d v="2024-03-13T00:00:00"/>
        <d v="2024-03-07T00:00:00"/>
        <d v="2024-08-30T00:00:00"/>
        <d v="2024-11-10T00:00:00"/>
        <d v="2025-06-30T00:00:00"/>
        <d v="2024-03-08T00:00:00"/>
        <d v="2024-07-29T00:00:00"/>
        <d v="2025-01-23T00:00:00"/>
        <d v="2025-03-08T00:00:00"/>
        <d v="2025-12-20T00:00:00"/>
        <d v="2025-09-13T00:00:00"/>
        <d v="2024-10-02T00:00:00"/>
        <d v="2025-07-05T00:00:00"/>
        <d v="2024-06-17T00:00:00"/>
        <d v="2025-06-07T00:00:00"/>
        <d v="2024-09-25T00:00:00"/>
        <d v="2024-07-04T00:00:00"/>
        <d v="2024-03-19T00:00:00"/>
        <d v="2024-06-14T00:00:00"/>
        <d v="2024-01-02T00:00:00"/>
        <d v="2024-02-07T00:00:00"/>
        <d v="2025-05-27T00:00:00"/>
        <d v="2025-02-18T00:00:00"/>
        <d v="2025-06-10T00:00:00"/>
        <d v="2024-08-09T00:00:00"/>
        <d v="2025-03-17T00:00:00"/>
        <d v="2025-04-07T00:00:00"/>
        <d v="2025-01-29T00:00:00"/>
        <d v="2025-10-19T00:00:00"/>
        <d v="2024-06-04T00:00:00"/>
        <d v="2025-09-07T00:00:00"/>
        <d v="2024-08-08T00:00:00"/>
        <d v="2025-04-24T00:00:00"/>
        <d v="2024-01-08T00:00:00"/>
        <d v="2025-03-15T00:00:00"/>
        <d v="2025-08-01T00:00:00"/>
        <d v="2024-12-02T00:00:00"/>
        <d v="2025-11-18T00:00:00"/>
        <d v="2025-01-13T00:00:00"/>
        <d v="2024-10-21T00:00:00"/>
        <d v="2025-11-06T00:00:00"/>
        <d v="2025-10-14T00:00:00"/>
        <d v="2025-09-27T00:00:00"/>
        <d v="2024-11-21T00:00:00"/>
        <d v="2024-07-11T00:00:00"/>
        <d v="2024-03-06T00:00:00"/>
        <d v="2024-11-16T00:00:00"/>
        <d v="2024-06-18T00:00:00"/>
        <d v="2024-07-31T00:00:00"/>
        <d v="2024-06-11T00:00:00"/>
        <d v="2025-07-18T00:00:00"/>
        <d v="2024-10-25T00:00:00"/>
        <d v="2024-11-23T00:00:00"/>
        <d v="2025-12-06T00:00:00"/>
        <d v="2024-11-12T00:00:00"/>
        <d v="2025-09-12T00:00:00"/>
        <d v="2024-06-26T00:00:00"/>
        <d v="2025-04-21T00:00:00"/>
        <d v="2025-12-05T00:00:00"/>
        <d v="2024-08-26T00:00:00"/>
        <d v="2025-10-15T00:00:00"/>
        <d v="2024-02-22T00:00:00"/>
        <d v="2024-04-03T00:00:00"/>
        <d v="2025-12-17T00:00:00"/>
        <d v="2025-10-23T00:00:00"/>
        <d v="2024-10-18T00:00:00"/>
        <d v="2024-03-16T00:00:00"/>
        <d v="2024-01-13T00:00:00"/>
        <d v="2024-11-15T00:00:00"/>
        <d v="2025-09-21T00:00:00"/>
        <d v="2024-11-19T00:00:00"/>
        <d v="2025-12-19T00:00:00"/>
        <d v="2024-08-16T00:00:00"/>
        <d v="2025-11-22T00:00:00"/>
        <d v="2024-07-21T00:00:00"/>
        <d v="2025-05-18T00:00:00"/>
        <d v="2025-10-28T00:00:00"/>
        <d v="2024-02-29T00:00:00"/>
        <d v="2025-06-26T00:00:00"/>
        <d v="2025-04-08T00:00:00"/>
        <d v="2025-01-18T00:00:00"/>
        <d v="2025-09-10T00:00:00"/>
        <d v="2024-08-19T00:00:00"/>
        <d v="2024-07-07T00:00:00"/>
        <d v="2024-03-01T00:00:00"/>
        <d v="2024-11-28T00:00:00"/>
        <d v="2025-09-30T00:00:00"/>
        <d v="2024-06-15T00:00:00"/>
        <d v="2024-12-09T00:00:00"/>
        <d v="2025-06-28T00:00:00"/>
        <d v="2024-05-02T00:00:00"/>
        <d v="2024-09-24T00:00:00"/>
        <d v="2024-10-19T00:00:00"/>
        <d v="2025-04-30T00:00:00"/>
        <d v="2025-09-15T00:00:00"/>
        <d v="2024-09-11T00:00:00"/>
        <d v="2025-12-11T00:00:00"/>
        <d v="2025-01-15T00:00:00"/>
        <d v="2025-01-11T00:00:00"/>
        <d v="2024-03-26T00:00:00"/>
        <d v="2025-09-14T00:00:00"/>
        <d v="2024-10-24T00:00:00"/>
        <d v="2025-04-01T00:00:00"/>
        <d v="2024-04-01T00:00:00"/>
        <d v="2024-08-28T00:00:00"/>
        <d v="2024-11-06T00:00:00"/>
        <d v="2025-10-04T00:00:00"/>
        <d v="2024-03-31T00:00:00"/>
      </sharedItems>
      <fieldGroup par="14"/>
    </cacheField>
    <cacheField name="Region" numFmtId="0">
      <sharedItems count="4">
        <s v="LATAM"/>
        <s v="APAC"/>
        <s v="EMEA"/>
        <s v="North America"/>
      </sharedItems>
    </cacheField>
    <cacheField name="Product Category" numFmtId="0">
      <sharedItems count="4">
        <s v="Enterprise Software"/>
        <s v="Consulting"/>
        <s v="Cloud Services"/>
        <s v="Hardware"/>
      </sharedItems>
    </cacheField>
    <cacheField name="Sales Channel" numFmtId="0">
      <sharedItems count="3">
        <s v="Online"/>
        <s v="Direct"/>
        <s v="Partner"/>
      </sharedItems>
    </cacheField>
    <cacheField name="Revenue_USD" numFmtId="0">
      <sharedItems containsSemiMixedTypes="0" containsString="0" containsNumber="1" containsInteger="1" minValue="11015" maxValue="599920" count="1196">
        <n v="269178"/>
        <n v="185203"/>
        <n v="277455"/>
        <n v="394681"/>
        <n v="338947"/>
        <n v="215041"/>
        <n v="289303"/>
        <n v="250181"/>
        <n v="435822"/>
        <n v="111357"/>
        <n v="464444"/>
        <n v="490754"/>
        <n v="193323"/>
        <n v="499570"/>
        <n v="194064"/>
        <n v="132409"/>
        <n v="221428"/>
        <n v="365570"/>
        <n v="446157"/>
        <n v="470058"/>
        <n v="469494"/>
        <n v="128451"/>
        <n v="226688"/>
        <n v="327824"/>
        <n v="130207"/>
        <n v="120078"/>
        <n v="396393"/>
        <n v="372833"/>
        <n v="40306"/>
        <n v="375871"/>
        <n v="25151"/>
        <n v="194423"/>
        <n v="129121"/>
        <n v="363556"/>
        <n v="181890"/>
        <n v="363468"/>
        <n v="215615"/>
        <n v="92989"/>
        <n v="150352"/>
        <n v="175656"/>
        <n v="28070"/>
        <n v="219141"/>
        <n v="258710"/>
        <n v="432097"/>
        <n v="294821"/>
        <n v="123632"/>
        <n v="472894"/>
        <n v="220706"/>
        <n v="388496"/>
        <n v="124548"/>
        <n v="77215"/>
        <n v="499197"/>
        <n v="328717"/>
        <n v="206489"/>
        <n v="172049"/>
        <n v="14000"/>
        <n v="492859"/>
        <n v="103008"/>
        <n v="361732"/>
        <n v="48756"/>
        <n v="438127"/>
        <n v="196141"/>
        <n v="89459"/>
        <n v="556964"/>
        <n v="207775"/>
        <n v="426930"/>
        <n v="218124"/>
        <n v="326837"/>
        <n v="230411"/>
        <n v="30582"/>
        <n v="315062"/>
        <n v="375477"/>
        <n v="202714"/>
        <n v="310557"/>
        <n v="351003"/>
        <n v="56427"/>
        <n v="188677"/>
        <n v="408929"/>
        <n v="11015"/>
        <n v="279114"/>
        <n v="432405"/>
        <n v="283060"/>
        <n v="329235"/>
        <n v="199089"/>
        <n v="296429"/>
        <n v="440657"/>
        <n v="35934"/>
        <n v="193401"/>
        <n v="233777"/>
        <n v="221791"/>
        <n v="436650"/>
        <n v="439749"/>
        <n v="33624"/>
        <n v="74291"/>
        <n v="149789"/>
        <n v="408342"/>
        <n v="176926"/>
        <n v="57915"/>
        <n v="36069"/>
        <n v="58447"/>
        <n v="11605"/>
        <n v="428034"/>
        <n v="132883"/>
        <n v="20954"/>
        <n v="199139"/>
        <n v="42254"/>
        <n v="405435"/>
        <n v="257754"/>
        <n v="137309"/>
        <n v="18007"/>
        <n v="198002"/>
        <n v="170359"/>
        <n v="448774"/>
        <n v="355266"/>
        <n v="282933"/>
        <n v="42265"/>
        <n v="212967"/>
        <n v="292753"/>
        <n v="398349"/>
        <n v="260385"/>
        <n v="70279"/>
        <n v="185399"/>
        <n v="389862"/>
        <n v="67545"/>
        <n v="476725"/>
        <n v="482242"/>
        <n v="276901"/>
        <n v="165989"/>
        <n v="296586"/>
        <n v="159521"/>
        <n v="428738"/>
        <n v="193675"/>
        <n v="261127"/>
        <n v="344402"/>
        <n v="94458"/>
        <n v="12198"/>
        <n v="97955"/>
        <n v="481973"/>
        <n v="266713"/>
        <n v="45367"/>
        <n v="248009"/>
        <n v="167729"/>
        <n v="61226"/>
        <n v="307881"/>
        <n v="25866"/>
        <n v="21046"/>
        <n v="69129"/>
        <n v="188376"/>
        <n v="93559"/>
        <n v="30581"/>
        <n v="269568"/>
        <n v="115423"/>
        <n v="431151"/>
        <n v="296214"/>
        <n v="291570"/>
        <n v="485266"/>
        <n v="316691"/>
        <n v="583465"/>
        <n v="49974"/>
        <n v="413832"/>
        <n v="119996"/>
        <n v="253662"/>
        <n v="317172"/>
        <n v="296406"/>
        <n v="437373"/>
        <n v="484628"/>
        <n v="446090"/>
        <n v="200792"/>
        <n v="337304"/>
        <n v="322250"/>
        <n v="378676"/>
        <n v="94082"/>
        <n v="29623"/>
        <n v="95128"/>
        <n v="12719"/>
        <n v="591533"/>
        <n v="268722"/>
        <n v="101357"/>
        <n v="336032"/>
        <n v="34860"/>
        <n v="267951"/>
        <n v="369912"/>
        <n v="480474"/>
        <n v="431818"/>
        <n v="423198"/>
        <n v="240983"/>
        <n v="171779"/>
        <n v="272670"/>
        <n v="262859"/>
        <n v="264225"/>
        <n v="74288"/>
        <n v="455485"/>
        <n v="204555"/>
        <n v="118737"/>
        <n v="329804"/>
        <n v="100827"/>
        <n v="239834"/>
        <n v="46877"/>
        <n v="172962"/>
        <n v="230971"/>
        <n v="463531"/>
        <n v="475757"/>
        <n v="442659"/>
        <n v="425231"/>
        <n v="400411"/>
        <n v="414777"/>
        <n v="108317"/>
        <n v="154832"/>
        <n v="348511"/>
        <n v="426715"/>
        <n v="287707"/>
        <n v="453324"/>
        <n v="180102"/>
        <n v="176129"/>
        <n v="16570"/>
        <n v="315897"/>
        <n v="396542"/>
        <n v="38625"/>
        <n v="133651"/>
        <n v="15704"/>
        <n v="386188"/>
        <n v="166498"/>
        <n v="37723"/>
        <n v="368690"/>
        <n v="250069"/>
        <n v="345914"/>
        <n v="336250"/>
        <n v="307080"/>
        <n v="183724"/>
        <n v="184668"/>
        <n v="492238"/>
        <n v="331333"/>
        <n v="175140"/>
        <n v="212903"/>
        <n v="308185"/>
        <n v="256242"/>
        <n v="174827"/>
        <n v="27727"/>
        <n v="327898"/>
        <n v="180604"/>
        <n v="477684"/>
        <n v="135703"/>
        <n v="408465"/>
        <n v="185915"/>
        <n v="240008"/>
        <n v="112747"/>
        <n v="393381"/>
        <n v="419379"/>
        <n v="263334"/>
        <n v="231427"/>
        <n v="476381"/>
        <n v="459370"/>
        <n v="466956"/>
        <n v="148918"/>
        <n v="401099"/>
        <n v="486269"/>
        <n v="260497"/>
        <n v="212056"/>
        <n v="64823"/>
        <n v="329153"/>
        <n v="109853"/>
        <n v="126981"/>
        <n v="493569"/>
        <n v="473547"/>
        <n v="293367"/>
        <n v="63352"/>
        <n v="423497"/>
        <n v="572198"/>
        <n v="259031"/>
        <n v="157603"/>
        <n v="135426"/>
        <n v="377612"/>
        <n v="599920"/>
        <n v="464774"/>
        <n v="118212"/>
        <n v="186072"/>
        <n v="417507"/>
        <n v="348416"/>
        <n v="427127"/>
        <n v="189980"/>
        <n v="187558"/>
        <n v="505503"/>
        <n v="360343"/>
        <n v="31727"/>
        <n v="86865"/>
        <n v="176923"/>
        <n v="354761"/>
        <n v="519654"/>
        <n v="78099"/>
        <n v="119079"/>
        <n v="453031"/>
        <n v="300998"/>
        <n v="419400"/>
        <n v="171326"/>
        <n v="175937"/>
        <n v="585295"/>
        <n v="315107"/>
        <n v="459830"/>
        <n v="148782"/>
        <n v="141234"/>
        <n v="261435"/>
        <n v="319443"/>
        <n v="248511"/>
        <n v="261924"/>
        <n v="72292"/>
        <n v="418568"/>
        <n v="290618"/>
        <n v="398612"/>
        <n v="79286"/>
        <n v="110158"/>
        <n v="368478"/>
        <n v="301262"/>
        <n v="360808"/>
        <n v="348083"/>
        <n v="410187"/>
        <n v="14135"/>
        <n v="231796"/>
        <n v="382598"/>
        <n v="208137"/>
        <n v="364195"/>
        <n v="105665"/>
        <n v="267234"/>
        <n v="231373"/>
        <n v="427668"/>
        <n v="142161"/>
        <n v="31447"/>
        <n v="412744"/>
        <n v="60939"/>
        <n v="486513"/>
        <n v="569872"/>
        <n v="63909"/>
        <n v="38365"/>
        <n v="220748"/>
        <n v="400346"/>
        <n v="424694"/>
        <n v="107136"/>
        <n v="191572"/>
        <n v="281312"/>
        <n v="120155"/>
        <n v="362050"/>
        <n v="280914"/>
        <n v="586969"/>
        <n v="357515"/>
        <n v="410012"/>
        <n v="368182"/>
        <n v="80448"/>
        <n v="32207"/>
        <n v="54363"/>
        <n v="458614"/>
        <n v="467411"/>
        <n v="44542"/>
        <n v="439852"/>
        <n v="115848"/>
        <n v="147103"/>
        <n v="230972"/>
        <n v="17461"/>
        <n v="216821"/>
        <n v="326456"/>
        <n v="249511"/>
        <n v="487742"/>
        <n v="414954"/>
        <n v="105040"/>
        <n v="230931"/>
        <n v="482890"/>
        <n v="41778"/>
        <n v="343299"/>
        <n v="348593"/>
        <n v="197954"/>
        <n v="131917"/>
        <n v="327712"/>
        <n v="362912"/>
        <n v="273852"/>
        <n v="170761"/>
        <n v="475918"/>
        <n v="203226"/>
        <n v="16142"/>
        <n v="280160"/>
        <n v="428734"/>
        <n v="439890"/>
        <n v="59847"/>
        <n v="151958"/>
        <n v="126923"/>
        <n v="37537"/>
        <n v="51869"/>
        <n v="352951"/>
        <n v="187164"/>
        <n v="243077"/>
        <n v="492616"/>
        <n v="35235"/>
        <n v="197450"/>
        <n v="579334"/>
        <n v="299061"/>
        <n v="29008"/>
        <n v="446364"/>
        <n v="334512"/>
        <n v="25372"/>
        <n v="88356"/>
        <n v="160043"/>
        <n v="489208"/>
        <n v="498906"/>
        <n v="28135"/>
        <n v="326480"/>
        <n v="459076"/>
        <n v="192885"/>
        <n v="448080"/>
        <n v="471354"/>
        <n v="79561"/>
        <n v="325014"/>
        <n v="250853"/>
        <n v="43870"/>
        <n v="267354"/>
        <n v="349384"/>
        <n v="279150"/>
        <n v="28990"/>
        <n v="188634"/>
        <n v="245796"/>
        <n v="339612"/>
        <n v="497151"/>
        <n v="297995"/>
        <n v="335905"/>
        <n v="297516"/>
        <n v="422009"/>
        <n v="97893"/>
        <n v="291854"/>
        <n v="168485"/>
        <n v="50695"/>
        <n v="378226"/>
        <n v="258922"/>
        <n v="415818"/>
        <n v="167608"/>
        <n v="76668"/>
        <n v="411491"/>
        <n v="417085"/>
        <n v="386087"/>
        <n v="157745"/>
        <n v="198221"/>
        <n v="461248"/>
        <n v="193845"/>
        <n v="426280"/>
        <n v="38884"/>
        <n v="88077"/>
        <n v="261514"/>
        <n v="367246"/>
        <n v="23689"/>
        <n v="72021"/>
        <n v="102268"/>
        <n v="313472"/>
        <n v="482963"/>
        <n v="373605"/>
        <n v="304442"/>
        <n v="227400"/>
        <n v="283586"/>
        <n v="102036"/>
        <n v="95024"/>
        <n v="56220"/>
        <n v="244231"/>
        <n v="114092"/>
        <n v="382185"/>
        <n v="220722"/>
        <n v="470270"/>
        <n v="157265"/>
        <n v="263279"/>
        <n v="483048"/>
        <n v="94381"/>
        <n v="116121"/>
        <n v="92289"/>
        <n v="201758"/>
        <n v="101176"/>
        <n v="375567"/>
        <n v="299730"/>
        <n v="167221"/>
        <n v="369232"/>
        <n v="432277"/>
        <n v="153927"/>
        <n v="140299"/>
        <n v="98835"/>
        <n v="23261"/>
        <n v="321537"/>
        <n v="495687"/>
        <n v="252998"/>
        <n v="414303"/>
        <n v="233492"/>
        <n v="328612"/>
        <n v="489681"/>
        <n v="434170"/>
        <n v="495581"/>
        <n v="280472"/>
        <n v="494273"/>
        <n v="80463"/>
        <n v="202816"/>
        <n v="133130"/>
        <n v="246187"/>
        <n v="570630"/>
        <n v="79300"/>
        <n v="61717"/>
        <n v="278620"/>
        <n v="477149"/>
        <n v="402670"/>
        <n v="230283"/>
        <n v="437876"/>
        <n v="591608"/>
        <n v="118944"/>
        <n v="459449"/>
        <n v="205623"/>
        <n v="325097"/>
        <n v="431669"/>
        <n v="271497"/>
        <n v="135814"/>
        <n v="13748"/>
        <n v="436673"/>
        <n v="392865"/>
        <n v="436940"/>
        <n v="487964"/>
        <n v="436149"/>
        <n v="427209"/>
        <n v="97435"/>
        <n v="21094"/>
        <n v="294308"/>
        <n v="456751"/>
        <n v="308326"/>
        <n v="159134"/>
        <n v="447651"/>
        <n v="209298"/>
        <n v="480165"/>
        <n v="481869"/>
        <n v="432984"/>
        <n v="430446"/>
        <n v="45903"/>
        <n v="428554"/>
        <n v="75149"/>
        <n v="445570"/>
        <n v="316969"/>
        <n v="399150"/>
        <n v="200359"/>
        <n v="262084"/>
        <n v="97438"/>
        <n v="431594"/>
        <n v="303624"/>
        <n v="496252"/>
        <n v="318295"/>
        <n v="64722"/>
        <n v="411479"/>
        <n v="412234"/>
        <n v="244196"/>
        <n v="214720"/>
        <n v="81386"/>
        <n v="386036"/>
        <n v="248973"/>
        <n v="191871"/>
        <n v="481604"/>
        <n v="319066"/>
        <n v="234135"/>
        <n v="294944"/>
        <n v="23233"/>
        <n v="495514"/>
        <n v="152482"/>
        <n v="393152"/>
        <n v="212834"/>
        <n v="266446"/>
        <n v="316063"/>
        <n v="338953"/>
        <n v="410312"/>
        <n v="351678"/>
        <n v="16511"/>
        <n v="469379"/>
        <n v="64195"/>
        <n v="182502"/>
        <n v="151449"/>
        <n v="437700"/>
        <n v="427216"/>
        <n v="432847"/>
        <n v="355783"/>
        <n v="348030"/>
        <n v="487164"/>
        <n v="227516"/>
        <n v="12462"/>
        <n v="294697"/>
        <n v="15368"/>
        <n v="99424"/>
        <n v="295052"/>
        <n v="281487"/>
        <n v="154771"/>
        <n v="69550"/>
        <n v="267336"/>
        <n v="229707"/>
        <n v="103078"/>
        <n v="199651"/>
        <n v="68819"/>
        <n v="292579"/>
        <n v="250909"/>
        <n v="263985"/>
        <n v="357160"/>
        <n v="429149"/>
        <n v="358844"/>
        <n v="555888"/>
        <n v="166078"/>
        <n v="389162"/>
        <n v="468768"/>
        <n v="233068"/>
        <n v="398388"/>
        <n v="134954"/>
        <n v="379589"/>
        <n v="401011"/>
        <n v="73928"/>
        <n v="36553"/>
        <n v="350130"/>
        <n v="372811"/>
        <n v="174726"/>
        <n v="93291"/>
        <n v="442537"/>
        <n v="13009"/>
        <n v="342553"/>
        <n v="158725"/>
        <n v="144201"/>
        <n v="128843"/>
        <n v="17452"/>
        <n v="152157"/>
        <n v="89267"/>
        <n v="214994"/>
        <n v="343261"/>
        <n v="226621"/>
        <n v="256375"/>
        <n v="113533"/>
        <n v="70708"/>
        <n v="297360"/>
        <n v="24389"/>
        <n v="104913"/>
        <n v="496084"/>
        <n v="247330"/>
        <n v="184004"/>
        <n v="66396"/>
        <n v="348585"/>
        <n v="493241"/>
        <n v="463955"/>
        <n v="390724"/>
        <n v="301075"/>
        <n v="516321"/>
        <n v="258141"/>
        <n v="155486"/>
        <n v="182275"/>
        <n v="289720"/>
        <n v="371659"/>
        <n v="383192"/>
        <n v="202888"/>
        <n v="220448"/>
        <n v="148442"/>
        <n v="59593"/>
        <n v="259108"/>
        <n v="564744"/>
        <n v="195920"/>
        <n v="113844"/>
        <n v="531278"/>
        <n v="347462"/>
        <n v="329752"/>
        <n v="388185"/>
        <n v="484062"/>
        <n v="315273"/>
        <n v="332754"/>
        <n v="325617"/>
        <n v="245207"/>
        <n v="264371"/>
        <n v="60971"/>
        <n v="458648"/>
        <n v="135849"/>
        <n v="514369"/>
        <n v="180956"/>
        <n v="252037"/>
        <n v="380513"/>
        <n v="324493"/>
        <n v="353677"/>
        <n v="406103"/>
        <n v="40341"/>
        <n v="16474"/>
        <n v="235959"/>
        <n v="44924"/>
        <n v="415237"/>
        <n v="250970"/>
        <n v="497063"/>
        <n v="454844"/>
        <n v="411957"/>
        <n v="353932"/>
        <n v="57645"/>
        <n v="338871"/>
        <n v="106502"/>
        <n v="287833"/>
        <n v="465566"/>
        <n v="236377"/>
        <n v="468580"/>
        <n v="448480"/>
        <n v="250313"/>
        <n v="484930"/>
        <n v="255282"/>
        <n v="224159"/>
        <n v="117792"/>
        <n v="344038"/>
        <n v="353154"/>
        <n v="162117"/>
        <n v="105558"/>
        <n v="193542"/>
        <n v="292152"/>
        <n v="288910"/>
        <n v="477059"/>
        <n v="281409"/>
        <n v="230935"/>
        <n v="92931"/>
        <n v="445281"/>
        <n v="417861"/>
        <n v="155698"/>
        <n v="178065"/>
        <n v="204152"/>
        <n v="41551"/>
        <n v="137870"/>
        <n v="43896"/>
        <n v="384796"/>
        <n v="305830"/>
        <n v="230934"/>
        <n v="324260"/>
        <n v="480949"/>
        <n v="445126"/>
        <n v="487793"/>
        <n v="449256"/>
        <n v="74384"/>
        <n v="272204"/>
        <n v="202376"/>
        <n v="88863"/>
        <n v="124003"/>
        <n v="277673"/>
        <n v="120776"/>
        <n v="50860"/>
        <n v="66633"/>
        <n v="13174"/>
        <n v="252878"/>
        <n v="108970"/>
        <n v="82902"/>
        <n v="339801"/>
        <n v="172448"/>
        <n v="325508"/>
        <n v="173991"/>
        <n v="259264"/>
        <n v="349148"/>
        <n v="148925"/>
        <n v="259527"/>
        <n v="350674"/>
        <n v="39813"/>
        <n v="447480"/>
        <n v="209618"/>
        <n v="117051"/>
        <n v="199518"/>
        <n v="222235"/>
        <n v="261071"/>
        <n v="175637"/>
        <n v="219087"/>
        <n v="336160"/>
        <n v="296198"/>
        <n v="274080"/>
        <n v="434041"/>
        <n v="39063"/>
        <n v="469491"/>
        <n v="335361"/>
        <n v="318645"/>
        <n v="355744"/>
        <n v="171149"/>
        <n v="73778"/>
        <n v="376648"/>
        <n v="163857"/>
        <n v="440481"/>
        <n v="149857"/>
        <n v="367092"/>
        <n v="88840"/>
        <n v="457746"/>
        <n v="319732"/>
        <n v="252599"/>
        <n v="293816"/>
        <n v="280590"/>
        <n v="227508"/>
        <n v="457126"/>
        <n v="50582"/>
        <n v="160259"/>
        <n v="355452"/>
        <n v="256983"/>
        <n v="79202"/>
        <n v="363699"/>
        <n v="280561"/>
        <n v="475483"/>
        <n v="108876"/>
        <n v="109477"/>
        <n v="314094"/>
        <n v="434315"/>
        <n v="287483"/>
        <n v="97508"/>
        <n v="315302"/>
        <n v="329532"/>
        <n v="103944"/>
        <n v="39992"/>
        <n v="486016"/>
        <n v="324941"/>
        <n v="220765"/>
        <n v="419861"/>
        <n v="215782"/>
        <n v="351701"/>
        <n v="236024"/>
        <n v="261063"/>
        <n v="413964"/>
        <n v="490369"/>
        <n v="100054"/>
        <n v="466588"/>
        <n v="234866"/>
        <n v="321714"/>
        <n v="190801"/>
        <n v="212459"/>
        <n v="359345"/>
        <n v="578690"/>
        <n v="409594"/>
        <n v="255847"/>
        <n v="101493"/>
        <n v="537202"/>
        <n v="308162"/>
        <n v="99941"/>
        <n v="152339"/>
        <n v="206314"/>
        <n v="268916"/>
        <n v="76381"/>
        <n v="331171"/>
        <n v="454854"/>
        <n v="381380"/>
        <n v="15666"/>
        <n v="312666"/>
        <n v="114843"/>
        <n v="487011"/>
        <n v="409589"/>
        <n v="493414"/>
        <n v="95366"/>
        <n v="151439"/>
        <n v="65182"/>
        <n v="112975"/>
        <n v="468138"/>
        <n v="297166"/>
        <n v="415377"/>
        <n v="391116"/>
        <n v="264957"/>
        <n v="40461"/>
        <n v="365050"/>
        <n v="185405"/>
        <n v="162053"/>
        <n v="243883"/>
        <n v="194535"/>
        <n v="267412"/>
        <n v="379792"/>
        <n v="174404"/>
        <n v="22224"/>
        <n v="164422"/>
        <n v="292146"/>
        <n v="352776"/>
        <n v="64225"/>
        <n v="372544"/>
        <n v="75140"/>
        <n v="487219"/>
        <n v="423399"/>
        <n v="83169"/>
        <n v="404798"/>
        <n v="442606"/>
        <n v="152182"/>
        <n v="99743"/>
        <n v="249647"/>
        <n v="237336"/>
        <n v="204716"/>
        <n v="247912"/>
        <n v="449586"/>
        <n v="294907"/>
        <n v="256301"/>
        <n v="162131"/>
        <n v="493499"/>
        <n v="385595"/>
        <n v="371333"/>
        <n v="167883"/>
        <n v="117092"/>
        <n v="325646"/>
        <n v="162324"/>
        <n v="321997"/>
        <n v="188130"/>
        <n v="442859"/>
        <n v="385574"/>
        <n v="357801"/>
        <n v="316391"/>
        <n v="287749"/>
        <n v="135580"/>
        <n v="317980"/>
        <n v="25791"/>
        <n v="410010"/>
        <n v="21560"/>
        <n v="203709"/>
        <n v="154575"/>
        <n v="167212"/>
        <n v="431777"/>
        <n v="398086"/>
        <n v="228827"/>
        <n v="248178"/>
        <n v="180203"/>
        <n v="429204"/>
        <n v="210065"/>
        <n v="107170"/>
        <n v="117724"/>
        <n v="114647"/>
        <n v="330038"/>
        <n v="229606"/>
        <n v="382949"/>
        <n v="231711"/>
        <n v="34976"/>
        <n v="113863"/>
        <n v="405167"/>
        <n v="334809"/>
        <n v="117791"/>
        <n v="478255"/>
        <n v="102115"/>
        <n v="25385"/>
        <n v="129774"/>
        <n v="114126"/>
        <n v="405993"/>
        <n v="88422"/>
        <n v="401065"/>
        <n v="53890"/>
        <n v="156429"/>
        <n v="138692"/>
        <n v="310242"/>
        <n v="495319"/>
        <n v="193024"/>
        <n v="484782"/>
        <n v="545778"/>
        <n v="477918"/>
        <n v="323988"/>
        <n v="243169"/>
        <n v="436976"/>
        <n v="160534"/>
        <n v="407797"/>
        <n v="462974"/>
        <n v="262358"/>
        <n v="465131"/>
        <n v="492450"/>
        <n v="137150"/>
        <n v="129496"/>
        <n v="286923"/>
        <n v="164099"/>
        <n v="376967"/>
        <n v="34502"/>
        <n v="342336"/>
        <n v="112364"/>
        <n v="281635"/>
        <n v="428712"/>
        <n v="420423"/>
        <n v="438886"/>
        <n v="305103"/>
        <n v="118775"/>
        <n v="343964"/>
        <n v="21539"/>
        <n v="371462"/>
        <n v="48744"/>
        <n v="455988"/>
        <n v="116905"/>
        <n v="311075"/>
        <n v="120494"/>
        <n v="103286"/>
        <n v="345863"/>
        <n v="98478"/>
        <n v="177610"/>
        <n v="276278"/>
        <n v="151553"/>
        <n v="217866"/>
        <n v="253554"/>
        <n v="495334"/>
        <n v="326131"/>
        <n v="469893"/>
        <n v="151707"/>
        <n v="362792"/>
        <n v="341080"/>
        <n v="323572"/>
        <n v="197934"/>
        <n v="297740"/>
        <n v="394903"/>
        <n v="210658"/>
        <n v="396620"/>
        <n v="320281"/>
        <n v="16861"/>
        <n v="198929"/>
        <n v="338345"/>
        <n v="317831"/>
        <n v="382689"/>
        <n v="534699"/>
        <n v="311517"/>
        <n v="274019"/>
        <n v="251450"/>
        <n v="293496"/>
        <n v="248697"/>
        <n v="140698"/>
        <n v="394822"/>
        <n v="408538"/>
        <n v="281731"/>
        <n v="399929"/>
        <n v="405412"/>
        <n v="22055"/>
        <n v="432593"/>
        <n v="146016"/>
        <n v="261881"/>
        <n v="456848"/>
        <n v="152728"/>
        <n v="165075"/>
        <n v="467426"/>
        <n v="36613"/>
        <n v="431441"/>
        <n v="242067"/>
        <n v="446325"/>
        <n v="157214"/>
        <n v="14331"/>
        <n v="194544"/>
        <n v="421811"/>
        <n v="267231"/>
        <n v="48409"/>
        <n v="91238"/>
        <n v="464988"/>
        <n v="235121"/>
        <n v="486752"/>
        <n v="33984"/>
        <n v="303128"/>
        <n v="201375"/>
        <n v="160641"/>
        <n v="216749"/>
        <n v="155006"/>
        <n v="50088"/>
        <n v="198058"/>
        <n v="119407"/>
        <n v="416757"/>
        <n v="92029"/>
        <n v="428241"/>
        <n v="283438"/>
        <n v="141074"/>
        <n v="77421"/>
        <n v="248515"/>
        <n v="315364"/>
        <n v="321372"/>
        <n v="66176"/>
        <n v="454537"/>
        <n v="439358"/>
        <n v="312138"/>
        <n v="414811"/>
        <n v="97502"/>
        <n v="491436"/>
        <n v="89944"/>
        <n v="24963"/>
        <n v="264289"/>
        <n v="253768"/>
        <n v="79672"/>
        <n v="83535"/>
        <n v="248188"/>
        <n v="476441"/>
        <n v="113915"/>
        <n v="142797"/>
        <n v="347735"/>
        <n v="208017"/>
        <n v="152487"/>
        <n v="559254"/>
        <n v="304768"/>
        <n v="170970"/>
        <n v="235864"/>
        <n v="246974"/>
        <n v="424750"/>
        <n v="359937"/>
        <n v="484902"/>
        <n v="127408"/>
        <n v="327798"/>
        <n v="34544"/>
        <n v="75888"/>
        <n v="67450"/>
        <n v="414470"/>
        <n v="446522"/>
        <n v="233607"/>
        <n v="414888"/>
        <n v="93746"/>
        <n v="277744"/>
        <n v="240153"/>
        <n v="499464"/>
        <n v="364547"/>
        <n v="247403"/>
        <n v="56940"/>
        <n v="404775"/>
        <n v="395114"/>
        <n v="122945"/>
        <n v="165887"/>
        <n v="461127"/>
        <n v="219699"/>
        <n v="253950"/>
        <n v="189357"/>
        <n v="228712"/>
        <n v="471212"/>
        <n v="260699"/>
        <n v="463902"/>
        <n v="219633"/>
        <n v="353822"/>
        <n v="480430"/>
        <n v="493075"/>
        <n v="429364"/>
        <n v="198057"/>
        <n v="491959"/>
        <n v="397435"/>
        <n v="289826"/>
        <n v="177932"/>
        <n v="71562"/>
        <n v="441989"/>
        <n v="193206"/>
        <n v="325315"/>
        <n v="270123"/>
        <n v="248569"/>
        <n v="87442"/>
        <n v="309395"/>
        <n v="180646"/>
        <n v="14695"/>
        <n v="374464"/>
        <n v="152181"/>
        <n v="466243"/>
        <n v="469350"/>
        <n v="452263"/>
        <n v="353136"/>
        <n v="105428"/>
        <n v="331196"/>
        <n v="484857"/>
        <n v="67730"/>
        <n v="418366"/>
        <n v="348916"/>
        <n v="502488"/>
        <n v="420334"/>
        <n v="419442"/>
        <n v="449650"/>
        <n v="110931"/>
        <n v="190680"/>
        <n v="122424"/>
        <n v="594442"/>
        <n v="252556"/>
        <n v="209092"/>
        <n v="54772"/>
        <n v="39048"/>
        <n v="322336"/>
        <n v="110588"/>
        <n v="202828"/>
        <n v="391050"/>
        <n v="281484"/>
        <n v="402776"/>
        <n v="226351"/>
        <n v="119920"/>
        <n v="136812"/>
        <n v="403545"/>
        <n v="14722"/>
        <n v="296298"/>
        <n v="419464"/>
        <n v="486186"/>
        <n v="439351"/>
        <n v="375750"/>
        <n v="225375"/>
        <n v="207687"/>
        <n v="130385"/>
        <n v="401337"/>
        <n v="100069"/>
        <n v="502970"/>
        <n v="428351"/>
        <n v="256337"/>
        <n v="76770"/>
        <n v="191762"/>
        <n v="206349"/>
        <n v="490926"/>
        <n v="15947"/>
        <n v="185388"/>
        <n v="85851"/>
        <n v="83438"/>
        <n v="71821"/>
        <n v="415429"/>
        <n v="29515"/>
        <n v="299258"/>
        <n v="76267"/>
        <n v="62870"/>
        <n v="33555"/>
        <n v="79109"/>
        <n v="38834"/>
        <n v="401776"/>
        <n v="280480"/>
        <n v="174486"/>
        <n v="52464"/>
        <n v="332176"/>
        <n v="195964"/>
        <n v="379605"/>
        <n v="272640"/>
        <n v="78259"/>
        <n v="210798"/>
        <n v="429627"/>
        <n v="170477"/>
        <n v="272440"/>
        <n v="323612"/>
        <n v="403876"/>
        <n v="591062"/>
        <n v="456742"/>
      </sharedItems>
    </cacheField>
    <cacheField name="COGS_USD" numFmtId="0">
      <sharedItems containsSemiMixedTypes="0" containsString="0" containsNumber="1" containsInteger="1" minValue="4039" maxValue="359275" count="1198">
        <n v="116931"/>
        <n v="74373"/>
        <n v="141148"/>
        <n v="214057"/>
        <n v="117281"/>
        <n v="113244"/>
        <n v="166635"/>
        <n v="150260"/>
        <n v="193011"/>
        <n v="48103"/>
        <n v="276487"/>
        <n v="189724"/>
        <n v="69014"/>
        <n v="215181"/>
        <n v="85313"/>
        <n v="78072"/>
        <n v="95363"/>
        <n v="126435"/>
        <n v="233204"/>
        <n v="294182"/>
        <n v="187923"/>
        <n v="74569"/>
        <n v="136677"/>
        <n v="131060"/>
        <n v="70664"/>
        <n v="66617"/>
        <n v="143157"/>
        <n v="213537"/>
        <n v="16686"/>
        <n v="134124"/>
        <n v="9076"/>
        <n v="83950"/>
        <n v="50929"/>
        <n v="147622"/>
        <n v="96481"/>
        <n v="180635"/>
        <n v="93231"/>
        <n v="31890"/>
        <n v="46594"/>
        <n v="59223"/>
        <n v="14757"/>
        <n v="101715"/>
        <n v="110632"/>
        <n v="203283"/>
        <n v="106099"/>
        <n v="47351"/>
        <n v="187347"/>
        <n v="88014"/>
        <n v="133423"/>
        <n v="39050"/>
        <n v="29082"/>
        <n v="207118"/>
        <n v="141699"/>
        <n v="96572"/>
        <n v="58469"/>
        <n v="6444"/>
        <n v="297288"/>
        <n v="38168"/>
        <n v="149510"/>
        <n v="21718"/>
        <n v="200416"/>
        <n v="86243"/>
        <n v="29918"/>
        <n v="335857"/>
        <n v="120916"/>
        <n v="191360"/>
        <n v="90676"/>
        <n v="121275"/>
        <n v="111403"/>
        <n v="15365"/>
        <n v="124666"/>
        <n v="119789"/>
        <n v="121600"/>
        <n v="152681"/>
        <n v="116840"/>
        <n v="26345"/>
        <n v="88144"/>
        <n v="157962"/>
        <n v="4039"/>
        <n v="125399"/>
        <n v="163505"/>
        <n v="102780"/>
        <n v="119358"/>
        <n v="75316"/>
        <n v="147904"/>
        <n v="245054"/>
        <n v="14735"/>
        <n v="76336"/>
        <n v="117677"/>
        <n v="112649"/>
        <n v="144997"/>
        <n v="193345"/>
        <n v="14782"/>
        <n v="42690"/>
        <n v="58419"/>
        <n v="187223"/>
        <n v="88253"/>
        <n v="25825"/>
        <n v="15799"/>
        <n v="27150"/>
        <n v="4070"/>
        <n v="216106"/>
        <n v="50878"/>
        <n v="9869"/>
        <n v="87829"/>
        <n v="21541"/>
        <n v="204863"/>
        <n v="125404"/>
        <n v="46478"/>
        <n v="6868"/>
        <n v="92878"/>
        <n v="71000"/>
        <n v="196982"/>
        <n v="206047"/>
        <n v="147827"/>
        <n v="14580"/>
        <n v="103675"/>
        <n v="125197"/>
        <n v="205246"/>
        <n v="108987"/>
        <n v="27818"/>
        <n v="62725"/>
        <n v="208407"/>
        <n v="24968"/>
        <n v="220385"/>
        <n v="268649"/>
        <n v="170037"/>
        <n v="76600"/>
        <n v="167410"/>
        <n v="58598"/>
        <n v="214236"/>
        <n v="114729"/>
        <n v="139618"/>
        <n v="140576"/>
        <n v="48253"/>
        <n v="7020"/>
        <n v="53108"/>
        <n v="223821"/>
        <n v="93785"/>
        <n v="18689"/>
        <n v="129041"/>
        <n v="80245"/>
        <n v="23899"/>
        <n v="144804"/>
        <n v="13719"/>
        <n v="9346"/>
        <n v="30696"/>
        <n v="89615"/>
        <n v="44917"/>
        <n v="17463"/>
        <n v="91261"/>
        <n v="36453"/>
        <n v="134602"/>
        <n v="176370"/>
        <n v="123811"/>
        <n v="217845"/>
        <n v="134753"/>
        <n v="347522"/>
        <n v="26025"/>
        <n v="244363"/>
        <n v="44416"/>
        <n v="147925"/>
        <n v="100004"/>
        <n v="173843"/>
        <n v="264136"/>
        <n v="203091"/>
        <n v="202812"/>
        <n v="86736"/>
        <n v="107028"/>
        <n v="154507"/>
        <n v="134678"/>
        <n v="42017"/>
        <n v="10658"/>
        <n v="52628"/>
        <n v="7013"/>
        <n v="192629"/>
        <n v="160670"/>
        <n v="33329"/>
        <n v="159926"/>
        <n v="20252"/>
        <n v="165510"/>
        <n v="167900"/>
        <n v="172770"/>
        <n v="210175"/>
        <n v="251658"/>
        <n v="136478"/>
        <n v="72857"/>
        <n v="167863"/>
        <n v="134642"/>
        <n v="134292"/>
        <n v="28827"/>
        <n v="284445"/>
        <n v="117340"/>
        <n v="48819"/>
        <n v="110528"/>
        <n v="33252"/>
        <n v="105550"/>
        <n v="18870"/>
        <n v="81455"/>
        <n v="137599"/>
        <n v="230384"/>
        <n v="185473"/>
        <n v="270007"/>
        <n v="152143"/>
        <n v="165182"/>
        <n v="211596"/>
        <n v="45191"/>
        <n v="76642"/>
        <n v="168458"/>
        <n v="223701"/>
        <n v="107447"/>
        <n v="238029"/>
        <n v="59044"/>
        <n v="71897"/>
        <n v="8271"/>
        <n v="132667"/>
        <n v="211518"/>
        <n v="13697"/>
        <n v="51047"/>
        <n v="5571"/>
        <n v="197685"/>
        <n v="63044"/>
        <n v="18829"/>
        <n v="227702"/>
        <n v="153619"/>
        <n v="160910"/>
        <n v="115328"/>
        <n v="169395"/>
        <n v="86041"/>
        <n v="84809"/>
        <n v="185070"/>
        <n v="161672"/>
        <n v="75649"/>
        <n v="98575"/>
        <n v="181009"/>
        <n v="93057"/>
        <n v="78320"/>
        <n v="11780"/>
        <n v="167120"/>
        <n v="75928"/>
        <n v="226076"/>
        <n v="58644"/>
        <n v="203602"/>
        <n v="103258"/>
        <n v="124258"/>
        <n v="35205"/>
        <n v="138703"/>
        <n v="209478"/>
        <n v="115293"/>
        <n v="117760"/>
        <n v="270401"/>
        <n v="245724"/>
        <n v="240894"/>
        <n v="54867"/>
        <n v="133266"/>
        <n v="197882"/>
        <n v="152303"/>
        <n v="112605"/>
        <n v="34369"/>
        <n v="128492"/>
        <n v="43053"/>
        <n v="48241"/>
        <n v="163488"/>
        <n v="229048"/>
        <n v="144111"/>
        <n v="32903"/>
        <n v="152235"/>
        <n v="278554"/>
        <n v="101575"/>
        <n v="77496"/>
        <n v="69818"/>
        <n v="227831"/>
        <n v="359275"/>
        <n v="166043"/>
        <n v="45685"/>
        <n v="93631"/>
        <n v="200898"/>
        <n v="120664"/>
        <n v="177322"/>
        <n v="108215"/>
        <n v="95895"/>
        <n v="282338"/>
        <n v="162365"/>
        <n v="12372"/>
        <n v="43729"/>
        <n v="70970"/>
        <n v="173970"/>
        <n v="311417"/>
        <n v="33684"/>
        <n v="50273"/>
        <n v="150138"/>
        <n v="141407"/>
        <n v="223190"/>
        <n v="68844"/>
        <n v="104883"/>
        <n v="346002"/>
        <n v="151368"/>
        <n v="48951"/>
        <n v="77839"/>
        <n v="122803"/>
        <n v="152908"/>
        <n v="122755"/>
        <n v="146287"/>
        <n v="24564"/>
        <n v="170304"/>
        <n v="129426"/>
        <n v="160538"/>
        <n v="41452"/>
        <n v="60852"/>
        <n v="206905"/>
        <n v="143045"/>
        <n v="139746"/>
        <n v="145368"/>
        <n v="179930"/>
        <n v="8025"/>
        <n v="84935"/>
        <n v="127586"/>
        <n v="89740"/>
        <n v="196328"/>
        <n v="41941"/>
        <n v="95195"/>
        <n v="122173"/>
        <n v="166182"/>
        <n v="56594"/>
        <n v="16610"/>
        <n v="200390"/>
        <n v="21593"/>
        <n v="243329"/>
        <n v="274837"/>
        <n v="19950"/>
        <n v="17657"/>
        <n v="127380"/>
        <n v="207710"/>
        <n v="189427"/>
        <n v="66381"/>
        <n v="72909"/>
        <n v="95169"/>
        <n v="47321"/>
        <n v="146706"/>
        <n v="149220"/>
        <n v="201069"/>
        <n v="184690"/>
        <n v="255170"/>
        <n v="175416"/>
        <n v="29809"/>
        <n v="19534"/>
        <n v="18576"/>
        <n v="172273"/>
        <n v="245386"/>
        <n v="14961"/>
        <n v="185646"/>
        <n v="40534"/>
        <n v="85813"/>
        <n v="142019"/>
        <n v="8831"/>
        <n v="95599"/>
        <n v="195331"/>
        <n v="114399"/>
        <n v="245855"/>
        <n v="185568"/>
        <n v="58594"/>
        <n v="140013"/>
        <n v="234898"/>
        <n v="20001"/>
        <n v="166275"/>
        <n v="137843"/>
        <n v="100019"/>
        <n v="77335"/>
        <n v="111391"/>
        <n v="161529"/>
        <n v="156315"/>
        <n v="56541"/>
        <n v="237673"/>
        <n v="98016"/>
        <n v="7359"/>
        <n v="96909"/>
        <n v="239995"/>
        <n v="198756"/>
        <n v="37305"/>
        <n v="58145"/>
        <n v="49150"/>
        <n v="20341"/>
        <n v="23283"/>
        <n v="158761"/>
        <n v="104490"/>
        <n v="86372"/>
        <n v="285285"/>
        <n v="17161"/>
        <n v="95085"/>
        <n v="292403"/>
        <n v="108319"/>
        <n v="15631"/>
        <n v="221755"/>
        <n v="144571"/>
        <n v="8073"/>
        <n v="32820"/>
        <n v="74690"/>
        <n v="244138"/>
        <n v="172598"/>
        <n v="11774"/>
        <n v="189488"/>
        <n v="184358"/>
        <n v="102228"/>
        <n v="210384"/>
        <n v="181873"/>
        <n v="40382"/>
        <n v="114366"/>
        <n v="132732"/>
        <n v="26525"/>
        <n v="122879"/>
        <n v="127120"/>
        <n v="119798"/>
        <n v="12050"/>
        <n v="108222"/>
        <n v="148246"/>
        <n v="188238"/>
        <n v="189940"/>
        <n v="151380"/>
        <n v="185141"/>
        <n v="152770"/>
        <n v="226618"/>
        <n v="46433"/>
        <n v="176916"/>
        <n v="90014"/>
        <n v="15412"/>
        <n v="176514"/>
        <n v="104866"/>
        <n v="164027"/>
        <n v="65744"/>
        <n v="27360"/>
        <n v="191198"/>
        <n v="179841"/>
        <n v="142563"/>
        <n v="75246"/>
        <n v="122103"/>
        <n v="279964"/>
        <n v="84479"/>
        <n v="234247"/>
        <n v="16829"/>
        <n v="47151"/>
        <n v="115058"/>
        <n v="207968"/>
        <n v="8453"/>
        <n v="29561"/>
        <n v="45734"/>
        <n v="115780"/>
        <n v="182976"/>
        <n v="138685"/>
        <n v="114276"/>
        <n v="133422"/>
        <n v="149661"/>
        <n v="32600"/>
        <n v="50359"/>
        <n v="22744"/>
        <n v="127645"/>
        <n v="64369"/>
        <n v="183135"/>
        <n v="100896"/>
        <n v="277224"/>
        <n v="68176"/>
        <n v="120653"/>
        <n v="209798"/>
        <n v="40938"/>
        <n v="45087"/>
        <n v="45214"/>
        <n v="95972"/>
        <n v="41253"/>
        <n v="195748"/>
        <n v="133074"/>
        <n v="63728"/>
        <n v="144231"/>
        <n v="198199"/>
        <n v="74453"/>
        <n v="85413"/>
        <n v="58821"/>
        <n v="9617"/>
        <n v="127274"/>
        <n v="226694"/>
        <n v="89020"/>
        <n v="139592"/>
        <n v="115944"/>
        <n v="183439"/>
        <n v="190133"/>
        <n v="230778"/>
        <n v="294712"/>
        <n v="112705"/>
        <n v="179342"/>
        <n v="42069"/>
        <n v="110069"/>
        <n v="66773"/>
        <n v="112089"/>
        <n v="260507"/>
        <n v="40415"/>
        <n v="24259"/>
        <n v="91174"/>
        <n v="213513"/>
        <n v="137396"/>
        <n v="85240"/>
        <n v="177110"/>
        <n v="236243"/>
        <n v="53388"/>
        <n v="220454"/>
        <n v="115051"/>
        <n v="182673"/>
        <n v="231711"/>
        <n v="119841"/>
        <n v="50792"/>
        <n v="7544"/>
        <n v="232786"/>
        <n v="148345"/>
        <n v="169356"/>
        <n v="152075"/>
        <n v="173889"/>
        <n v="137764"/>
        <n v="39763"/>
        <n v="10552"/>
        <n v="139430"/>
        <n v="169066"/>
        <n v="130336"/>
        <n v="64044"/>
        <n v="186711"/>
        <n v="99511"/>
        <n v="238641"/>
        <n v="268222"/>
        <n v="235471"/>
        <n v="253653"/>
        <n v="15451"/>
        <n v="252603"/>
        <n v="24473"/>
        <n v="256245"/>
        <n v="107937"/>
        <n v="159658"/>
        <n v="115752"/>
        <n v="132314"/>
        <n v="51041"/>
        <n v="199043"/>
        <n v="171556"/>
        <n v="225772"/>
        <n v="125255"/>
        <n v="30728"/>
        <n v="239933"/>
        <n v="187992"/>
        <n v="112675"/>
        <n v="105865"/>
        <n v="27720"/>
        <n v="142155"/>
        <n v="97887"/>
        <n v="80205"/>
        <n v="251618"/>
        <n v="171450"/>
        <n v="97707"/>
        <n v="156001"/>
        <n v="14038"/>
        <n v="299770"/>
        <n v="79097"/>
        <n v="203679"/>
        <n v="113772"/>
        <n v="150883"/>
        <n v="137625"/>
        <n v="160227"/>
        <n v="137676"/>
        <n v="121385"/>
        <n v="7726"/>
        <n v="261912"/>
        <n v="36377"/>
        <n v="78763"/>
        <n v="50463"/>
        <n v="220398"/>
        <n v="258152"/>
        <n v="238120"/>
        <n v="208028"/>
        <n v="154076"/>
        <n v="187210"/>
        <n v="129956"/>
        <n v="6813"/>
        <n v="143022"/>
        <n v="8556"/>
        <n v="49473"/>
        <n v="97432"/>
        <n v="152726"/>
        <n v="86358"/>
        <n v="36311"/>
        <n v="136083"/>
        <n v="81467"/>
        <n v="55110"/>
        <n v="102308"/>
        <n v="26253"/>
        <n v="109720"/>
        <n v="118104"/>
        <n v="126430"/>
        <n v="124509"/>
        <n v="181643"/>
        <n v="205029"/>
        <n v="270234"/>
        <n v="102291"/>
        <n v="133376"/>
        <n v="262840"/>
        <n v="85487"/>
        <n v="208627"/>
        <n v="78168"/>
        <n v="163431"/>
        <n v="205488"/>
        <n v="28291"/>
        <n v="19183"/>
        <n v="162416"/>
        <n v="139739"/>
        <n v="65372"/>
        <n v="50543"/>
        <n v="176947"/>
        <n v="5141"/>
        <n v="116153"/>
        <n v="91012"/>
        <n v="83071"/>
        <n v="56633"/>
        <n v="6298"/>
        <n v="65081"/>
        <n v="37371"/>
        <n v="131504"/>
        <n v="208403"/>
        <n v="78121"/>
        <n v="101538"/>
        <n v="66118"/>
        <n v="25901"/>
        <n v="167888"/>
        <n v="14590"/>
        <n v="38412"/>
        <n v="289778"/>
        <n v="144007"/>
        <n v="103249"/>
        <n v="27250"/>
        <n v="129666"/>
        <n v="178071"/>
        <n v="188305"/>
        <n v="131583"/>
        <n v="102608"/>
        <n v="231353"/>
        <n v="104952"/>
        <n v="56133"/>
        <n v="109285"/>
        <n v="137551"/>
        <n v="219492"/>
        <n v="172783"/>
        <n v="111664"/>
        <n v="72776"/>
        <n v="55428"/>
        <n v="19470"/>
        <n v="110848"/>
        <n v="329901"/>
        <n v="97512"/>
        <n v="69159"/>
        <n v="237796"/>
        <n v="115571"/>
        <n v="185501"/>
        <n v="163054"/>
        <n v="284945"/>
        <n v="146182"/>
        <n v="189485"/>
        <n v="112393"/>
        <n v="117338"/>
        <n v="109127"/>
        <n v="24405"/>
        <n v="191764"/>
        <n v="46331"/>
        <n v="290960"/>
        <n v="74857"/>
        <n v="124556"/>
        <n v="153247"/>
        <n v="101514"/>
        <n v="156125"/>
        <n v="163638"/>
        <n v="21023"/>
        <n v="6642"/>
        <n v="117401"/>
        <n v="16942"/>
        <n v="244874"/>
        <n v="146216"/>
        <n v="206925"/>
        <n v="205982"/>
        <n v="183058"/>
        <n v="169905"/>
        <n v="31808"/>
        <n v="177351"/>
        <n v="46714"/>
        <n v="154806"/>
        <n v="257832"/>
        <n v="93271"/>
        <n v="232517"/>
        <n v="189477"/>
        <n v="119088"/>
        <n v="170475"/>
        <n v="145268"/>
        <n v="122788"/>
        <n v="41243"/>
        <n v="139417"/>
        <n v="188012"/>
        <n v="88080"/>
        <n v="33781"/>
        <n v="117656"/>
        <n v="107823"/>
        <n v="133398"/>
        <n v="202605"/>
        <n v="96828"/>
        <n v="79299"/>
        <n v="49582"/>
        <n v="209826"/>
        <n v="170928"/>
        <n v="56350"/>
        <n v="80509"/>
        <n v="111615"/>
        <n v="16093"/>
        <n v="71925"/>
        <n v="26395"/>
        <n v="195332"/>
        <n v="185647"/>
        <n v="122433"/>
        <n v="199064"/>
        <n v="258582"/>
        <n v="228322"/>
        <n v="153156"/>
        <n v="259333"/>
        <n v="25781"/>
        <n v="164964"/>
        <n v="71548"/>
        <n v="34987"/>
        <n v="57523"/>
        <n v="93660"/>
        <n v="68315"/>
        <n v="22349"/>
        <n v="28054"/>
        <n v="5784"/>
        <n v="136056"/>
        <n v="61107"/>
        <n v="43201"/>
        <n v="189527"/>
        <n v="105915"/>
        <n v="101639"/>
        <n v="94192"/>
        <n v="135427"/>
        <n v="166976"/>
        <n v="64741"/>
        <n v="106527"/>
        <n v="178925"/>
        <n v="20454"/>
        <n v="206866"/>
        <n v="93613"/>
        <n v="64418"/>
        <n v="69486"/>
        <n v="74976"/>
        <n v="131487"/>
        <n v="60613"/>
        <n v="121450"/>
        <n v="203561"/>
        <n v="123556"/>
        <n v="99335"/>
        <n v="141086"/>
        <n v="16913"/>
        <n v="248246"/>
        <n v="190131"/>
        <n v="190863"/>
        <n v="165241"/>
        <n v="80654"/>
        <n v="34419"/>
        <n v="180231"/>
        <n v="93698"/>
        <n v="188893"/>
        <n v="67227"/>
        <n v="176716"/>
        <n v="49965"/>
        <n v="212123"/>
        <n v="128380"/>
        <n v="100053"/>
        <n v="150767"/>
        <n v="160718"/>
        <n v="116972"/>
        <n v="255505"/>
        <n v="24696"/>
        <n v="67892"/>
        <n v="137233"/>
        <n v="84593"/>
        <n v="41594"/>
        <n v="173717"/>
        <n v="122909"/>
        <n v="245359"/>
        <n v="47797"/>
        <n v="54386"/>
        <n v="162551"/>
        <n v="192566"/>
        <n v="96590"/>
        <n v="38607"/>
        <n v="166664"/>
        <n v="181011"/>
        <n v="62305"/>
        <n v="18913"/>
        <n v="204722"/>
        <n v="163665"/>
        <n v="76386"/>
        <n v="146036"/>
        <n v="101450"/>
        <n v="187209"/>
        <n v="114266"/>
        <n v="103938"/>
        <n v="132761"/>
        <n v="206689"/>
        <n v="33539"/>
        <n v="189205"/>
        <n v="116645"/>
        <n v="119357"/>
        <n v="111606"/>
        <n v="86193"/>
        <n v="202158"/>
        <n v="262617"/>
        <n v="171894"/>
        <n v="130471"/>
        <n v="33444"/>
        <n v="272755"/>
        <n v="128147"/>
        <n v="58195"/>
        <n v="80904"/>
        <n v="106044"/>
        <n v="107302"/>
        <n v="39420"/>
        <n v="165997"/>
        <n v="222015"/>
        <n v="168224"/>
        <n v="7089"/>
        <n v="166003"/>
        <n v="53227"/>
        <n v="297258"/>
        <n v="142596"/>
        <n v="214383"/>
        <n v="34484"/>
        <n v="86517"/>
        <n v="27174"/>
        <n v="61789"/>
        <n v="149648"/>
        <n v="163878"/>
        <n v="242051"/>
        <n v="198884"/>
        <n v="109492"/>
        <n v="25007"/>
        <n v="126743"/>
        <n v="7097"/>
        <n v="81288"/>
        <n v="88994"/>
        <n v="111739"/>
        <n v="119836"/>
        <n v="148744"/>
        <n v="160840"/>
        <n v="73229"/>
        <n v="10454"/>
        <n v="91201"/>
        <n v="135501"/>
        <n v="131780"/>
        <n v="32983"/>
        <n v="208252"/>
        <n v="41246"/>
        <n v="216142"/>
        <n v="169320"/>
        <n v="46958"/>
        <n v="235256"/>
        <n v="231693"/>
        <n v="82926"/>
        <n v="41573"/>
        <n v="83844"/>
        <n v="83622"/>
        <n v="85565"/>
        <n v="104913"/>
        <n v="263889"/>
        <n v="167293"/>
        <n v="133400"/>
        <n v="57097"/>
        <n v="203201"/>
        <n v="153635"/>
        <n v="193849"/>
        <n v="58875"/>
        <n v="67671"/>
        <n v="154416"/>
        <n v="63516"/>
        <n v="144446"/>
        <n v="99726"/>
        <n v="158994"/>
        <n v="174907"/>
        <n v="173259"/>
        <n v="148162"/>
        <n v="95398"/>
        <n v="64256"/>
        <n v="123653"/>
        <n v="11715"/>
        <n v="164303"/>
        <n v="12819"/>
        <n v="112508"/>
        <n v="81542"/>
        <n v="68384"/>
        <n v="185179"/>
        <n v="231606"/>
        <n v="123961"/>
        <n v="142709"/>
        <n v="103991"/>
        <n v="190307"/>
        <n v="81180"/>
        <n v="47119"/>
        <n v="44133"/>
        <n v="51582"/>
        <n v="193477"/>
        <n v="102207"/>
        <n v="159269"/>
        <n v="94513"/>
        <n v="16017"/>
        <n v="43536"/>
        <n v="131544"/>
        <n v="110224"/>
        <n v="51918"/>
        <n v="254056"/>
        <n v="53525"/>
        <n v="14127"/>
        <n v="76048"/>
        <n v="44460"/>
        <n v="241319"/>
        <n v="49394"/>
        <n v="247293"/>
        <n v="25791"/>
        <n v="92881"/>
        <n v="82262"/>
        <n v="174220"/>
        <n v="274696"/>
        <n v="100214"/>
        <n v="218128"/>
        <n v="312901"/>
        <n v="271279"/>
        <n v="107560"/>
        <n v="147514"/>
        <n v="227060"/>
        <n v="81242"/>
        <n v="202071"/>
        <n v="151103"/>
        <n v="146836"/>
        <n v="221800"/>
        <n v="199967"/>
        <n v="47877"/>
        <n v="78773"/>
        <n v="99532"/>
        <n v="76579"/>
        <n v="119306"/>
        <n v="14098"/>
        <n v="175033"/>
        <n v="145085"/>
        <n v="50658"/>
        <n v="137469"/>
        <n v="252395"/>
        <n v="205868"/>
        <n v="157307"/>
        <n v="173115"/>
        <n v="37829"/>
        <n v="169010"/>
        <n v="9020"/>
        <n v="161052"/>
        <n v="25834"/>
        <n v="266095"/>
        <n v="56327"/>
        <n v="113050"/>
        <n v="67528"/>
        <n v="37472"/>
        <n v="200299"/>
        <n v="45965"/>
        <n v="82613"/>
        <n v="123286"/>
        <n v="89437"/>
        <n v="88113"/>
        <n v="100230"/>
        <n v="189629"/>
        <n v="147403"/>
        <n v="226770"/>
        <n v="81060"/>
        <n v="197890"/>
        <n v="144781"/>
        <n v="177966"/>
        <n v="106721"/>
        <n v="127180"/>
        <n v="144727"/>
        <n v="127573"/>
        <n v="184941"/>
        <n v="127125"/>
        <n v="8735"/>
        <n v="109613"/>
        <n v="151264"/>
        <n v="109437"/>
        <n v="186334"/>
        <n v="286332"/>
        <n v="170213"/>
        <n v="106283"/>
        <n v="147343"/>
        <n v="145923"/>
        <n v="142875"/>
        <n v="60256"/>
        <n v="236253"/>
        <n v="158792"/>
        <n v="158473"/>
        <n v="207621"/>
        <n v="240063"/>
        <n v="13133"/>
        <n v="238657"/>
        <n v="72677"/>
        <n v="131312"/>
        <n v="196895"/>
        <n v="72117"/>
        <n v="90193"/>
        <n v="233089"/>
        <n v="21874"/>
        <n v="208717"/>
        <n v="82512"/>
        <n v="198589"/>
        <n v="75719"/>
        <n v="82380"/>
        <n v="178333"/>
        <n v="114636"/>
        <n v="27908"/>
        <n v="30440"/>
        <n v="256702"/>
        <n v="105818"/>
        <n v="165800"/>
        <n v="16545"/>
        <n v="141228"/>
        <n v="104920"/>
        <n v="68154"/>
        <n v="76461"/>
        <n v="60925"/>
        <n v="21300"/>
        <n v="110082"/>
        <n v="70584"/>
        <n v="201839"/>
        <n v="31995"/>
        <n v="206337"/>
        <n v="107008"/>
        <n v="52820"/>
        <n v="45453"/>
        <n v="102463"/>
        <n v="137572"/>
        <n v="140940"/>
        <n v="29593"/>
        <n v="265578"/>
        <n v="172592"/>
        <n v="162360"/>
        <n v="152152"/>
        <n v="56383"/>
        <n v="250596"/>
        <n v="41394"/>
        <n v="13774"/>
        <n v="93491"/>
        <n v="127126"/>
        <n v="31013"/>
        <n v="44904"/>
        <n v="152878"/>
        <n v="204996"/>
        <n v="48859"/>
        <n v="73266"/>
        <n v="156419"/>
        <n v="99600"/>
        <n v="68270"/>
        <n v="175668"/>
        <n v="120843"/>
        <n v="102324"/>
        <n v="114702"/>
        <n v="76482"/>
        <n v="230459"/>
        <n v="202506"/>
        <n v="192087"/>
        <n v="58147"/>
        <n v="152775"/>
        <n v="18949"/>
        <n v="43469"/>
        <n v="32879"/>
        <n v="254654"/>
        <n v="231352"/>
        <n v="106423"/>
        <n v="201880"/>
        <n v="35879"/>
        <n v="148446"/>
        <n v="114983"/>
        <n v="235380"/>
        <n v="123334"/>
        <n v="88189"/>
        <n v="25898"/>
        <n v="143422"/>
        <n v="139541"/>
        <n v="43622"/>
        <n v="78739"/>
        <n v="253874"/>
        <n v="136865"/>
        <n v="108920"/>
        <n v="85690"/>
        <n v="103415"/>
        <n v="193283"/>
        <n v="90692"/>
        <n v="236133"/>
        <n v="110646"/>
        <n v="135152"/>
        <n v="222869"/>
        <n v="276853"/>
        <n v="155915"/>
        <n v="263346"/>
        <n v="108483"/>
        <n v="277344"/>
        <n v="232162"/>
        <n v="169615"/>
        <n v="94252"/>
        <n v="68845"/>
        <n v="29497"/>
        <n v="228471"/>
        <n v="94258"/>
        <n v="178746"/>
        <n v="152202"/>
        <n v="100198"/>
        <n v="47287"/>
        <n v="173180"/>
        <n v="74200"/>
        <n v="4766"/>
        <n v="122021"/>
        <n v="53967"/>
        <n v="212021"/>
        <n v="197315"/>
        <n v="230117"/>
        <n v="122847"/>
        <n v="35222"/>
        <n v="107148"/>
        <n v="247851"/>
        <n v="29646"/>
        <n v="192423"/>
        <n v="184323"/>
        <n v="164542"/>
        <n v="198868"/>
        <n v="166021"/>
        <n v="274597"/>
        <n v="52977"/>
        <n v="79982"/>
        <n v="73166"/>
        <n v="307105"/>
        <n v="91351"/>
        <n v="75594"/>
        <n v="18705"/>
        <n v="16197"/>
        <n v="166430"/>
        <n v="67137"/>
        <n v="90385"/>
        <n v="171755"/>
        <n v="119156"/>
        <n v="212171"/>
        <n v="119359"/>
        <n v="65228"/>
        <n v="54119"/>
        <n v="144335"/>
        <n v="6141"/>
        <n v="149752"/>
        <n v="213923"/>
        <n v="162049"/>
        <n v="178169"/>
        <n v="165812"/>
        <n v="98679"/>
        <n v="78140"/>
        <n v="54668"/>
        <n v="169803"/>
        <n v="44115"/>
        <n v="288260"/>
        <n v="255415"/>
        <n v="153995"/>
        <n v="26772"/>
        <n v="77061"/>
        <n v="121468"/>
        <n v="268887"/>
        <n v="7535"/>
        <n v="96711"/>
        <n v="47109"/>
        <n v="49668"/>
        <n v="39862"/>
        <n v="257567"/>
        <n v="13586"/>
        <n v="148786"/>
        <n v="43862"/>
        <n v="32526"/>
        <n v="19924"/>
        <n v="42796"/>
        <n v="15287"/>
        <n v="148453"/>
        <n v="164284"/>
        <n v="72811"/>
        <n v="20900"/>
        <n v="113920"/>
        <n v="102065"/>
        <n v="184257"/>
        <n v="155879"/>
        <n v="45783"/>
        <n v="116525"/>
        <n v="257841"/>
        <n v="105750"/>
        <n v="146257"/>
        <n v="121778"/>
        <n v="177473"/>
        <n v="337293"/>
        <n v="271882"/>
      </sharedItems>
    </cacheField>
    <cacheField name="Budget_Target" numFmtId="0">
      <sharedItems containsSemiMixedTypes="0" containsString="0" containsNumber="1" containsInteger="1" minValue="10170" maxValue="649052"/>
    </cacheField>
    <cacheField name="CSAT" numFmtId="0">
      <sharedItems containsSemiMixedTypes="0" containsString="0" containsNumber="1" minValue="3.5" maxValue="5" count="16">
        <n v="3.7"/>
        <n v="5"/>
        <n v="4.0999999999999996"/>
        <n v="4.2"/>
        <n v="4.5"/>
        <n v="3.8"/>
        <n v="4.9000000000000004"/>
        <n v="4.4000000000000004"/>
        <n v="3.6"/>
        <n v="3.9"/>
        <n v="4"/>
        <n v="4.3"/>
        <n v="4.7"/>
        <n v="4.8"/>
        <n v="3.5"/>
        <n v="4.5999999999999996"/>
      </sharedItems>
    </cacheField>
    <cacheField name="Discount_Percent" numFmtId="0">
      <sharedItems containsSemiMixedTypes="0" containsString="0" containsNumber="1" containsInteger="1" minValue="0" maxValue="15" count="16">
        <n v="7"/>
        <n v="0"/>
        <n v="15"/>
        <n v="2"/>
        <n v="9"/>
        <n v="14"/>
        <n v="5"/>
        <n v="4"/>
        <n v="6"/>
        <n v="11"/>
        <n v="10"/>
        <n v="13"/>
        <n v="3"/>
        <n v="1"/>
        <n v="8"/>
        <n v="12"/>
      </sharedItems>
    </cacheField>
    <cacheField name="Gross_Profit" numFmtId="0">
      <sharedItems containsSemiMixedTypes="0" containsString="0" containsNumber="1" containsInteger="1" minValue="5178" maxValue="398904"/>
    </cacheField>
    <cacheField name="Budget Achievement %" numFmtId="10">
      <sharedItems containsSemiMixedTypes="0" containsString="0" containsNumber="1" minValue="0.86962948661481931" maxValue="1.1764154027661298"/>
    </cacheField>
    <cacheField name="Profit Margin %" numFmtId="10">
      <sharedItems containsSemiMixedTypes="0" containsString="0" containsNumber="1" minValue="0.3741580826195916" maxValue="0.69598579741591871" count="1200">
        <n v="0.56559971468693582"/>
        <n v="0.59842443156968295"/>
        <n v="0.49127606278495611"/>
        <n v="0.4576455415892835"/>
        <n v="0.65398425122511783"/>
        <n v="0.47338414534902645"/>
        <n v="0.42401219482687702"/>
        <n v="0.39939483813718868"/>
        <n v="0.55713341685366957"/>
        <n v="0.5680289519293803"/>
        <n v="0.40469249252870099"/>
        <n v="0.61340304918553901"/>
        <n v="0.64301195408720124"/>
        <n v="0.56926757011029483"/>
        <n v="0.56038729491301842"/>
        <n v="0.41037240670951369"/>
        <n v="0.56932727568329211"/>
        <n v="0.65414284541948187"/>
        <n v="0.4773050742227512"/>
        <n v="0.3741580826195916"/>
        <n v="0.59973290393487455"/>
        <n v="0.41947513059454578"/>
        <n v="0.39706998164878599"/>
        <n v="0.60021230904387723"/>
        <n v="0.45729492270000843"/>
        <n v="0.44521894102166926"/>
        <n v="0.6388508374264934"/>
        <n v="0.42725831672625547"/>
        <n v="0.58601697017813725"/>
        <n v="0.64316480920315744"/>
        <n v="0.6391395968351159"/>
        <n v="0.56820952253591395"/>
        <n v="0.60557151818836596"/>
        <n v="0.59394976289760038"/>
        <n v="0.46956402221122656"/>
        <n v="0.50302364994992677"/>
        <n v="0.56760429469192775"/>
        <n v="0.65705621094968225"/>
        <n v="0.69010056400979036"/>
        <n v="0.66284670036890281"/>
        <n v="0.47427858924118277"/>
        <n v="0.53584678357769655"/>
        <n v="0.57237060801669826"/>
        <n v="0.52954313499052297"/>
        <n v="0.64012400744858744"/>
        <n v="0.61700045295716321"/>
        <n v="0.6038287650086489"/>
        <n v="0.60121609743278392"/>
        <n v="0.65656531856183853"/>
        <n v="0.68646626200340433"/>
        <n v="0.62336333613935113"/>
        <n v="0.58509766685296583"/>
        <n v="0.56893315526729682"/>
        <n v="0.53231406999888609"/>
        <n v="0.66016076815325864"/>
        <n v="0.5397142857142857"/>
        <n v="0.39680922941449787"/>
        <n v="0.62946567256912089"/>
        <n v="0.58668295865447351"/>
        <n v="0.55455738780867991"/>
        <n v="0.54256185991732986"/>
        <n v="0.56030100794836368"/>
        <n v="0.66556746666070488"/>
        <n v="0.3969861606854303"/>
        <n v="0.41804355673204185"/>
        <n v="0.55177663785632303"/>
        <n v="0.58429150391520424"/>
        <n v="0.62894347947141849"/>
        <n v="0.51650311834070417"/>
        <n v="0.49758027597933424"/>
        <n v="0.60431280192470049"/>
        <n v="0.68096847476676337"/>
        <n v="0.40014009885849028"/>
        <n v="0.50836400403146609"/>
        <n v="0.66712535220496694"/>
        <n v="0.53311358037818779"/>
        <n v="0.53283124069176424"/>
        <n v="0.61371778474991989"/>
        <n v="0.63331820245120296"/>
        <n v="0.55072479345357095"/>
        <n v="0.6218706999225263"/>
        <n v="0.63689677100261433"/>
        <n v="0.63746867738849156"/>
        <n v="0.62169682905635171"/>
        <n v="0.50104746836510594"/>
        <n v="0.44388946504877946"/>
        <n v="0.58994267267768685"/>
        <n v="0.60529676682126776"/>
        <n v="0.49662712756173616"/>
        <n v="0.49209390822891824"/>
        <n v="0.6679331272185961"/>
        <n v="0.56032873298176911"/>
        <n v="0.56037354270758977"/>
        <n v="0.42536781036733923"/>
        <n v="0.60999138788562579"/>
        <n v="0.54150442521219955"/>
        <n v="0.50118693691147709"/>
        <n v="0.55408788742122073"/>
        <n v="0.56197843023094629"/>
        <n v="0.535476585624583"/>
        <n v="0.64928909952606639"/>
        <n v="0.49511954657807555"/>
        <n v="0.61712182897737111"/>
        <n v="0.52901593967738858"/>
        <n v="0.55895630690120968"/>
        <n v="0.49020211104274153"/>
        <n v="0.49470815297149973"/>
        <n v="0.51347408769602021"/>
        <n v="0.66150798563823199"/>
        <n v="0.61859276947853614"/>
        <n v="0.53092393006131255"/>
        <n v="0.58323305490170751"/>
        <n v="0.5610663719377682"/>
        <n v="0.42002049168791833"/>
        <n v="0.47751941272315351"/>
        <n v="0.65503371584052994"/>
        <n v="0.51318748914151013"/>
        <n v="0.57234597083548244"/>
        <n v="0.4847583400485504"/>
        <n v="0.58143902298519501"/>
        <n v="0.60417763485536224"/>
        <n v="0.66167562931838897"/>
        <n v="0.46543392277267343"/>
        <n v="0.63035013694573983"/>
        <n v="0.53771042005349001"/>
        <n v="0.44291662692175299"/>
        <n v="0.38592854485899292"/>
        <n v="0.53852363710848306"/>
        <n v="0.4355431476873487"/>
        <n v="0.63266278421022937"/>
        <n v="0.50031021276397236"/>
        <n v="0.40762101458629146"/>
        <n v="0.46532530148165452"/>
        <n v="0.59182583144116474"/>
        <n v="0.48915920303203542"/>
        <n v="0.42449581898671912"/>
        <n v="0.45783267827063445"/>
        <n v="0.53561506557421268"/>
        <n v="0.64836734617360237"/>
        <n v="0.58804858156810014"/>
        <n v="0.47969226923216496"/>
        <n v="0.52157945256932314"/>
        <n v="0.60965929507072159"/>
        <n v="0.52967542654467148"/>
        <n v="0.46961261888192996"/>
        <n v="0.55592511641166964"/>
        <n v="0.555960595408584"/>
        <n v="0.52427591625260117"/>
        <n v="0.51990722431834457"/>
        <n v="0.42895915764690495"/>
        <n v="0.66145462369420704"/>
        <n v="0.68417906309834264"/>
        <n v="0.68780775180853115"/>
        <n v="0.40458587372642751"/>
        <n v="0.57536440648900777"/>
        <n v="0.55108126264770252"/>
        <n v="0.57449690707977175"/>
        <n v="0.40438243939225144"/>
        <n v="0.47922919918357548"/>
        <n v="0.40951158924394443"/>
        <n v="0.62985432847761591"/>
        <n v="0.41684209696367608"/>
        <n v="0.6847010454895136"/>
        <n v="0.41349702772548463"/>
        <n v="0.39608526360795021"/>
        <n v="0.58093424234670721"/>
        <n v="0.54535631823174691"/>
        <n v="0.5680305988286386"/>
        <n v="0.68269572848231863"/>
        <n v="0.5205368502715283"/>
        <n v="0.64434503374916818"/>
        <n v="0.55340022533534572"/>
        <n v="0.64021199743442592"/>
        <n v="0.44676646203010678"/>
        <n v="0.44862017454202374"/>
        <n v="0.67435629119592655"/>
        <n v="0.40209584626491318"/>
        <n v="0.67117219333642475"/>
        <n v="0.52407508808684888"/>
        <n v="0.41904761904761906"/>
        <n v="0.38231243772182227"/>
        <n v="0.54610826358701525"/>
        <n v="0.64041758763221324"/>
        <n v="0.51327874243315474"/>
        <n v="0.40534218025605034"/>
        <n v="0.43366129561006378"/>
        <n v="0.57586783017714627"/>
        <n v="0.3843730516741849"/>
        <n v="0.48777861895540953"/>
        <n v="0.49175134828271361"/>
        <n v="0.6119561705793668"/>
        <n v="0.3755118170741078"/>
        <n v="0.42636454743223096"/>
        <n v="0.58884762121326961"/>
        <n v="0.66486761834301589"/>
        <n v="0.67020738492665655"/>
        <n v="0.55990393355404156"/>
        <n v="0.59745717516052643"/>
        <n v="0.52905840589262376"/>
        <n v="0.40425854328032523"/>
        <n v="0.50298038318904237"/>
        <n v="0.61015182120284095"/>
        <n v="0.39003386353829922"/>
        <n v="0.64221093946584329"/>
        <n v="0.58746887573018725"/>
        <n v="0.48985599490810727"/>
        <n v="0.58278940517185673"/>
        <n v="0.50499896662188692"/>
        <n v="0.51663505599536308"/>
        <n v="0.47576016779349212"/>
        <n v="0.6265401954071329"/>
        <n v="0.47492521904862744"/>
        <n v="0.67216355176511089"/>
        <n v="0.59179351498049726"/>
        <n v="0.50084490042245022"/>
        <n v="0.5800308328347531"/>
        <n v="0.46659370255861926"/>
        <n v="0.64538511326860837"/>
        <n v="0.61805747805852551"/>
        <n v="0.64524961793173718"/>
        <n v="0.48811200762323015"/>
        <n v="0.62135280904275125"/>
        <n v="0.50086154335551258"/>
        <n v="0.38240256041661014"/>
        <n v="0.38569354858059174"/>
        <n v="0.5348265753915713"/>
        <n v="0.65701710037174721"/>
        <n v="0.44836850332160999"/>
        <n v="0.53168339465720316"/>
        <n v="0.54074880325773822"/>
        <n v="0.62402333830382861"/>
        <n v="0.51205584713867924"/>
        <n v="0.56806554756195049"/>
        <n v="0.53699572105606774"/>
        <n v="0.41266122621152879"/>
        <n v="0.63683939401034961"/>
        <n v="0.5520142769709484"/>
        <n v="0.57514336206585637"/>
        <n v="0.4903293097243655"/>
        <n v="0.57958849194923701"/>
        <n v="0.52672478039875736"/>
        <n v="0.56785037913679137"/>
        <n v="0.50154358390559783"/>
        <n v="0.44459564854906813"/>
        <n v="0.48227559081363952"/>
        <n v="0.68775222400596026"/>
        <n v="0.64740798360876606"/>
        <n v="0.5005043170974226"/>
        <n v="0.56217958941876101"/>
        <n v="0.49115703872063327"/>
        <n v="0.43238500276039554"/>
        <n v="0.46508479003853104"/>
        <n v="0.48411841800940558"/>
        <n v="0.63156233631931669"/>
        <n v="0.66774786274710229"/>
        <n v="0.59306063104989215"/>
        <n v="0.41533683689255541"/>
        <n v="0.46898460783943863"/>
        <n v="0.469802384955957"/>
        <n v="0.60962834912639408"/>
        <n v="0.60808535042283784"/>
        <n v="0.62009276978445593"/>
        <n v="0.66876363791080884"/>
        <n v="0.5163141145440685"/>
        <n v="0.50876887993537101"/>
        <n v="0.48063202424548557"/>
        <n v="0.64052874046333264"/>
        <n v="0.51318599505765483"/>
        <n v="0.60786546783975659"/>
        <n v="0.50828347176132438"/>
        <n v="0.48445645592426861"/>
        <n v="0.39665317839475439"/>
        <n v="0.40112848379783972"/>
        <n v="0.64274464578483304"/>
        <n v="0.61353331303082592"/>
        <n v="0.49680231308310763"/>
        <n v="0.51881525339694901"/>
        <n v="0.65367836149889791"/>
        <n v="0.58484947100042839"/>
        <n v="0.43038740920096852"/>
        <n v="0.48871815651691741"/>
        <n v="0.44147116832145405"/>
        <n v="0.54941541808776639"/>
        <n v="0.61004822391023417"/>
        <n v="0.49658665745697345"/>
        <n v="0.59886504298480125"/>
        <n v="0.50961351445057379"/>
        <n v="0.40072240375326662"/>
        <n v="0.56870126378058616"/>
        <n v="0.57781808715222671"/>
        <n v="0.6685922155437487"/>
        <n v="0.53020618077196524"/>
        <n v="0.4678350023843586"/>
        <n v="0.59816957146025707"/>
        <n v="0.40386047278287113"/>
        <n v="0.40884169521352481"/>
        <n v="0.53055628722941728"/>
        <n v="0.67081747602374786"/>
        <n v="0.67098842601927655"/>
        <n v="0.44886500417746433"/>
        <n v="0.53027329929045464"/>
        <n v="0.5213293138368974"/>
        <n v="0.50603796210228114"/>
        <n v="0.4414906614132344"/>
        <n v="0.66021136501964262"/>
        <n v="0.59312704267884786"/>
        <n v="0.5546524991569689"/>
        <n v="0.59725748346763263"/>
        <n v="0.47718386600408647"/>
        <n v="0.44759345667132666"/>
        <n v="0.43848750807375203"/>
        <n v="0.52518073968837753"/>
        <n v="0.61268597148621984"/>
        <n v="0.58237546792000761"/>
        <n v="0.56134641029579191"/>
        <n v="0.43226034665723384"/>
        <n v="0.63357866399765306"/>
        <n v="0.66652726883046953"/>
        <n v="0.56884167639583538"/>
        <n v="0.46092615219868477"/>
        <n v="0.60307575829271753"/>
        <n v="0.64377661525105334"/>
        <n v="0.47196518176278129"/>
        <n v="0.61142287942983808"/>
        <n v="0.6019020687811707"/>
        <n v="0.47180971157821094"/>
        <n v="0.51449324520768325"/>
        <n v="0.64566205549812106"/>
        <n v="0.49985098034379349"/>
        <n v="0.51772152342982281"/>
        <n v="0.68783739379430131"/>
        <n v="0.53976280463964554"/>
        <n v="0.42296192943990435"/>
        <n v="0.48117378467625505"/>
        <n v="0.55396826891832707"/>
        <n v="0.38040434587813621"/>
        <n v="0.61941724260330322"/>
        <n v="0.66169591059037647"/>
        <n v="0.60616703424743035"/>
        <n v="0.59479077475486808"/>
        <n v="0.46880539951729"/>
        <n v="0.6574452824595507"/>
        <n v="0.48340629064514773"/>
        <n v="0.37765236139430064"/>
        <n v="0.52356171675964602"/>
        <n v="0.62946250994431185"/>
        <n v="0.39348588816095881"/>
        <n v="0.65829700347662934"/>
        <n v="0.62436166362125889"/>
        <n v="0.47501021584857867"/>
        <n v="0.66411476808405545"/>
        <n v="0.57793530551185401"/>
        <n v="0.6501104896070713"/>
        <n v="0.41664683928947743"/>
        <n v="0.3851246038480855"/>
        <n v="0.49424431590401469"/>
        <n v="0.55908791122631107"/>
        <n v="0.4016620922880878"/>
        <n v="0.5415071880598451"/>
        <n v="0.49593227567033393"/>
        <n v="0.55279862346187769"/>
        <n v="0.44217440974866717"/>
        <n v="0.39370201488756384"/>
        <n v="0.51355795315703368"/>
        <n v="0.52125520608932929"/>
        <n v="0.51565544904004967"/>
        <n v="0.60457324157398451"/>
        <n v="0.49473615082291844"/>
        <n v="0.4137601673779725"/>
        <n v="0.66009483937115521"/>
        <n v="0.55490862798694995"/>
        <n v="0.42919898339248935"/>
        <n v="0.66888809505683378"/>
        <n v="0.5006009438600767"/>
        <n v="0.5176995069528505"/>
        <n v="0.54410853673646387"/>
        <n v="0.65409408909194744"/>
        <n v="0.44022400835949566"/>
        <n v="0.54816886039691737"/>
        <n v="0.37666048423479875"/>
        <n v="0.61736137616973108"/>
        <n v="0.61275734106505519"/>
        <n v="0.45810800010656155"/>
        <n v="0.55111916559023699"/>
        <n v="0.55018968638706223"/>
        <n v="0.44171956145412578"/>
        <n v="0.64467226434422009"/>
        <n v="0.42087751920359873"/>
        <n v="0.51295586774513979"/>
        <n v="0.51843504684730313"/>
        <n v="0.49527733569926846"/>
        <n v="0.63780299002544627"/>
        <n v="0.46114864864864863"/>
        <n v="0.50319694240574953"/>
        <n v="0.56781520543358688"/>
        <n v="0.68181459877029793"/>
        <n v="0.62854814613608578"/>
        <n v="0.53331292215217163"/>
        <n v="0.50095256005625421"/>
        <n v="0.65404705495624427"/>
        <n v="0.58151768260174164"/>
        <n v="0.41960303847096297"/>
        <n v="0.5984150772421124"/>
        <n v="0.47000544365813829"/>
        <n v="0.53047670058918051"/>
        <n v="0.61414775306881875"/>
        <n v="0.4924397632005631"/>
        <n v="0.64811977330207315"/>
        <n v="0.47087736642575534"/>
        <n v="0.39537269204467745"/>
        <n v="0.54038839890183055"/>
        <n v="0.63615964096810385"/>
        <n v="0.57084721475909006"/>
        <n v="0.58433942738875477"/>
        <n v="0.42628582334043702"/>
        <n v="0.39687383033084345"/>
        <n v="0.44572629942404862"/>
        <n v="0.61794303943872186"/>
        <n v="0.49200489941106396"/>
        <n v="0.44882928208868578"/>
        <n v="0.48651501095739391"/>
        <n v="0.46300197389155207"/>
        <n v="0.52567599317622304"/>
        <n v="0.39382019777011795"/>
        <n v="0.46574472504970771"/>
        <n v="0.69598579741591871"/>
        <n v="0.53331077186655595"/>
        <n v="0.59498999698750976"/>
        <n v="0.60553174706241675"/>
        <n v="0.60775141997995319"/>
        <n v="0.64313664110189384"/>
        <n v="0.53535314259607136"/>
        <n v="0.56881451023172735"/>
        <n v="0.63074902806880317"/>
        <n v="0.52298963517068686"/>
        <n v="0.38400573097704077"/>
        <n v="0.39302934646871096"/>
        <n v="0.56419304083159227"/>
        <n v="0.45048559632166651"/>
        <n v="0.56719987655590987"/>
        <n v="0.46466160291563063"/>
        <n v="0.56003120291839059"/>
        <n v="0.43370928478458581"/>
        <n v="0.64316771497319436"/>
        <n v="0.5895502700601214"/>
        <n v="0.55280244064614548"/>
        <n v="0.63065281747652102"/>
        <n v="0.62113867936053069"/>
        <n v="0.62879244121465183"/>
        <n v="0.62463786205582672"/>
        <n v="0.41327176781002639"/>
        <n v="0.47225532995281855"/>
        <n v="0.68050491983221606"/>
        <n v="0.47003914800471458"/>
        <n v="0.59544646033440052"/>
        <n v="0.47735954895160732"/>
        <n v="0.43581495635101497"/>
        <n v="0.52082106833078223"/>
        <n v="0.54288199635740886"/>
        <n v="0.4105003508622706"/>
        <n v="0.56648968301910785"/>
        <n v="0.54172949608590126"/>
        <n v="0.56567877312399595"/>
        <n v="0.56624744387111814"/>
        <n v="0.61172397757511565"/>
        <n v="0.51008245836448551"/>
        <n v="0.52432121650690433"/>
        <n v="0.59226496402308848"/>
        <n v="0.47879339771598678"/>
        <n v="0.55602041837653893"/>
        <n v="0.61889954012952919"/>
        <n v="0.60937567708107643"/>
        <n v="0.54150001040999174"/>
        <n v="0.51630967926354698"/>
        <n v="0.39120735001674994"/>
        <n v="0.4048565791470633"/>
        <n v="0.58656119685310171"/>
        <n v="0.60416997110752413"/>
        <n v="0.54266704593826343"/>
        <n v="0.64813951098427658"/>
        <n v="0.66306785130689372"/>
        <n v="0.50343480718825484"/>
        <n v="0.44177631979355592"/>
        <n v="0.61172069163394127"/>
        <n v="0.46846166248243776"/>
        <n v="0.40532022010529056"/>
        <n v="0.59815953107618591"/>
        <n v="0.63716003099501695"/>
        <n v="0.47716341672570001"/>
        <n v="0.45729626853897126"/>
        <n v="0.4984376173664839"/>
        <n v="0.54469976075097382"/>
        <n v="0.5434747559714701"/>
        <n v="0.49035308953341739"/>
        <n v="0.60693163958066654"/>
        <n v="0.67276577417270833"/>
        <n v="0.5525234255966166"/>
        <n v="0.6587875928179403"/>
        <n v="0.62984675377687449"/>
        <n v="0.5955247604344609"/>
        <n v="0.60067646144068365"/>
        <n v="0.55115012106537531"/>
        <n v="0.52017742992149296"/>
        <n v="0.44047601678800524"/>
        <n v="0.43809693722181381"/>
        <n v="0.46322066212769508"/>
        <n v="0.5585918076442834"/>
        <n v="0.62601793629522728"/>
        <n v="0.4512656386383474"/>
        <n v="0.46691002191571268"/>
        <n v="0.62240209741259722"/>
        <n v="0.61240444912344949"/>
        <n v="0.68834791091146064"/>
        <n v="0.60130826850457064"/>
        <n v="0.67752552029568669"/>
        <n v="0.59190229383691695"/>
        <n v="0.49976296577225754"/>
        <n v="0.52624461448550497"/>
        <n v="0.62985083776499673"/>
        <n v="0.577278594734145"/>
        <n v="0.59754672163082689"/>
        <n v="0.58290945401663352"/>
        <n v="0.52454872956263321"/>
        <n v="0.50300209303052079"/>
        <n v="0.44337153873770674"/>
        <n v="0.45616697152781627"/>
        <n v="0.41072050849583919"/>
        <n v="0.66339890638956056"/>
        <n v="0.41056902980721216"/>
        <n v="0.67434031058297517"/>
        <n v="0.42490517763763269"/>
        <n v="0.65947143096012539"/>
        <n v="0.60000501064762624"/>
        <n v="0.42227701276209206"/>
        <n v="0.49514659422169993"/>
        <n v="0.47616946160635482"/>
        <n v="0.53881888997530081"/>
        <n v="0.43497220246093854"/>
        <n v="0.54504566228448448"/>
        <n v="0.60648140875602818"/>
        <n v="0.52523098791755507"/>
        <n v="0.41690098401133474"/>
        <n v="0.54396774647408996"/>
        <n v="0.53858785565693135"/>
        <n v="0.50696255588673622"/>
        <n v="0.6594008797581894"/>
        <n v="0.63175714182097009"/>
        <n v="0.60683688592738971"/>
        <n v="0.5819847710180277"/>
        <n v="0.47754171476981089"/>
        <n v="0.46265036074041105"/>
        <n v="0.58268947402139792"/>
        <n v="0.47108264619724421"/>
        <n v="0.39577325356174409"/>
        <n v="0.39503222916002373"/>
        <n v="0.48126992038404531"/>
        <n v="0.48193319632101578"/>
        <n v="0.46544255147203922"/>
        <n v="0.4337201534269608"/>
        <n v="0.56456465957736279"/>
        <n v="0.5272884441205713"/>
        <n v="0.66446021564078073"/>
        <n v="0.65484050750971057"/>
        <n v="0.53206952940463936"/>
        <n v="0.44200315736323953"/>
        <n v="0.43333592958953188"/>
        <n v="0.56842664737920678"/>
        <n v="0.66679872432303944"/>
        <n v="0.49646333104866347"/>
        <n v="0.39573424216321484"/>
        <n v="0.44987489805866737"/>
        <n v="0.41529527830166141"/>
        <n v="0.55729103812889691"/>
        <n v="0.61571462587547521"/>
        <n v="0.42880500712037833"/>
        <n v="0.45329802599903707"/>
        <n v="0.51468118100964722"/>
        <n v="0.44325871941697031"/>
        <n v="0.50240384615384615"/>
        <n v="0.66978024212681153"/>
        <n v="0.45743142667334546"/>
        <n v="0.44202725316758307"/>
        <n v="0.47791516894320635"/>
        <n v="0.49096642427506959"/>
        <n v="0.64534385107985393"/>
        <n v="0.46535633209802285"/>
        <n v="0.48756580232505725"/>
        <n v="0.61852104796640461"/>
        <n v="0.62499017359414044"/>
        <n v="0.52929548162879769"/>
        <n v="0.52107127298899558"/>
        <n v="0.65139153320640608"/>
        <n v="0.57673675110509404"/>
        <n v="0.42864030052056046"/>
        <n v="0.51386970037129787"/>
        <n v="0.38407856549332242"/>
        <n v="0.65727383454705235"/>
        <n v="0.43929619769267525"/>
        <n v="0.6332100502857535"/>
        <n v="0.47632207797423615"/>
        <n v="0.42078041406701544"/>
        <n v="0.56945275021141284"/>
        <n v="0.48757515379877359"/>
        <n v="0.61731684882588467"/>
        <n v="0.4752003939485131"/>
        <n v="0.53612658155542225"/>
        <n v="0.62517468636923268"/>
        <n v="0.6258599178141776"/>
        <n v="0.45822212217684449"/>
        <n v="0.60015320752841006"/>
        <n v="0.6048120531939426"/>
        <n v="0.66091962411656002"/>
        <n v="0.42660576468735234"/>
        <n v="0.42392216420135781"/>
        <n v="0.56044953936185904"/>
        <n v="0.63912445564978226"/>
        <n v="0.57227731882200616"/>
        <n v="0.58135705243819102"/>
        <n v="0.38833641869075414"/>
        <n v="0.39287306160618307"/>
        <n v="0.65527907828488974"/>
        <n v="0.60394734275962947"/>
        <n v="0.41763187795618895"/>
        <n v="0.6336906714940318"/>
        <n v="0.4354048964218456"/>
        <n v="0.40177949075402847"/>
        <n v="0.63386806210860425"/>
        <n v="0.41586908668693207"/>
        <n v="0.41775360853919863"/>
        <n v="0.4388763287754614"/>
        <n v="0.5895837098620399"/>
        <n v="0.62802185980463876"/>
        <n v="0.63897770055611758"/>
        <n v="0.59413089631537541"/>
        <n v="0.66323287026136091"/>
        <n v="0.65919455285227935"/>
        <n v="0.55192022017310938"/>
        <n v="0.59343149674015361"/>
        <n v="0.63898357408384032"/>
        <n v="0.40043889727060761"/>
        <n v="0.52522780615766951"/>
        <n v="0.40942638278637139"/>
        <n v="0.54909549259901047"/>
        <n v="0.44962738062379243"/>
        <n v="0.66987226012483669"/>
        <n v="0.62660163565567695"/>
        <n v="0.67328377494000968"/>
        <n v="0.57219383423128578"/>
        <n v="0.41583974331732609"/>
        <n v="0.50228664761126995"/>
        <n v="0.39251080425845897"/>
        <n v="0.55240759075286383"/>
        <n v="0.66738521046905852"/>
        <n v="0.43745299497804413"/>
        <n v="0.57995800971186418"/>
        <n v="0.4113460672393206"/>
        <n v="0.53633200432640915"/>
        <n v="0.4305553051202991"/>
        <n v="0.65483067530257943"/>
        <n v="0.52147369365474883"/>
        <n v="0.58722023217372554"/>
        <n v="0.59972773941709989"/>
        <n v="0.58189286773298909"/>
        <n v="0.65895221900786904"/>
        <n v="0.43433605057847574"/>
        <n v="0.5863248524503194"/>
        <n v="0.50580271944198674"/>
        <n v="0.59726211719441913"/>
        <n v="0.68716120224473254"/>
        <n v="0.55856614933965176"/>
        <n v="0.59705296439573208"/>
        <n v="0.47886765325599268"/>
        <n v="0.59681923030229456"/>
        <n v="0.50245169711687199"/>
        <n v="0.62287418751669488"/>
        <n v="0.41027894913025575"/>
        <n v="0.4173965015738933"/>
        <n v="0.58370468129794417"/>
        <n v="0.54713704039187061"/>
        <n v="0.55563808844126938"/>
        <n v="0.51995015991772431"/>
        <n v="0.44820886460230724"/>
        <n v="0.47664155386563029"/>
        <n v="0.56137912903044074"/>
        <n v="0.46216729839872428"/>
        <n v="0.44619667243742028"/>
        <n v="0.60541423234917102"/>
        <n v="0.50378377224806858"/>
        <n v="0.57751293257224401"/>
        <n v="0.5242436469540136"/>
        <n v="0.64845441610129295"/>
        <n v="0.43095087001825433"/>
        <n v="0.45222810594265678"/>
        <n v="0.64986586525400702"/>
        <n v="0.59476278783157677"/>
        <n v="0.46762035825730419"/>
        <n v="0.45668868779955218"/>
        <n v="0.67997688474582696"/>
        <n v="0.39209060565665332"/>
        <n v="0.63093526657356447"/>
        <n v="0.53827143401059152"/>
        <n v="0.57530410284681766"/>
        <n v="0.65591718814963273"/>
        <n v="0.65661766297876023"/>
        <n v="0.46646436603501523"/>
        <n v="0.52877845674978274"/>
        <n v="0.59094531435094444"/>
        <n v="0.63808141401944796"/>
        <n v="0.54786735180973245"/>
        <n v="0.45327501077628435"/>
        <n v="0.61269283531082286"/>
        <n v="0.47831290345978095"/>
        <n v="0.39869236376890832"/>
        <n v="0.49237518061518309"/>
        <n v="0.39297322041657129"/>
        <n v="0.46983553742627765"/>
        <n v="0.38609757601924383"/>
        <n v="0.46235047790930017"/>
        <n v="0.48706209028454867"/>
        <n v="0.6860225546492057"/>
        <n v="0.42275005787346193"/>
        <n v="0.65340664659066461"/>
        <n v="0.39396922896063247"/>
        <n v="0.64646005455192312"/>
        <n v="0.60628157951003225"/>
        <n v="0.53611606170818449"/>
        <n v="0.66269676922135035"/>
        <n v="0.43436609922501157"/>
        <n v="0.56057805741250488"/>
        <n v="0.57897738357870721"/>
        <n v="0.56095339304691061"/>
        <n v="0.46196980362071827"/>
        <n v="0.43923098100394603"/>
        <n v="0.47889073846228075"/>
        <n v="0.44224119411067064"/>
        <n v="0.38581485433290036"/>
        <n v="0.68775268196173367"/>
        <n v="0.45863866521831587"/>
        <n v="0.47764826586028142"/>
        <n v="0.52176154524728768"/>
        <n v="0.56527782440825924"/>
        <n v="0.58953403692101403"/>
        <n v="0.48976827480794127"/>
        <n v="0.48624821038354304"/>
        <n v="0.53770894788593904"/>
        <n v="0.5534114436737303"/>
        <n v="0.44965869578218043"/>
        <n v="0.65173067091690973"/>
        <n v="0.66262739892456179"/>
        <n v="0.49635539757384006"/>
        <n v="0.65489617791239885"/>
        <n v="0.44565400959436208"/>
        <n v="0.39445204664445505"/>
        <n v="0.58286011384276737"/>
        <n v="0.63756932282545242"/>
        <n v="0.67494775839148835"/>
        <n v="0.5670327419809027"/>
        <n v="0.4712443902013031"/>
        <n v="0.43305572204281356"/>
        <n v="0.40101680553594127"/>
        <n v="0.53550586938922373"/>
        <n v="0.52874980280340522"/>
        <n v="0.53347881482284687"/>
        <n v="0.5214869055457616"/>
        <n v="0.42817212569496571"/>
        <n v="0.57116652023583314"/>
        <n v="0.55139232735207566"/>
        <n v="0.51860569012672575"/>
        <n v="0.4375844214317875"/>
        <n v="0.53659234597353123"/>
        <n v="0.59847622383746391"/>
        <n v="0.60390579535152555"/>
        <n v="0.48686592969749776"/>
        <n v="0.42721408460743432"/>
        <n v="0.48585544244597995"/>
        <n v="0.44106220166868654"/>
        <n v="0.51176307777470242"/>
        <n v="0.57636076601002129"/>
        <n v="0.61391974162474816"/>
        <n v="0.67082258359502378"/>
        <n v="0.4748364940279286"/>
        <n v="0.5223605233998444"/>
        <n v="0.56191701626384283"/>
        <n v="0.48397944826628925"/>
        <n v="0.56099599544435874"/>
        <n v="0.50321985439864081"/>
        <n v="0.48247658344317307"/>
        <n v="0.55662134625790038"/>
        <n v="0.66401491566457838"/>
        <n v="0.60406325634819702"/>
        <n v="0.47141470716963418"/>
        <n v="0.45070281490113251"/>
        <n v="0.40059070268606173"/>
        <n v="0.52708041608321665"/>
        <n v="0.57877518435607056"/>
        <n v="0.49632394803979801"/>
        <n v="0.65399406608837451"/>
        <n v="0.65218012627988786"/>
        <n v="0.52984957039975533"/>
        <n v="0.46770410092663939"/>
        <n v="0.51587126732874622"/>
        <n v="0.60186621620068714"/>
        <n v="0.67929336850547395"/>
        <n v="0.57850312723683595"/>
        <n v="0.6647910128530593"/>
        <n v="0.59449235728308492"/>
        <n v="0.50335510461284305"/>
        <n v="0.62899656216390953"/>
        <n v="0.41506595877380098"/>
        <n v="0.59430760758546353"/>
        <n v="0.43742642864099962"/>
        <n v="0.54618707771000019"/>
        <n v="0.58033076656396332"/>
        <n v="0.49004287718831957"/>
        <n v="0.67047973751884371"/>
        <n v="0.49226734077683998"/>
        <n v="0.5841570342871607"/>
        <n v="0.41770644680361413"/>
        <n v="0.46892128739193512"/>
        <n v="0.48600676638521867"/>
        <n v="0.60098320665189131"/>
        <n v="0.48390306489833862"/>
        <n v="0.49875743951010204"/>
        <n v="0.51189832341806385"/>
        <n v="0.55890712675022292"/>
        <n v="0.54749138261202601"/>
        <n v="0.4690724287258608"/>
        <n v="0.53652377593758438"/>
        <n v="0.38962774968121872"/>
        <n v="0.65185588480159384"/>
        <n v="0.56551090970260265"/>
        <n v="0.63840362393305794"/>
        <n v="0.428700664954206"/>
        <n v="0.58310576539535453"/>
        <n v="0.45307368886921884"/>
        <n v="0.68033357685127038"/>
        <n v="0.44853045099372069"/>
        <n v="0.41727394631864545"/>
        <n v="0.49149612902565992"/>
        <n v="0.58675558675558681"/>
        <n v="0.38194804873829119"/>
        <n v="0.65280646486782634"/>
        <n v="0.59355134299295575"/>
        <n v="0.56156522208138937"/>
        <n v="0.45083398641185291"/>
        <n v="0.54183358413665572"/>
        <n v="0.38398745726990002"/>
        <n v="0.44376467772575651"/>
        <n v="0.57650503433458311"/>
        <n v="0.58011857526203525"/>
        <n v="0.52960763138948885"/>
        <n v="0.44532361849387553"/>
        <n v="0.53618738575917524"/>
        <n v="0.62644851123659206"/>
        <n v="0.48644608797197353"/>
        <n v="0.44100025768768253"/>
        <n v="0.45107798775618846"/>
        <n v="0.55637608549748674"/>
        <n v="0.60009352879907607"/>
        <n v="0.4353905902439611"/>
        <n v="0.41883112070711814"/>
        <n v="0.47652539730595611"/>
        <n v="0.45508667253683088"/>
        <n v="0.58319882096989262"/>
        <n v="0.66414977948863796"/>
        <n v="0.6476640711902113"/>
        <n v="0.58203071572324583"/>
        <n v="0.57681354674239249"/>
        <n v="0.41303999679705328"/>
        <n v="0.43272624929214976"/>
        <n v="0.47951822271469874"/>
        <n v="0.6478341587975156"/>
        <n v="0.58824435307872969"/>
        <n v="0.60156381695820749"/>
        <n v="0.47796452240980469"/>
        <n v="0.64930934043351618"/>
        <n v="0.42206982543640897"/>
        <n v="0.52581637729313424"/>
        <n v="0.60870850890810968"/>
        <n v="0.55140575843874318"/>
        <n v="0.46990910540583641"/>
        <n v="0.64098279587859797"/>
        <n v="0.54637242137696007"/>
        <n v="0.51576714430647208"/>
        <n v="0.53171234327145844"/>
        <n v="0.66846800510166848"/>
        <n v="0.52606579141466292"/>
        <n v="0.61112963079438953"/>
        <n v="0.54577178085378619"/>
        <n v="0.59927074949391479"/>
        <n v="0.40542671614100184"/>
        <n v="0.4477023597386468"/>
        <n v="0.47247614426653728"/>
        <n v="0.59103413630600676"/>
        <n v="0.5711235197798864"/>
        <n v="0.41820109222630286"/>
        <n v="0.45827633976759735"/>
        <n v="0.42497320471597"/>
        <n v="0.42292303679738963"/>
        <n v="0.5566047846711587"/>
        <n v="0.61354818746578443"/>
        <n v="0.56033404870766068"/>
        <n v="0.62511467500254836"/>
        <n v="0.55007981020000518"/>
        <n v="0.41377356546821881"/>
        <n v="0.55485919357508084"/>
        <n v="0.58409866587979076"/>
        <n v="0.59210827280534806"/>
        <n v="0.54205741079597436"/>
        <n v="0.61764576728173326"/>
        <n v="0.67533387467389994"/>
        <n v="0.67078543288860215"/>
        <n v="0.5592362744182493"/>
        <n v="0.46878548054907948"/>
        <n v="0.47583606717916077"/>
        <n v="0.44349025014772503"/>
        <n v="0.4139966403131598"/>
        <n v="0.61043057673098156"/>
        <n v="0.40560797846268287"/>
        <n v="0.44138336613060097"/>
        <n v="0.38340917307668332"/>
        <n v="0.52141399146409351"/>
        <n v="0.40624180938317062"/>
        <n v="0.40687278285697803"/>
        <n v="0.43843838036113741"/>
        <n v="0.44541598444638708"/>
        <n v="0.48082103779840851"/>
        <n v="0.55004930051033252"/>
        <n v="0.42668814059929128"/>
        <n v="0.43237333601161704"/>
        <n v="0.66801239552082181"/>
        <n v="0.39336839810995644"/>
        <n v="0.48038336201530518"/>
        <n v="0.49392652023870331"/>
        <n v="0.5044813963810425"/>
        <n v="0.67362530077282956"/>
        <n v="0.44032200275958805"/>
        <n v="0.5231450924578237"/>
        <n v="0.59393440958472943"/>
        <n v="0.65091505650747361"/>
        <n v="0.39169549638598877"/>
        <n v="0.65310553702561314"/>
        <n v="0.53333658340392076"/>
        <n v="0.68351075823613205"/>
        <n v="0.59138600660831253"/>
        <n v="0.48870992241540473"/>
        <n v="0.55727895225075674"/>
        <n v="0.54916165319853338"/>
        <n v="0.5118895023700889"/>
        <n v="0.41127143630222618"/>
        <n v="0.5103312616103306"/>
        <n v="0.64157662809932425"/>
        <n v="0.4326014493466141"/>
        <n v="0.68150705114712695"/>
        <n v="0.50864043911572143"/>
        <n v="0.58122475509540827"/>
        <n v="0.56643748216506673"/>
        <n v="0.47000656491055309"/>
        <n v="0.41644297656955886"/>
        <n v="0.51818142936572431"/>
        <n v="0.63658281764847702"/>
        <n v="0.43957375470977805"/>
        <n v="0.63720155684216639"/>
        <n v="0.42087184810170503"/>
        <n v="0.53324600418367551"/>
        <n v="0.53486290186363383"/>
        <n v="0.5537610667516053"/>
        <n v="0.40986321616860111"/>
        <n v="0.59556332791716005"/>
        <n v="0.60469959061974965"/>
        <n v="0.61716942507479799"/>
        <n v="0.54802518006567913"/>
        <n v="0.51740076996252338"/>
        <n v="0.4656805552809033"/>
        <n v="0.45453593243511431"/>
        <n v="0.57552187170165359"/>
        <n v="0.44999567329682422"/>
        <n v="0.46082532561358835"/>
        <n v="0.57284879425001678"/>
        <n v="0.63351253345758329"/>
        <n v="0.39440704839123131"/>
        <n v="0.53370732691240985"/>
        <n v="0.60308291781279566"/>
        <n v="0.48194057291975567"/>
        <n v="0.44898431098532643"/>
        <n v="0.55292970193146052"/>
        <n v="0.65567550050183898"/>
        <n v="0.51309287698366035"/>
        <n v="0.46449871797029729"/>
        <n v="0.45359964303713762"/>
        <n v="0.61213273532127332"/>
        <n v="0.41402664545635315"/>
        <n v="0.50281094120533154"/>
        <n v="0.42550573589548729"/>
        <n v="0.57173520590200289"/>
        <n v="0.40162149019051624"/>
        <n v="0.61131645036691817"/>
        <n v="0.43750244027103868"/>
        <n v="0.48085535182494893"/>
        <n v="0.40785423223782225"/>
        <n v="0.40453411924733623"/>
        <n v="0.44831053669384385"/>
        <n v="0.50226687486302868"/>
        <n v="0.49858141675035605"/>
        <n v="0.56901420166007077"/>
        <n v="0.52780760567806817"/>
        <n v="0.45362411025291532"/>
        <n v="0.501334970669154"/>
        <n v="0.40256193155436593"/>
        <n v="0.51623281051175018"/>
        <n v="0.65913569383683035"/>
        <n v="0.55505741331989022"/>
        <n v="0.51836986527917361"/>
        <n v="0.4366757379108227"/>
        <n v="0.57654823587466075"/>
        <n v="0.57722060354044824"/>
        <n v="0.5710228229509301"/>
        <n v="0.42349563097771076"/>
        <n v="0.66636708389048427"/>
        <n v="0.44793844142214423"/>
        <n v="0.5499423700988002"/>
        <n v="0.65937479455657089"/>
        <n v="0.51315324858757061"/>
        <n v="0.53409780686706609"/>
        <n v="0.47898199875853509"/>
        <n v="0.5757372028311577"/>
        <n v="0.64723712681488732"/>
        <n v="0.60695069868263163"/>
        <n v="0.57474844274077619"/>
        <n v="0.44419311514808796"/>
        <n v="0.40887887644777943"/>
        <n v="0.51569139810489084"/>
        <n v="0.65233785002553546"/>
        <n v="0.51817551332077028"/>
        <n v="0.62246417205879245"/>
        <n v="0.62558657158654318"/>
        <n v="0.41291122563645521"/>
        <n v="0.58769893165402487"/>
        <n v="0.56376758285663553"/>
        <n v="0.56144281393525264"/>
        <n v="0.55281370889748549"/>
        <n v="0.41571753234610165"/>
        <n v="0.60717228319502548"/>
        <n v="0.47984545297272363"/>
        <n v="0.63320162676496039"/>
        <n v="0.42172468257061396"/>
        <n v="0.49007398725368106"/>
        <n v="0.53978030774704255"/>
        <n v="0.44822337058847095"/>
        <n v="0.64625466818520638"/>
        <n v="0.49904637306516186"/>
        <n v="0.61074154031529271"/>
        <n v="0.46245286406895314"/>
        <n v="0.38402340161490484"/>
        <n v="0.56973476254142696"/>
        <n v="0.57109248123600931"/>
        <n v="0.48692199415954118"/>
        <n v="0.55017757775317411"/>
        <n v="0.52119297941995124"/>
        <n v="0.55228970338455086"/>
        <n v="0.68588870173481098"/>
        <n v="0.60349183641327175"/>
        <n v="0.40150903667310056"/>
        <n v="0.51369433232710371"/>
        <n v="0.69032367779604331"/>
        <n v="0.45742436727486757"/>
        <n v="0.43738487568657847"/>
        <n v="0.60386428597943498"/>
        <n v="0.5436157855079744"/>
        <n v="0.53393553346878264"/>
        <n v="0.45145321908290875"/>
        <n v="0.42719534050179214"/>
        <n v="0.5125426241660489"/>
        <n v="0.38559123700147174"/>
        <n v="0.48187995216361118"/>
        <n v="0.54443574036736908"/>
        <n v="0.51341084822891958"/>
        <n v="0.61727433703838031"/>
        <n v="0.46552940837605855"/>
        <n v="0.52120939567692259"/>
        <n v="0.52873480370957671"/>
        <n v="0.66167874101281865"/>
        <n v="0.64354110499872674"/>
        <n v="0.5451703547593959"/>
        <n v="0.64567475758137238"/>
        <n v="0.64683357208299375"/>
        <n v="0.64519093903778113"/>
        <n v="0.52534556656036946"/>
        <n v="0.44944885031672405"/>
        <n v="0.3770340329268681"/>
        <n v="0.57109667257334118"/>
        <n v="0.5474685382637029"/>
        <n v="0.54783745496519642"/>
        <n v="0.58981732213950411"/>
        <n v="0.65211987771337832"/>
        <n v="0.49098516497018768"/>
        <n v="0.49622324514075755"/>
        <n v="0.61802262154416632"/>
        <n v="0.53610515579793105"/>
        <n v="0.43851746691679766"/>
        <n v="0.46033366792426705"/>
        <n v="0.38666026960807148"/>
        <n v="0.45226374225601723"/>
        <n v="0.43624570340211277"/>
        <n v="0.4158491325625574"/>
        <n v="0.41476955138600402"/>
        <n v="0.4648694990603478"/>
        <n v="0.6130825259087741"/>
        <n v="0.58781196724518603"/>
        <n v="0.48308442065300267"/>
        <n v="0.51213730422450654"/>
        <n v="0.45054485652367704"/>
        <n v="0.43654557368309993"/>
        <n v="0.59690065937425829"/>
        <n v="0.45921868209784772"/>
        <n v="0.44026244768014999"/>
        <n v="0.5892519070447173"/>
        <n v="0.67567199727798566"/>
        <n v="0.67414491112630315"/>
        <n v="0.64537622962130625"/>
        <n v="0.54525644352837466"/>
        <n v="0.5795994460423991"/>
        <n v="0.49118764966402295"/>
        <n v="0.6521255267092565"/>
        <n v="0.66591417839663092"/>
        <n v="0.67648160001932389"/>
        <n v="0.48881629016390399"/>
        <n v="0.56229145135095226"/>
        <n v="0.54006061678052231"/>
        <n v="0.4717267193249951"/>
        <n v="0.67254541401983725"/>
        <n v="0.52688100415383954"/>
        <n v="0.60418603764048429"/>
        <n v="0.38930946291560103"/>
        <n v="0.52243286367201236"/>
        <n v="0.58054331864904551"/>
        <n v="0.40235574723910345"/>
        <n v="0.483372641906191"/>
        <n v="0.63829408131265941"/>
        <n v="0.63846536452853286"/>
        <n v="0.65849339078361202"/>
        <n v="0.58520282728948991"/>
        <n v="0.48367541943810188"/>
        <n v="0.39290881469960576"/>
        <n v="0.55437612164001027"/>
        <n v="0.56078506584835697"/>
        <n v="0.57668641912151308"/>
        <n v="0.47322829562833935"/>
        <n v="0.47268180834191148"/>
        <n v="0.45607071380920616"/>
        <n v="0.60442797415431393"/>
        <n v="0.64233232972778753"/>
        <n v="0.58286917538377936"/>
        <n v="0.49458990610803988"/>
        <n v="0.49000867774111723"/>
        <n v="0.66669340540451594"/>
        <n v="0.5944723011897094"/>
        <n v="0.5587172322022621"/>
        <n v="0.56215640599001659"/>
        <n v="0.62376075536745201"/>
        <n v="0.58071864094796177"/>
        <n v="0.57690668939071155"/>
        <n v="0.55915418361330682"/>
        <n v="0.42688430721514203"/>
        <n v="0.4037249825493579"/>
        <n v="0.39924786511506338"/>
        <n v="0.65127002735443529"/>
        <n v="0.59814248912714718"/>
        <n v="0.4113467959621806"/>
        <n v="0.45228608792363817"/>
        <n v="0.52749733492192885"/>
        <n v="0.47833193086931192"/>
        <n v="0.45127022399273159"/>
        <n v="0.4047316570387593"/>
        <n v="0.44498127288676015"/>
        <n v="0.37999754470679709"/>
        <n v="0.53969168219549379"/>
        <n v="0.50281696729911984"/>
        <n v="0.42488887723392815"/>
        <n v="0.48264673135040559"/>
        <n v="0.40622857994337652"/>
        <n v="0.45902488970913552"/>
        <n v="0.60635010557758662"/>
        <n v="0.63050804428338181"/>
        <n v="0.41427552766685682"/>
        <n v="0.58271150694038487"/>
        <n v="0.60163159499847518"/>
        <n v="0.65704927508308852"/>
        <n v="0.47916454042579248"/>
        <n v="0.51460860631445848"/>
        <n v="0.42826071009389671"/>
        <n v="0.4149810245466975"/>
        <n v="0.44721961308930824"/>
        <n v="0.3998491714906186"/>
        <n v="0.3796817165952005"/>
        <n v="0.46315886066656881"/>
        <n v="0.62369133406672184"/>
        <n v="0.56057552318038206"/>
        <n v="0.42934412971904806"/>
        <n v="0.40473615301417432"/>
      </sharedItems>
    </cacheField>
    <cacheField name="Months (Date)" numFmtId="0" databaseField="0">
      <fieldGroup base="0">
        <rangePr groupBy="months" startDate="2024-01-01T00:00:00" endDate="2025-12-31T00:00:00"/>
        <groupItems count="14">
          <s v="&lt;01-01-2024"/>
          <s v="Jan"/>
          <s v="Feb"/>
          <s v="Mar"/>
          <s v="Apr"/>
          <s v="May"/>
          <s v="Jun"/>
          <s v="Jul"/>
          <s v="Aug"/>
          <s v="Sep"/>
          <s v="Oct"/>
          <s v="Nov"/>
          <s v="Dec"/>
          <s v="&gt;31-12-2025"/>
        </groupItems>
      </fieldGroup>
    </cacheField>
    <cacheField name="Quarters (Date)" numFmtId="0" databaseField="0">
      <fieldGroup base="0">
        <rangePr groupBy="quarters" startDate="2024-01-01T00:00:00" endDate="2025-12-31T00:00:00"/>
        <groupItems count="6">
          <s v="&lt;01-01-2024"/>
          <s v="Qtr1"/>
          <s v="Qtr2"/>
          <s v="Qtr3"/>
          <s v="Qtr4"/>
          <s v="&gt;31-12-2025"/>
        </groupItems>
      </fieldGroup>
    </cacheField>
    <cacheField name="Years (Date)" numFmtId="0" databaseField="0">
      <fieldGroup base="0">
        <rangePr groupBy="years" startDate="2024-01-01T00:00:00" endDate="2025-12-31T00:00:00"/>
        <groupItems count="4">
          <s v="&lt;01-01-2024"/>
          <s v="2024"/>
          <s v="2025"/>
          <s v="&gt;31-12-2025"/>
        </groupItems>
      </fieldGroup>
    </cacheField>
    <cacheField name="Bedget Achievement %" numFmtId="0" formula="Revenue_USD/Budget_Target" databaseField="0"/>
  </cacheFields>
  <extLst>
    <ext xmlns:x14="http://schemas.microsoft.com/office/spreadsheetml/2009/9/main" uri="{725AE2AE-9491-48be-B2B4-4EB974FC3084}">
      <x14:pivotCacheDefinition pivotCacheId="11655863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x v="0"/>
    <x v="0"/>
    <x v="0"/>
    <x v="0"/>
    <x v="0"/>
    <n v="241400"/>
    <x v="0"/>
    <x v="0"/>
    <n v="152247"/>
    <n v="1.1150704225352113"/>
    <x v="0"/>
  </r>
  <r>
    <x v="1"/>
    <x v="1"/>
    <x v="1"/>
    <x v="1"/>
    <x v="1"/>
    <x v="1"/>
    <n v="158566"/>
    <x v="1"/>
    <x v="0"/>
    <n v="110830"/>
    <n v="1.1679868319816353"/>
    <x v="1"/>
  </r>
  <r>
    <x v="2"/>
    <x v="2"/>
    <x v="2"/>
    <x v="2"/>
    <x v="2"/>
    <x v="2"/>
    <n v="279515"/>
    <x v="2"/>
    <x v="1"/>
    <n v="136307"/>
    <n v="0.99263009140833225"/>
    <x v="2"/>
  </r>
  <r>
    <x v="3"/>
    <x v="1"/>
    <x v="3"/>
    <x v="0"/>
    <x v="3"/>
    <x v="3"/>
    <n v="378857"/>
    <x v="3"/>
    <x v="2"/>
    <n v="180624"/>
    <n v="1.041767738223129"/>
    <x v="3"/>
  </r>
  <r>
    <x v="4"/>
    <x v="2"/>
    <x v="3"/>
    <x v="0"/>
    <x v="4"/>
    <x v="4"/>
    <n v="357281"/>
    <x v="3"/>
    <x v="3"/>
    <n v="221666"/>
    <n v="0.94868464877785275"/>
    <x v="4"/>
  </r>
  <r>
    <x v="5"/>
    <x v="0"/>
    <x v="0"/>
    <x v="2"/>
    <x v="5"/>
    <x v="5"/>
    <n v="189085"/>
    <x v="4"/>
    <x v="4"/>
    <n v="101797"/>
    <n v="1.1372715974297274"/>
    <x v="5"/>
  </r>
  <r>
    <x v="6"/>
    <x v="0"/>
    <x v="3"/>
    <x v="1"/>
    <x v="6"/>
    <x v="6"/>
    <n v="279848"/>
    <x v="5"/>
    <x v="5"/>
    <n v="122668"/>
    <n v="1.0337861982218919"/>
    <x v="6"/>
  </r>
  <r>
    <x v="7"/>
    <x v="2"/>
    <x v="2"/>
    <x v="2"/>
    <x v="7"/>
    <x v="7"/>
    <n v="275870"/>
    <x v="3"/>
    <x v="6"/>
    <n v="99921"/>
    <n v="0.90688005219849932"/>
    <x v="7"/>
  </r>
  <r>
    <x v="8"/>
    <x v="2"/>
    <x v="1"/>
    <x v="2"/>
    <x v="8"/>
    <x v="8"/>
    <n v="438546"/>
    <x v="6"/>
    <x v="0"/>
    <n v="242811"/>
    <n v="0.99378856493959589"/>
    <x v="8"/>
  </r>
  <r>
    <x v="9"/>
    <x v="0"/>
    <x v="0"/>
    <x v="2"/>
    <x v="9"/>
    <x v="9"/>
    <n v="126899"/>
    <x v="7"/>
    <x v="7"/>
    <n v="63254"/>
    <n v="0.87752464558428356"/>
    <x v="9"/>
  </r>
  <r>
    <x v="10"/>
    <x v="3"/>
    <x v="0"/>
    <x v="0"/>
    <x v="10"/>
    <x v="10"/>
    <n v="453771"/>
    <x v="2"/>
    <x v="1"/>
    <n v="187957"/>
    <n v="1.0235206745252561"/>
    <x v="10"/>
  </r>
  <r>
    <x v="11"/>
    <x v="0"/>
    <x v="3"/>
    <x v="0"/>
    <x v="11"/>
    <x v="11"/>
    <n v="533475"/>
    <x v="7"/>
    <x v="1"/>
    <n v="301030"/>
    <n v="0.91991939641032849"/>
    <x v="11"/>
  </r>
  <r>
    <x v="12"/>
    <x v="1"/>
    <x v="2"/>
    <x v="1"/>
    <x v="12"/>
    <x v="12"/>
    <n v="190391"/>
    <x v="8"/>
    <x v="8"/>
    <n v="124309"/>
    <n v="1.015399887599729"/>
    <x v="12"/>
  </r>
  <r>
    <x v="13"/>
    <x v="1"/>
    <x v="2"/>
    <x v="1"/>
    <x v="13"/>
    <x v="13"/>
    <n v="557601"/>
    <x v="3"/>
    <x v="9"/>
    <n v="284389"/>
    <n v="0.89592737459222638"/>
    <x v="13"/>
  </r>
  <r>
    <x v="14"/>
    <x v="1"/>
    <x v="2"/>
    <x v="0"/>
    <x v="14"/>
    <x v="14"/>
    <n v="209839"/>
    <x v="3"/>
    <x v="7"/>
    <n v="108751"/>
    <n v="0.92482331692392739"/>
    <x v="14"/>
  </r>
  <r>
    <x v="15"/>
    <x v="1"/>
    <x v="3"/>
    <x v="2"/>
    <x v="15"/>
    <x v="15"/>
    <n v="113796"/>
    <x v="4"/>
    <x v="9"/>
    <n v="54337"/>
    <n v="1.163564624415621"/>
    <x v="15"/>
  </r>
  <r>
    <x v="16"/>
    <x v="3"/>
    <x v="1"/>
    <x v="2"/>
    <x v="16"/>
    <x v="16"/>
    <n v="224074"/>
    <x v="5"/>
    <x v="8"/>
    <n v="126065"/>
    <n v="0.98819140105500858"/>
    <x v="16"/>
  </r>
  <r>
    <x v="17"/>
    <x v="0"/>
    <x v="3"/>
    <x v="0"/>
    <x v="17"/>
    <x v="17"/>
    <n v="379208"/>
    <x v="9"/>
    <x v="6"/>
    <n v="239135"/>
    <n v="0.96403556886985509"/>
    <x v="17"/>
  </r>
  <r>
    <x v="18"/>
    <x v="0"/>
    <x v="1"/>
    <x v="2"/>
    <x v="18"/>
    <x v="18"/>
    <n v="395574"/>
    <x v="10"/>
    <x v="10"/>
    <n v="212953"/>
    <n v="1.1278724081966964"/>
    <x v="18"/>
  </r>
  <r>
    <x v="19"/>
    <x v="3"/>
    <x v="0"/>
    <x v="1"/>
    <x v="19"/>
    <x v="19"/>
    <n v="449267"/>
    <x v="10"/>
    <x v="11"/>
    <n v="175876"/>
    <n v="1.0462776032960355"/>
    <x v="19"/>
  </r>
  <r>
    <x v="20"/>
    <x v="0"/>
    <x v="3"/>
    <x v="1"/>
    <x v="20"/>
    <x v="20"/>
    <n v="437016"/>
    <x v="9"/>
    <x v="7"/>
    <n v="281571"/>
    <n v="1.0743176451205447"/>
    <x v="20"/>
  </r>
  <r>
    <x v="21"/>
    <x v="0"/>
    <x v="1"/>
    <x v="1"/>
    <x v="21"/>
    <x v="21"/>
    <n v="118968"/>
    <x v="9"/>
    <x v="1"/>
    <n v="53882"/>
    <n v="1.0797105103893483"/>
    <x v="21"/>
  </r>
  <r>
    <x v="22"/>
    <x v="1"/>
    <x v="0"/>
    <x v="1"/>
    <x v="22"/>
    <x v="22"/>
    <n v="234139"/>
    <x v="11"/>
    <x v="0"/>
    <n v="90011"/>
    <n v="0.9681770230504102"/>
    <x v="22"/>
  </r>
  <r>
    <x v="23"/>
    <x v="1"/>
    <x v="0"/>
    <x v="1"/>
    <x v="23"/>
    <x v="23"/>
    <n v="330866"/>
    <x v="3"/>
    <x v="3"/>
    <n v="196764"/>
    <n v="0.99080594560940083"/>
    <x v="23"/>
  </r>
  <r>
    <x v="20"/>
    <x v="0"/>
    <x v="3"/>
    <x v="0"/>
    <x v="24"/>
    <x v="24"/>
    <n v="139121"/>
    <x v="2"/>
    <x v="0"/>
    <n v="59543"/>
    <n v="0.93592628000086253"/>
    <x v="24"/>
  </r>
  <r>
    <x v="24"/>
    <x v="2"/>
    <x v="2"/>
    <x v="0"/>
    <x v="25"/>
    <x v="25"/>
    <n v="120373"/>
    <x v="4"/>
    <x v="1"/>
    <n v="53461"/>
    <n v="0.99754928430794276"/>
    <x v="25"/>
  </r>
  <r>
    <x v="25"/>
    <x v="0"/>
    <x v="3"/>
    <x v="0"/>
    <x v="26"/>
    <x v="26"/>
    <n v="378396"/>
    <x v="8"/>
    <x v="3"/>
    <n v="253236"/>
    <n v="1.0475612850030127"/>
    <x v="26"/>
  </r>
  <r>
    <x v="26"/>
    <x v="3"/>
    <x v="1"/>
    <x v="0"/>
    <x v="27"/>
    <x v="27"/>
    <n v="355056"/>
    <x v="0"/>
    <x v="0"/>
    <n v="159296"/>
    <n v="1.0500681582623586"/>
    <x v="27"/>
  </r>
  <r>
    <x v="27"/>
    <x v="1"/>
    <x v="2"/>
    <x v="2"/>
    <x v="28"/>
    <x v="28"/>
    <n v="44141"/>
    <x v="11"/>
    <x v="8"/>
    <n v="23620"/>
    <n v="0.91311932217213021"/>
    <x v="28"/>
  </r>
  <r>
    <x v="28"/>
    <x v="3"/>
    <x v="2"/>
    <x v="1"/>
    <x v="29"/>
    <x v="29"/>
    <n v="421022"/>
    <x v="7"/>
    <x v="11"/>
    <n v="241747"/>
    <n v="0.89275857318619933"/>
    <x v="29"/>
  </r>
  <r>
    <x v="29"/>
    <x v="3"/>
    <x v="3"/>
    <x v="0"/>
    <x v="30"/>
    <x v="30"/>
    <n v="28071"/>
    <x v="12"/>
    <x v="2"/>
    <n v="16075"/>
    <n v="0.89597805564461541"/>
    <x v="30"/>
  </r>
  <r>
    <x v="30"/>
    <x v="1"/>
    <x v="0"/>
    <x v="2"/>
    <x v="31"/>
    <x v="31"/>
    <n v="186973"/>
    <x v="6"/>
    <x v="12"/>
    <n v="110473"/>
    <n v="1.0398453252608666"/>
    <x v="31"/>
  </r>
  <r>
    <x v="31"/>
    <x v="3"/>
    <x v="2"/>
    <x v="2"/>
    <x v="32"/>
    <x v="32"/>
    <n v="135007"/>
    <x v="5"/>
    <x v="13"/>
    <n v="78192"/>
    <n v="0.95640226062352318"/>
    <x v="32"/>
  </r>
  <r>
    <x v="32"/>
    <x v="0"/>
    <x v="0"/>
    <x v="2"/>
    <x v="33"/>
    <x v="33"/>
    <n v="379875"/>
    <x v="13"/>
    <x v="2"/>
    <n v="215934"/>
    <n v="0.95704113195129981"/>
    <x v="33"/>
  </r>
  <r>
    <x v="33"/>
    <x v="0"/>
    <x v="0"/>
    <x v="0"/>
    <x v="34"/>
    <x v="34"/>
    <n v="167920"/>
    <x v="1"/>
    <x v="6"/>
    <n v="85409"/>
    <n v="1.0831943782753692"/>
    <x v="34"/>
  </r>
  <r>
    <x v="34"/>
    <x v="1"/>
    <x v="2"/>
    <x v="0"/>
    <x v="35"/>
    <x v="35"/>
    <n v="379290"/>
    <x v="4"/>
    <x v="13"/>
    <n v="182833"/>
    <n v="0.95828521711619075"/>
    <x v="35"/>
  </r>
  <r>
    <x v="35"/>
    <x v="3"/>
    <x v="1"/>
    <x v="1"/>
    <x v="36"/>
    <x v="36"/>
    <n v="232986"/>
    <x v="8"/>
    <x v="3"/>
    <n v="122384"/>
    <n v="0.92544187204381378"/>
    <x v="36"/>
  </r>
  <r>
    <x v="36"/>
    <x v="0"/>
    <x v="2"/>
    <x v="1"/>
    <x v="37"/>
    <x v="37"/>
    <n v="99899"/>
    <x v="6"/>
    <x v="7"/>
    <n v="61099"/>
    <n v="0.93083013843982421"/>
    <x v="37"/>
  </r>
  <r>
    <x v="37"/>
    <x v="3"/>
    <x v="2"/>
    <x v="1"/>
    <x v="38"/>
    <x v="38"/>
    <n v="131197"/>
    <x v="10"/>
    <x v="3"/>
    <n v="103758"/>
    <n v="1.1460018140658703"/>
    <x v="38"/>
  </r>
  <r>
    <x v="32"/>
    <x v="0"/>
    <x v="3"/>
    <x v="2"/>
    <x v="39"/>
    <x v="39"/>
    <n v="185986"/>
    <x v="7"/>
    <x v="4"/>
    <n v="116433"/>
    <n v="0.94445818502467926"/>
    <x v="39"/>
  </r>
  <r>
    <x v="38"/>
    <x v="0"/>
    <x v="3"/>
    <x v="2"/>
    <x v="40"/>
    <x v="40"/>
    <n v="26346"/>
    <x v="10"/>
    <x v="13"/>
    <n v="13313"/>
    <n v="1.065436878463524"/>
    <x v="40"/>
  </r>
  <r>
    <x v="39"/>
    <x v="3"/>
    <x v="0"/>
    <x v="0"/>
    <x v="41"/>
    <x v="41"/>
    <n v="205763"/>
    <x v="2"/>
    <x v="2"/>
    <n v="117426"/>
    <n v="1.0650165481646361"/>
    <x v="41"/>
  </r>
  <r>
    <x v="40"/>
    <x v="3"/>
    <x v="1"/>
    <x v="2"/>
    <x v="42"/>
    <x v="42"/>
    <n v="234981"/>
    <x v="8"/>
    <x v="14"/>
    <n v="148078"/>
    <n v="1.1009826326383836"/>
    <x v="42"/>
  </r>
  <r>
    <x v="41"/>
    <x v="2"/>
    <x v="1"/>
    <x v="0"/>
    <x v="43"/>
    <x v="43"/>
    <n v="454396"/>
    <x v="10"/>
    <x v="13"/>
    <n v="228814"/>
    <n v="0.95092606449000427"/>
    <x v="43"/>
  </r>
  <r>
    <x v="42"/>
    <x v="1"/>
    <x v="2"/>
    <x v="1"/>
    <x v="44"/>
    <x v="44"/>
    <n v="272731"/>
    <x v="8"/>
    <x v="4"/>
    <n v="188722"/>
    <n v="1.0809955597273504"/>
    <x v="44"/>
  </r>
  <r>
    <x v="43"/>
    <x v="1"/>
    <x v="1"/>
    <x v="1"/>
    <x v="45"/>
    <x v="45"/>
    <n v="113091"/>
    <x v="7"/>
    <x v="0"/>
    <n v="76281"/>
    <n v="1.0932081244307681"/>
    <x v="45"/>
  </r>
  <r>
    <x v="44"/>
    <x v="2"/>
    <x v="0"/>
    <x v="2"/>
    <x v="46"/>
    <x v="46"/>
    <n v="540402"/>
    <x v="11"/>
    <x v="0"/>
    <n v="285547"/>
    <n v="0.87507818253818459"/>
    <x v="46"/>
  </r>
  <r>
    <x v="45"/>
    <x v="1"/>
    <x v="0"/>
    <x v="0"/>
    <x v="47"/>
    <x v="47"/>
    <n v="204210"/>
    <x v="5"/>
    <x v="9"/>
    <n v="132692"/>
    <n v="1.0807795896381176"/>
    <x v="47"/>
  </r>
  <r>
    <x v="46"/>
    <x v="3"/>
    <x v="1"/>
    <x v="1"/>
    <x v="48"/>
    <x v="48"/>
    <n v="381777"/>
    <x v="9"/>
    <x v="4"/>
    <n v="255073"/>
    <n v="1.0175992791603474"/>
    <x v="48"/>
  </r>
  <r>
    <x v="47"/>
    <x v="0"/>
    <x v="0"/>
    <x v="1"/>
    <x v="49"/>
    <x v="49"/>
    <n v="133436"/>
    <x v="11"/>
    <x v="1"/>
    <n v="85498"/>
    <n v="0.93339128870769505"/>
    <x v="49"/>
  </r>
  <r>
    <x v="48"/>
    <x v="1"/>
    <x v="1"/>
    <x v="2"/>
    <x v="50"/>
    <x v="50"/>
    <n v="65966"/>
    <x v="0"/>
    <x v="3"/>
    <n v="48133"/>
    <n v="1.1705272413061274"/>
    <x v="50"/>
  </r>
  <r>
    <x v="49"/>
    <x v="1"/>
    <x v="0"/>
    <x v="2"/>
    <x v="51"/>
    <x v="51"/>
    <n v="495329"/>
    <x v="8"/>
    <x v="11"/>
    <n v="292079"/>
    <n v="1.0078089512223189"/>
    <x v="51"/>
  </r>
  <r>
    <x v="50"/>
    <x v="3"/>
    <x v="3"/>
    <x v="1"/>
    <x v="52"/>
    <x v="52"/>
    <n v="284148"/>
    <x v="6"/>
    <x v="11"/>
    <n v="187018"/>
    <n v="1.1568513591508651"/>
    <x v="52"/>
  </r>
  <r>
    <x v="51"/>
    <x v="2"/>
    <x v="1"/>
    <x v="0"/>
    <x v="53"/>
    <x v="53"/>
    <n v="208928"/>
    <x v="4"/>
    <x v="4"/>
    <n v="109917"/>
    <n v="0.98832612191759839"/>
    <x v="53"/>
  </r>
  <r>
    <x v="52"/>
    <x v="0"/>
    <x v="1"/>
    <x v="0"/>
    <x v="54"/>
    <x v="54"/>
    <n v="179089"/>
    <x v="12"/>
    <x v="1"/>
    <n v="113580"/>
    <n v="0.96068993628866095"/>
    <x v="54"/>
  </r>
  <r>
    <x v="53"/>
    <x v="1"/>
    <x v="1"/>
    <x v="1"/>
    <x v="55"/>
    <x v="55"/>
    <n v="15854"/>
    <x v="2"/>
    <x v="15"/>
    <n v="7556"/>
    <n v="0.8830579033682352"/>
    <x v="55"/>
  </r>
  <r>
    <x v="54"/>
    <x v="0"/>
    <x v="2"/>
    <x v="0"/>
    <x v="56"/>
    <x v="56"/>
    <n v="433830"/>
    <x v="14"/>
    <x v="15"/>
    <n v="195571"/>
    <n v="1.1360648180162736"/>
    <x v="56"/>
  </r>
  <r>
    <x v="55"/>
    <x v="2"/>
    <x v="3"/>
    <x v="0"/>
    <x v="57"/>
    <x v="57"/>
    <n v="88275"/>
    <x v="12"/>
    <x v="15"/>
    <n v="64840"/>
    <n v="1.1668988954970263"/>
    <x v="57"/>
  </r>
  <r>
    <x v="56"/>
    <x v="1"/>
    <x v="1"/>
    <x v="2"/>
    <x v="58"/>
    <x v="58"/>
    <n v="402695"/>
    <x v="15"/>
    <x v="13"/>
    <n v="212222"/>
    <n v="0.898277852965644"/>
    <x v="58"/>
  </r>
  <r>
    <x v="57"/>
    <x v="3"/>
    <x v="0"/>
    <x v="2"/>
    <x v="59"/>
    <x v="59"/>
    <n v="49866"/>
    <x v="15"/>
    <x v="14"/>
    <n v="27038"/>
    <n v="0.97774034412224764"/>
    <x v="59"/>
  </r>
  <r>
    <x v="58"/>
    <x v="2"/>
    <x v="0"/>
    <x v="0"/>
    <x v="60"/>
    <x v="60"/>
    <n v="403768"/>
    <x v="4"/>
    <x v="11"/>
    <n v="237711"/>
    <n v="1.0850958966535238"/>
    <x v="60"/>
  </r>
  <r>
    <x v="59"/>
    <x v="3"/>
    <x v="3"/>
    <x v="1"/>
    <x v="61"/>
    <x v="61"/>
    <n v="195938"/>
    <x v="2"/>
    <x v="1"/>
    <n v="109898"/>
    <n v="1.00103604201329"/>
    <x v="61"/>
  </r>
  <r>
    <x v="60"/>
    <x v="1"/>
    <x v="3"/>
    <x v="1"/>
    <x v="62"/>
    <x v="62"/>
    <n v="98775"/>
    <x v="10"/>
    <x v="9"/>
    <n v="59541"/>
    <n v="0.90568463680080991"/>
    <x v="62"/>
  </r>
  <r>
    <x v="61"/>
    <x v="1"/>
    <x v="1"/>
    <x v="0"/>
    <x v="63"/>
    <x v="63"/>
    <n v="488742"/>
    <x v="7"/>
    <x v="5"/>
    <n v="221107"/>
    <n v="1.1395869395304681"/>
    <x v="63"/>
  </r>
  <r>
    <x v="62"/>
    <x v="0"/>
    <x v="0"/>
    <x v="0"/>
    <x v="64"/>
    <x v="64"/>
    <n v="234635"/>
    <x v="1"/>
    <x v="14"/>
    <n v="86859"/>
    <n v="0.88552432501544953"/>
    <x v="64"/>
  </r>
  <r>
    <x v="63"/>
    <x v="1"/>
    <x v="2"/>
    <x v="1"/>
    <x v="65"/>
    <x v="65"/>
    <n v="453292"/>
    <x v="1"/>
    <x v="8"/>
    <n v="235570"/>
    <n v="0.94184322688245103"/>
    <x v="65"/>
  </r>
  <r>
    <x v="29"/>
    <x v="2"/>
    <x v="2"/>
    <x v="1"/>
    <x v="66"/>
    <x v="66"/>
    <n v="190166"/>
    <x v="12"/>
    <x v="11"/>
    <n v="127448"/>
    <n v="1.1470189203117276"/>
    <x v="66"/>
  </r>
  <r>
    <x v="64"/>
    <x v="2"/>
    <x v="0"/>
    <x v="1"/>
    <x v="67"/>
    <x v="67"/>
    <n v="364131"/>
    <x v="9"/>
    <x v="2"/>
    <n v="205562"/>
    <n v="0.89758081569545023"/>
    <x v="67"/>
  </r>
  <r>
    <x v="65"/>
    <x v="3"/>
    <x v="0"/>
    <x v="2"/>
    <x v="68"/>
    <x v="68"/>
    <n v="221977"/>
    <x v="15"/>
    <x v="5"/>
    <n v="119008"/>
    <n v="1.0379949274023885"/>
    <x v="68"/>
  </r>
  <r>
    <x v="66"/>
    <x v="2"/>
    <x v="3"/>
    <x v="0"/>
    <x v="69"/>
    <x v="69"/>
    <n v="31237"/>
    <x v="15"/>
    <x v="15"/>
    <n v="15217"/>
    <n v="0.97903127701123671"/>
    <x v="69"/>
  </r>
  <r>
    <x v="67"/>
    <x v="3"/>
    <x v="3"/>
    <x v="1"/>
    <x v="70"/>
    <x v="70"/>
    <n v="290251"/>
    <x v="2"/>
    <x v="1"/>
    <n v="190396"/>
    <n v="1.0854811869726546"/>
    <x v="70"/>
  </r>
  <r>
    <x v="68"/>
    <x v="3"/>
    <x v="0"/>
    <x v="1"/>
    <x v="71"/>
    <x v="71"/>
    <n v="320524"/>
    <x v="1"/>
    <x v="7"/>
    <n v="255688"/>
    <n v="1.1714473799153886"/>
    <x v="71"/>
  </r>
  <r>
    <x v="69"/>
    <x v="0"/>
    <x v="2"/>
    <x v="1"/>
    <x v="72"/>
    <x v="72"/>
    <n v="205989"/>
    <x v="1"/>
    <x v="9"/>
    <n v="81114"/>
    <n v="0.9841010927767988"/>
    <x v="72"/>
  </r>
  <r>
    <x v="70"/>
    <x v="1"/>
    <x v="0"/>
    <x v="1"/>
    <x v="73"/>
    <x v="73"/>
    <n v="322441"/>
    <x v="7"/>
    <x v="5"/>
    <n v="157876"/>
    <n v="0.96314364488387028"/>
    <x v="73"/>
  </r>
  <r>
    <x v="71"/>
    <x v="1"/>
    <x v="0"/>
    <x v="0"/>
    <x v="74"/>
    <x v="74"/>
    <n v="392098"/>
    <x v="3"/>
    <x v="4"/>
    <n v="234163"/>
    <n v="0.89519201832195017"/>
    <x v="74"/>
  </r>
  <r>
    <x v="72"/>
    <x v="3"/>
    <x v="1"/>
    <x v="2"/>
    <x v="75"/>
    <x v="75"/>
    <n v="53944"/>
    <x v="7"/>
    <x v="12"/>
    <n v="30082"/>
    <n v="1.0460292154827229"/>
    <x v="75"/>
  </r>
  <r>
    <x v="73"/>
    <x v="0"/>
    <x v="1"/>
    <x v="0"/>
    <x v="76"/>
    <x v="76"/>
    <n v="177895"/>
    <x v="12"/>
    <x v="5"/>
    <n v="100533"/>
    <n v="1.0606087860816773"/>
    <x v="76"/>
  </r>
  <r>
    <x v="74"/>
    <x v="1"/>
    <x v="0"/>
    <x v="2"/>
    <x v="77"/>
    <x v="77"/>
    <n v="422842"/>
    <x v="2"/>
    <x v="3"/>
    <n v="250967"/>
    <n v="0.96709645683257572"/>
    <x v="77"/>
  </r>
  <r>
    <x v="75"/>
    <x v="1"/>
    <x v="0"/>
    <x v="1"/>
    <x v="78"/>
    <x v="78"/>
    <n v="10950"/>
    <x v="1"/>
    <x v="1"/>
    <n v="6976"/>
    <n v="1.0059360730593607"/>
    <x v="78"/>
  </r>
  <r>
    <x v="76"/>
    <x v="1"/>
    <x v="0"/>
    <x v="2"/>
    <x v="79"/>
    <x v="79"/>
    <n v="242565"/>
    <x v="8"/>
    <x v="10"/>
    <n v="153715"/>
    <n v="1.1506771380866985"/>
    <x v="79"/>
  </r>
  <r>
    <x v="77"/>
    <x v="3"/>
    <x v="0"/>
    <x v="0"/>
    <x v="80"/>
    <x v="80"/>
    <n v="497229"/>
    <x v="1"/>
    <x v="9"/>
    <n v="268900"/>
    <n v="0.86962948661481931"/>
    <x v="80"/>
  </r>
  <r>
    <x v="78"/>
    <x v="1"/>
    <x v="0"/>
    <x v="1"/>
    <x v="81"/>
    <x v="81"/>
    <n v="261605"/>
    <x v="3"/>
    <x v="4"/>
    <n v="180280"/>
    <n v="1.0820129584679192"/>
    <x v="81"/>
  </r>
  <r>
    <x v="79"/>
    <x v="1"/>
    <x v="0"/>
    <x v="1"/>
    <x v="82"/>
    <x v="82"/>
    <n v="354618"/>
    <x v="8"/>
    <x v="11"/>
    <n v="209877"/>
    <n v="0.92842156912508667"/>
    <x v="82"/>
  </r>
  <r>
    <x v="80"/>
    <x v="0"/>
    <x v="3"/>
    <x v="2"/>
    <x v="83"/>
    <x v="83"/>
    <n v="200293"/>
    <x v="13"/>
    <x v="6"/>
    <n v="123773"/>
    <n v="0.99398880639862597"/>
    <x v="83"/>
  </r>
  <r>
    <x v="43"/>
    <x v="0"/>
    <x v="0"/>
    <x v="2"/>
    <x v="84"/>
    <x v="84"/>
    <n v="263882"/>
    <x v="14"/>
    <x v="10"/>
    <n v="148525"/>
    <n v="1.1233392198027907"/>
    <x v="84"/>
  </r>
  <r>
    <x v="81"/>
    <x v="3"/>
    <x v="0"/>
    <x v="2"/>
    <x v="85"/>
    <x v="85"/>
    <n v="392586"/>
    <x v="14"/>
    <x v="10"/>
    <n v="195603"/>
    <n v="1.1224470561864153"/>
    <x v="85"/>
  </r>
  <r>
    <x v="82"/>
    <x v="2"/>
    <x v="2"/>
    <x v="2"/>
    <x v="86"/>
    <x v="86"/>
    <n v="36445"/>
    <x v="3"/>
    <x v="5"/>
    <n v="21199"/>
    <n v="0.98597887227328851"/>
    <x v="86"/>
  </r>
  <r>
    <x v="83"/>
    <x v="0"/>
    <x v="2"/>
    <x v="0"/>
    <x v="87"/>
    <x v="87"/>
    <n v="210602"/>
    <x v="3"/>
    <x v="3"/>
    <n v="117065"/>
    <n v="0.91832461230187745"/>
    <x v="87"/>
  </r>
  <r>
    <x v="33"/>
    <x v="2"/>
    <x v="0"/>
    <x v="1"/>
    <x v="88"/>
    <x v="88"/>
    <n v="243132"/>
    <x v="9"/>
    <x v="13"/>
    <n v="116100"/>
    <n v="0.9615229587220111"/>
    <x v="88"/>
  </r>
  <r>
    <x v="84"/>
    <x v="3"/>
    <x v="3"/>
    <x v="0"/>
    <x v="89"/>
    <x v="89"/>
    <n v="234943"/>
    <x v="5"/>
    <x v="5"/>
    <n v="109142"/>
    <n v="0.94402046453820709"/>
    <x v="89"/>
  </r>
  <r>
    <x v="85"/>
    <x v="3"/>
    <x v="3"/>
    <x v="0"/>
    <x v="90"/>
    <x v="90"/>
    <n v="450003"/>
    <x v="5"/>
    <x v="15"/>
    <n v="291653"/>
    <n v="0.97032686448757011"/>
    <x v="90"/>
  </r>
  <r>
    <x v="86"/>
    <x v="2"/>
    <x v="1"/>
    <x v="2"/>
    <x v="91"/>
    <x v="91"/>
    <n v="420750"/>
    <x v="13"/>
    <x v="1"/>
    <n v="246404"/>
    <n v="1.0451550802139038"/>
    <x v="91"/>
  </r>
  <r>
    <x v="87"/>
    <x v="2"/>
    <x v="0"/>
    <x v="0"/>
    <x v="92"/>
    <x v="92"/>
    <n v="29405"/>
    <x v="13"/>
    <x v="5"/>
    <n v="18842"/>
    <n v="1.143479000170039"/>
    <x v="92"/>
  </r>
  <r>
    <x v="88"/>
    <x v="3"/>
    <x v="0"/>
    <x v="2"/>
    <x v="93"/>
    <x v="93"/>
    <n v="76459"/>
    <x v="1"/>
    <x v="1"/>
    <n v="31601"/>
    <n v="0.97164493388613504"/>
    <x v="93"/>
  </r>
  <r>
    <x v="89"/>
    <x v="1"/>
    <x v="1"/>
    <x v="2"/>
    <x v="94"/>
    <x v="94"/>
    <n v="151193"/>
    <x v="15"/>
    <x v="4"/>
    <n v="91370"/>
    <n v="0.99071385580020244"/>
    <x v="94"/>
  </r>
  <r>
    <x v="90"/>
    <x v="2"/>
    <x v="3"/>
    <x v="0"/>
    <x v="95"/>
    <x v="95"/>
    <n v="412275"/>
    <x v="0"/>
    <x v="8"/>
    <n v="221119"/>
    <n v="0.99046025104602509"/>
    <x v="95"/>
  </r>
  <r>
    <x v="91"/>
    <x v="2"/>
    <x v="3"/>
    <x v="0"/>
    <x v="96"/>
    <x v="96"/>
    <n v="151452"/>
    <x v="10"/>
    <x v="8"/>
    <n v="88673"/>
    <n v="1.168198505136941"/>
    <x v="96"/>
  </r>
  <r>
    <x v="92"/>
    <x v="2"/>
    <x v="2"/>
    <x v="2"/>
    <x v="97"/>
    <x v="97"/>
    <n v="61026"/>
    <x v="12"/>
    <x v="15"/>
    <n v="32090"/>
    <n v="0.94902172844361421"/>
    <x v="97"/>
  </r>
  <r>
    <x v="93"/>
    <x v="2"/>
    <x v="3"/>
    <x v="0"/>
    <x v="98"/>
    <x v="98"/>
    <n v="36766"/>
    <x v="2"/>
    <x v="0"/>
    <n v="20270"/>
    <n v="0.98104226731219057"/>
    <x v="98"/>
  </r>
  <r>
    <x v="14"/>
    <x v="2"/>
    <x v="1"/>
    <x v="2"/>
    <x v="99"/>
    <x v="99"/>
    <n v="55472"/>
    <x v="6"/>
    <x v="0"/>
    <n v="31297"/>
    <n v="1.0536306605134123"/>
    <x v="99"/>
  </r>
  <r>
    <x v="78"/>
    <x v="2"/>
    <x v="0"/>
    <x v="2"/>
    <x v="100"/>
    <x v="100"/>
    <n v="10170"/>
    <x v="12"/>
    <x v="12"/>
    <n v="7535"/>
    <n v="1.1411012782694199"/>
    <x v="100"/>
  </r>
  <r>
    <x v="94"/>
    <x v="1"/>
    <x v="0"/>
    <x v="0"/>
    <x v="101"/>
    <x v="101"/>
    <n v="489976"/>
    <x v="0"/>
    <x v="5"/>
    <n v="211928"/>
    <n v="0.87358156317860469"/>
    <x v="101"/>
  </r>
  <r>
    <x v="95"/>
    <x v="0"/>
    <x v="1"/>
    <x v="0"/>
    <x v="102"/>
    <x v="102"/>
    <n v="123231"/>
    <x v="5"/>
    <x v="5"/>
    <n v="82005"/>
    <n v="1.0783244475821832"/>
    <x v="102"/>
  </r>
  <r>
    <x v="96"/>
    <x v="3"/>
    <x v="2"/>
    <x v="0"/>
    <x v="103"/>
    <x v="103"/>
    <n v="23082"/>
    <x v="5"/>
    <x v="0"/>
    <n v="11085"/>
    <n v="0.90780694913785631"/>
    <x v="103"/>
  </r>
  <r>
    <x v="97"/>
    <x v="2"/>
    <x v="1"/>
    <x v="0"/>
    <x v="104"/>
    <x v="104"/>
    <n v="211519"/>
    <x v="12"/>
    <x v="1"/>
    <n v="111310"/>
    <n v="0.94147097896642851"/>
    <x v="104"/>
  </r>
  <r>
    <x v="98"/>
    <x v="3"/>
    <x v="2"/>
    <x v="0"/>
    <x v="105"/>
    <x v="105"/>
    <n v="43444"/>
    <x v="2"/>
    <x v="12"/>
    <n v="20713"/>
    <n v="0.9726084154313599"/>
    <x v="105"/>
  </r>
  <r>
    <x v="99"/>
    <x v="3"/>
    <x v="3"/>
    <x v="2"/>
    <x v="106"/>
    <x v="106"/>
    <n v="443125"/>
    <x v="9"/>
    <x v="13"/>
    <n v="200572"/>
    <n v="0.91494499294781384"/>
    <x v="106"/>
  </r>
  <r>
    <x v="14"/>
    <x v="3"/>
    <x v="0"/>
    <x v="1"/>
    <x v="107"/>
    <x v="107"/>
    <n v="250936"/>
    <x v="10"/>
    <x v="5"/>
    <n v="132350"/>
    <n v="1.0271702744923008"/>
    <x v="107"/>
  </r>
  <r>
    <x v="100"/>
    <x v="2"/>
    <x v="1"/>
    <x v="2"/>
    <x v="108"/>
    <x v="108"/>
    <n v="124178"/>
    <x v="8"/>
    <x v="10"/>
    <n v="90831"/>
    <n v="1.1057433683905362"/>
    <x v="108"/>
  </r>
  <r>
    <x v="101"/>
    <x v="0"/>
    <x v="2"/>
    <x v="1"/>
    <x v="109"/>
    <x v="109"/>
    <n v="16395"/>
    <x v="0"/>
    <x v="10"/>
    <n v="11139"/>
    <n v="1.0983226593473621"/>
    <x v="109"/>
  </r>
  <r>
    <x v="9"/>
    <x v="3"/>
    <x v="0"/>
    <x v="0"/>
    <x v="110"/>
    <x v="110"/>
    <n v="189616"/>
    <x v="13"/>
    <x v="11"/>
    <n v="105124"/>
    <n v="1.0442262256349675"/>
    <x v="110"/>
  </r>
  <r>
    <x v="102"/>
    <x v="2"/>
    <x v="1"/>
    <x v="0"/>
    <x v="111"/>
    <x v="111"/>
    <n v="172392"/>
    <x v="3"/>
    <x v="3"/>
    <n v="99359"/>
    <n v="0.98820710937862544"/>
    <x v="111"/>
  </r>
  <r>
    <x v="103"/>
    <x v="3"/>
    <x v="0"/>
    <x v="0"/>
    <x v="112"/>
    <x v="112"/>
    <n v="503498"/>
    <x v="7"/>
    <x v="13"/>
    <n v="251792"/>
    <n v="0.89131237859931911"/>
    <x v="112"/>
  </r>
  <r>
    <x v="104"/>
    <x v="2"/>
    <x v="3"/>
    <x v="0"/>
    <x v="113"/>
    <x v="113"/>
    <n v="395620"/>
    <x v="3"/>
    <x v="2"/>
    <n v="149219"/>
    <n v="0.8979980789646631"/>
    <x v="113"/>
  </r>
  <r>
    <x v="105"/>
    <x v="1"/>
    <x v="3"/>
    <x v="1"/>
    <x v="114"/>
    <x v="114"/>
    <n v="261584"/>
    <x v="15"/>
    <x v="14"/>
    <n v="135106"/>
    <n v="1.0816143189185883"/>
    <x v="114"/>
  </r>
  <r>
    <x v="106"/>
    <x v="0"/>
    <x v="2"/>
    <x v="2"/>
    <x v="115"/>
    <x v="115"/>
    <n v="40262"/>
    <x v="12"/>
    <x v="7"/>
    <n v="27685"/>
    <n v="1.0497491431126125"/>
    <x v="115"/>
  </r>
  <r>
    <x v="107"/>
    <x v="1"/>
    <x v="1"/>
    <x v="1"/>
    <x v="116"/>
    <x v="116"/>
    <n v="231961"/>
    <x v="0"/>
    <x v="12"/>
    <n v="109292"/>
    <n v="0.91811554528562989"/>
    <x v="116"/>
  </r>
  <r>
    <x v="108"/>
    <x v="0"/>
    <x v="1"/>
    <x v="1"/>
    <x v="117"/>
    <x v="117"/>
    <n v="309786"/>
    <x v="11"/>
    <x v="10"/>
    <n v="167556"/>
    <n v="0.9450168826221973"/>
    <x v="117"/>
  </r>
  <r>
    <x v="109"/>
    <x v="3"/>
    <x v="1"/>
    <x v="0"/>
    <x v="118"/>
    <x v="118"/>
    <n v="365766"/>
    <x v="2"/>
    <x v="4"/>
    <n v="193103"/>
    <n v="1.0890815439379276"/>
    <x v="118"/>
  </r>
  <r>
    <x v="110"/>
    <x v="2"/>
    <x v="3"/>
    <x v="2"/>
    <x v="119"/>
    <x v="119"/>
    <n v="222741"/>
    <x v="13"/>
    <x v="13"/>
    <n v="151398"/>
    <n v="1.1690034614193165"/>
    <x v="119"/>
  </r>
  <r>
    <x v="111"/>
    <x v="0"/>
    <x v="1"/>
    <x v="1"/>
    <x v="120"/>
    <x v="120"/>
    <n v="62953"/>
    <x v="7"/>
    <x v="7"/>
    <n v="42461"/>
    <n v="1.1163725318888695"/>
    <x v="120"/>
  </r>
  <r>
    <x v="112"/>
    <x v="3"/>
    <x v="2"/>
    <x v="0"/>
    <x v="121"/>
    <x v="121"/>
    <n v="182664"/>
    <x v="0"/>
    <x v="14"/>
    <n v="122674"/>
    <n v="1.0149728463189243"/>
    <x v="121"/>
  </r>
  <r>
    <x v="113"/>
    <x v="2"/>
    <x v="2"/>
    <x v="2"/>
    <x v="122"/>
    <x v="122"/>
    <n v="357978"/>
    <x v="7"/>
    <x v="5"/>
    <n v="181455"/>
    <n v="1.0890669259004744"/>
    <x v="122"/>
  </r>
  <r>
    <x v="114"/>
    <x v="3"/>
    <x v="0"/>
    <x v="1"/>
    <x v="123"/>
    <x v="123"/>
    <n v="69646"/>
    <x v="0"/>
    <x v="12"/>
    <n v="42577"/>
    <n v="0.96983315624730781"/>
    <x v="123"/>
  </r>
  <r>
    <x v="115"/>
    <x v="3"/>
    <x v="2"/>
    <x v="0"/>
    <x v="124"/>
    <x v="124"/>
    <n v="473984"/>
    <x v="6"/>
    <x v="13"/>
    <n v="256340"/>
    <n v="1.0057828956251689"/>
    <x v="124"/>
  </r>
  <r>
    <x v="116"/>
    <x v="1"/>
    <x v="3"/>
    <x v="0"/>
    <x v="125"/>
    <x v="125"/>
    <n v="482005"/>
    <x v="2"/>
    <x v="6"/>
    <n v="213593"/>
    <n v="1.0004916961442309"/>
    <x v="125"/>
  </r>
  <r>
    <x v="32"/>
    <x v="3"/>
    <x v="0"/>
    <x v="0"/>
    <x v="126"/>
    <x v="126"/>
    <n v="290486"/>
    <x v="5"/>
    <x v="4"/>
    <n v="106864"/>
    <n v="0.95323354653924797"/>
    <x v="126"/>
  </r>
  <r>
    <x v="117"/>
    <x v="3"/>
    <x v="0"/>
    <x v="2"/>
    <x v="127"/>
    <x v="127"/>
    <n v="150276"/>
    <x v="9"/>
    <x v="9"/>
    <n v="89389"/>
    <n v="1.1045609412015225"/>
    <x v="127"/>
  </r>
  <r>
    <x v="118"/>
    <x v="2"/>
    <x v="3"/>
    <x v="0"/>
    <x v="128"/>
    <x v="128"/>
    <n v="269064"/>
    <x v="8"/>
    <x v="11"/>
    <n v="129176"/>
    <n v="1.1022879314958522"/>
    <x v="128"/>
  </r>
  <r>
    <x v="119"/>
    <x v="0"/>
    <x v="1"/>
    <x v="0"/>
    <x v="129"/>
    <x v="129"/>
    <n v="157285"/>
    <x v="11"/>
    <x v="1"/>
    <n v="100923"/>
    <n v="1.0142162316813428"/>
    <x v="129"/>
  </r>
  <r>
    <x v="120"/>
    <x v="2"/>
    <x v="2"/>
    <x v="2"/>
    <x v="130"/>
    <x v="130"/>
    <n v="374138"/>
    <x v="15"/>
    <x v="1"/>
    <n v="214502"/>
    <n v="1.1459354569704228"/>
    <x v="130"/>
  </r>
  <r>
    <x v="121"/>
    <x v="1"/>
    <x v="2"/>
    <x v="2"/>
    <x v="131"/>
    <x v="131"/>
    <n v="173696"/>
    <x v="15"/>
    <x v="1"/>
    <n v="78946"/>
    <n v="1.1150227984524688"/>
    <x v="131"/>
  </r>
  <r>
    <x v="37"/>
    <x v="0"/>
    <x v="0"/>
    <x v="1"/>
    <x v="132"/>
    <x v="132"/>
    <n v="274592"/>
    <x v="14"/>
    <x v="3"/>
    <n v="121509"/>
    <n v="0.95096361146719499"/>
    <x v="132"/>
  </r>
  <r>
    <x v="43"/>
    <x v="3"/>
    <x v="3"/>
    <x v="1"/>
    <x v="133"/>
    <x v="133"/>
    <n v="317350"/>
    <x v="8"/>
    <x v="3"/>
    <n v="203826"/>
    <n v="1.085243422089176"/>
    <x v="133"/>
  </r>
  <r>
    <x v="122"/>
    <x v="0"/>
    <x v="2"/>
    <x v="2"/>
    <x v="134"/>
    <x v="134"/>
    <n v="99221"/>
    <x v="5"/>
    <x v="2"/>
    <n v="46205"/>
    <n v="0.95199604922345071"/>
    <x v="134"/>
  </r>
  <r>
    <x v="123"/>
    <x v="2"/>
    <x v="3"/>
    <x v="1"/>
    <x v="135"/>
    <x v="135"/>
    <n v="12501"/>
    <x v="2"/>
    <x v="2"/>
    <n v="5178"/>
    <n v="0.9757619390448764"/>
    <x v="135"/>
  </r>
  <r>
    <x v="124"/>
    <x v="3"/>
    <x v="3"/>
    <x v="1"/>
    <x v="136"/>
    <x v="136"/>
    <n v="94419"/>
    <x v="7"/>
    <x v="10"/>
    <n v="44847"/>
    <n v="1.0374500894946992"/>
    <x v="136"/>
  </r>
  <r>
    <x v="125"/>
    <x v="0"/>
    <x v="0"/>
    <x v="1"/>
    <x v="137"/>
    <x v="137"/>
    <n v="472737"/>
    <x v="9"/>
    <x v="2"/>
    <n v="258152"/>
    <n v="1.0195372902903728"/>
    <x v="137"/>
  </r>
  <r>
    <x v="126"/>
    <x v="2"/>
    <x v="2"/>
    <x v="1"/>
    <x v="138"/>
    <x v="138"/>
    <n v="290705"/>
    <x v="2"/>
    <x v="10"/>
    <n v="172928"/>
    <n v="0.91746959976608589"/>
    <x v="138"/>
  </r>
  <r>
    <x v="127"/>
    <x v="3"/>
    <x v="2"/>
    <x v="1"/>
    <x v="139"/>
    <x v="139"/>
    <n v="42071"/>
    <x v="0"/>
    <x v="13"/>
    <n v="26678"/>
    <n v="1.0783437522283759"/>
    <x v="139"/>
  </r>
  <r>
    <x v="128"/>
    <x v="2"/>
    <x v="1"/>
    <x v="2"/>
    <x v="140"/>
    <x v="140"/>
    <n v="212175"/>
    <x v="6"/>
    <x v="13"/>
    <n v="118968"/>
    <n v="1.1688888888888889"/>
    <x v="140"/>
  </r>
  <r>
    <x v="129"/>
    <x v="0"/>
    <x v="0"/>
    <x v="2"/>
    <x v="141"/>
    <x v="141"/>
    <n v="167601"/>
    <x v="15"/>
    <x v="1"/>
    <n v="87484"/>
    <n v="1.0007637185935645"/>
    <x v="141"/>
  </r>
  <r>
    <x v="130"/>
    <x v="2"/>
    <x v="2"/>
    <x v="1"/>
    <x v="142"/>
    <x v="142"/>
    <n v="56647"/>
    <x v="7"/>
    <x v="6"/>
    <n v="37327"/>
    <n v="1.0808339364838384"/>
    <x v="142"/>
  </r>
  <r>
    <x v="131"/>
    <x v="2"/>
    <x v="0"/>
    <x v="1"/>
    <x v="143"/>
    <x v="143"/>
    <n v="266036"/>
    <x v="0"/>
    <x v="11"/>
    <n v="163077"/>
    <n v="1.1572907426062637"/>
    <x v="143"/>
  </r>
  <r>
    <x v="132"/>
    <x v="3"/>
    <x v="3"/>
    <x v="1"/>
    <x v="144"/>
    <x v="144"/>
    <n v="25006"/>
    <x v="9"/>
    <x v="3"/>
    <n v="12147"/>
    <n v="1.0343917459809646"/>
    <x v="144"/>
  </r>
  <r>
    <x v="133"/>
    <x v="0"/>
    <x v="0"/>
    <x v="0"/>
    <x v="145"/>
    <x v="145"/>
    <n v="20894"/>
    <x v="4"/>
    <x v="0"/>
    <n v="11700"/>
    <n v="1.0072748157365752"/>
    <x v="145"/>
  </r>
  <r>
    <x v="134"/>
    <x v="3"/>
    <x v="1"/>
    <x v="1"/>
    <x v="146"/>
    <x v="146"/>
    <n v="62119"/>
    <x v="13"/>
    <x v="12"/>
    <n v="38433"/>
    <n v="1.1128479209259647"/>
    <x v="146"/>
  </r>
  <r>
    <x v="135"/>
    <x v="3"/>
    <x v="3"/>
    <x v="2"/>
    <x v="147"/>
    <x v="147"/>
    <n v="179581"/>
    <x v="10"/>
    <x v="4"/>
    <n v="98761"/>
    <n v="1.0489751142938284"/>
    <x v="147"/>
  </r>
  <r>
    <x v="136"/>
    <x v="3"/>
    <x v="0"/>
    <x v="0"/>
    <x v="148"/>
    <x v="148"/>
    <n v="81656"/>
    <x v="8"/>
    <x v="4"/>
    <n v="48642"/>
    <n v="1.1457700597629079"/>
    <x v="148"/>
  </r>
  <r>
    <x v="137"/>
    <x v="0"/>
    <x v="3"/>
    <x v="2"/>
    <x v="149"/>
    <x v="149"/>
    <n v="28880"/>
    <x v="12"/>
    <x v="13"/>
    <n v="13118"/>
    <n v="1.058898891966759"/>
    <x v="149"/>
  </r>
  <r>
    <x v="138"/>
    <x v="2"/>
    <x v="0"/>
    <x v="0"/>
    <x v="150"/>
    <x v="150"/>
    <n v="290464"/>
    <x v="4"/>
    <x v="11"/>
    <n v="178307"/>
    <n v="0.92805993169549406"/>
    <x v="150"/>
  </r>
  <r>
    <x v="139"/>
    <x v="1"/>
    <x v="0"/>
    <x v="2"/>
    <x v="151"/>
    <x v="151"/>
    <n v="129390"/>
    <x v="4"/>
    <x v="6"/>
    <n v="78970"/>
    <n v="0.8920550274364325"/>
    <x v="151"/>
  </r>
  <r>
    <x v="140"/>
    <x v="2"/>
    <x v="0"/>
    <x v="1"/>
    <x v="152"/>
    <x v="152"/>
    <n v="438369"/>
    <x v="3"/>
    <x v="8"/>
    <n v="296549"/>
    <n v="0.9835344196327751"/>
    <x v="152"/>
  </r>
  <r>
    <x v="141"/>
    <x v="2"/>
    <x v="3"/>
    <x v="1"/>
    <x v="153"/>
    <x v="153"/>
    <n v="289261"/>
    <x v="12"/>
    <x v="2"/>
    <n v="119844"/>
    <n v="1.0240371152696008"/>
    <x v="153"/>
  </r>
  <r>
    <x v="142"/>
    <x v="2"/>
    <x v="1"/>
    <x v="0"/>
    <x v="154"/>
    <x v="154"/>
    <n v="304705"/>
    <x v="10"/>
    <x v="4"/>
    <n v="167759"/>
    <n v="0.95689273231486194"/>
    <x v="154"/>
  </r>
  <r>
    <x v="143"/>
    <x v="0"/>
    <x v="0"/>
    <x v="2"/>
    <x v="155"/>
    <x v="155"/>
    <n v="476681"/>
    <x v="2"/>
    <x v="7"/>
    <n v="267421"/>
    <n v="1.0180099479526139"/>
    <x v="155"/>
  </r>
  <r>
    <x v="144"/>
    <x v="1"/>
    <x v="1"/>
    <x v="1"/>
    <x v="156"/>
    <x v="156"/>
    <n v="339289"/>
    <x v="11"/>
    <x v="15"/>
    <n v="181938"/>
    <n v="0.93339601342808054"/>
    <x v="156"/>
  </r>
  <r>
    <x v="10"/>
    <x v="2"/>
    <x v="1"/>
    <x v="2"/>
    <x v="157"/>
    <x v="157"/>
    <n v="649052"/>
    <x v="11"/>
    <x v="13"/>
    <n v="235943"/>
    <n v="0.89894954487467871"/>
    <x v="157"/>
  </r>
  <r>
    <x v="145"/>
    <x v="0"/>
    <x v="3"/>
    <x v="0"/>
    <x v="158"/>
    <x v="158"/>
    <n v="53979"/>
    <x v="2"/>
    <x v="11"/>
    <n v="23949"/>
    <n v="0.92580447951981326"/>
    <x v="158"/>
  </r>
  <r>
    <x v="146"/>
    <x v="0"/>
    <x v="0"/>
    <x v="0"/>
    <x v="159"/>
    <x v="159"/>
    <n v="393517"/>
    <x v="11"/>
    <x v="4"/>
    <n v="169469"/>
    <n v="1.0516241992086746"/>
    <x v="159"/>
  </r>
  <r>
    <x v="147"/>
    <x v="2"/>
    <x v="0"/>
    <x v="0"/>
    <x v="160"/>
    <x v="160"/>
    <n v="127755"/>
    <x v="7"/>
    <x v="11"/>
    <n v="75580"/>
    <n v="0.93926656490939686"/>
    <x v="160"/>
  </r>
  <r>
    <x v="50"/>
    <x v="3"/>
    <x v="0"/>
    <x v="2"/>
    <x v="161"/>
    <x v="161"/>
    <n v="245415"/>
    <x v="0"/>
    <x v="14"/>
    <n v="105737"/>
    <n v="1.0336043029154698"/>
    <x v="161"/>
  </r>
  <r>
    <x v="148"/>
    <x v="2"/>
    <x v="0"/>
    <x v="1"/>
    <x v="162"/>
    <x v="162"/>
    <n v="353729"/>
    <x v="7"/>
    <x v="6"/>
    <n v="217168"/>
    <n v="0.89665252212852209"/>
    <x v="162"/>
  </r>
  <r>
    <x v="149"/>
    <x v="3"/>
    <x v="2"/>
    <x v="1"/>
    <x v="163"/>
    <x v="163"/>
    <n v="287654"/>
    <x v="13"/>
    <x v="12"/>
    <n v="122563"/>
    <n v="1.0304254416764584"/>
    <x v="163"/>
  </r>
  <r>
    <x v="150"/>
    <x v="3"/>
    <x v="3"/>
    <x v="1"/>
    <x v="164"/>
    <x v="164"/>
    <n v="422164"/>
    <x v="8"/>
    <x v="4"/>
    <n v="173237"/>
    <n v="1.0360262836243734"/>
    <x v="164"/>
  </r>
  <r>
    <x v="91"/>
    <x v="1"/>
    <x v="1"/>
    <x v="2"/>
    <x v="165"/>
    <x v="165"/>
    <n v="443384"/>
    <x v="11"/>
    <x v="7"/>
    <n v="281537"/>
    <n v="1.0930209479818849"/>
    <x v="165"/>
  </r>
  <r>
    <x v="151"/>
    <x v="2"/>
    <x v="0"/>
    <x v="1"/>
    <x v="166"/>
    <x v="166"/>
    <n v="512513"/>
    <x v="13"/>
    <x v="13"/>
    <n v="243278"/>
    <n v="0.87039743382119084"/>
    <x v="166"/>
  </r>
  <r>
    <x v="152"/>
    <x v="3"/>
    <x v="3"/>
    <x v="1"/>
    <x v="167"/>
    <x v="167"/>
    <n v="176184"/>
    <x v="13"/>
    <x v="12"/>
    <n v="114056"/>
    <n v="1.1396721609226717"/>
    <x v="167"/>
  </r>
  <r>
    <x v="153"/>
    <x v="1"/>
    <x v="1"/>
    <x v="1"/>
    <x v="168"/>
    <x v="168"/>
    <n v="373948"/>
    <x v="12"/>
    <x v="3"/>
    <n v="230276"/>
    <n v="0.90200776578561725"/>
    <x v="168"/>
  </r>
  <r>
    <x v="154"/>
    <x v="3"/>
    <x v="0"/>
    <x v="0"/>
    <x v="169"/>
    <x v="169"/>
    <n v="309942"/>
    <x v="9"/>
    <x v="13"/>
    <n v="167743"/>
    <n v="1.0397106555420046"/>
    <x v="169"/>
  </r>
  <r>
    <x v="155"/>
    <x v="2"/>
    <x v="2"/>
    <x v="2"/>
    <x v="170"/>
    <x v="170"/>
    <n v="434508"/>
    <x v="8"/>
    <x v="15"/>
    <n v="243998"/>
    <n v="0.87150524271129648"/>
    <x v="170"/>
  </r>
  <r>
    <x v="156"/>
    <x v="0"/>
    <x v="2"/>
    <x v="1"/>
    <x v="171"/>
    <x v="171"/>
    <n v="98657"/>
    <x v="11"/>
    <x v="4"/>
    <n v="52065"/>
    <n v="0.95362721347699608"/>
    <x v="171"/>
  </r>
  <r>
    <x v="157"/>
    <x v="2"/>
    <x v="1"/>
    <x v="0"/>
    <x v="172"/>
    <x v="172"/>
    <n v="31474"/>
    <x v="13"/>
    <x v="10"/>
    <n v="18965"/>
    <n v="0.9411895532820741"/>
    <x v="172"/>
  </r>
  <r>
    <x v="158"/>
    <x v="3"/>
    <x v="2"/>
    <x v="0"/>
    <x v="173"/>
    <x v="173"/>
    <n v="106019"/>
    <x v="6"/>
    <x v="6"/>
    <n v="42500"/>
    <n v="0.89727313028796729"/>
    <x v="173"/>
  </r>
  <r>
    <x v="159"/>
    <x v="1"/>
    <x v="2"/>
    <x v="2"/>
    <x v="174"/>
    <x v="174"/>
    <n v="14278"/>
    <x v="14"/>
    <x v="10"/>
    <n v="5706"/>
    <n v="0.89081103796049865"/>
    <x v="174"/>
  </r>
  <r>
    <x v="160"/>
    <x v="2"/>
    <x v="0"/>
    <x v="1"/>
    <x v="175"/>
    <x v="175"/>
    <n v="614924"/>
    <x v="9"/>
    <x v="10"/>
    <n v="398904"/>
    <n v="0.9619611529229628"/>
    <x v="175"/>
  </r>
  <r>
    <x v="161"/>
    <x v="0"/>
    <x v="1"/>
    <x v="1"/>
    <x v="176"/>
    <x v="176"/>
    <n v="289765"/>
    <x v="11"/>
    <x v="2"/>
    <n v="108052"/>
    <n v="0.92737908305005778"/>
    <x v="176"/>
  </r>
  <r>
    <x v="162"/>
    <x v="2"/>
    <x v="3"/>
    <x v="0"/>
    <x v="177"/>
    <x v="177"/>
    <n v="107070"/>
    <x v="8"/>
    <x v="6"/>
    <n v="68028"/>
    <n v="0.94664238348743812"/>
    <x v="177"/>
  </r>
  <r>
    <x v="163"/>
    <x v="3"/>
    <x v="1"/>
    <x v="2"/>
    <x v="178"/>
    <x v="178"/>
    <n v="291466"/>
    <x v="8"/>
    <x v="4"/>
    <n v="176106"/>
    <n v="1.1529029114888185"/>
    <x v="178"/>
  </r>
  <r>
    <x v="164"/>
    <x v="2"/>
    <x v="2"/>
    <x v="0"/>
    <x v="179"/>
    <x v="179"/>
    <n v="37560"/>
    <x v="14"/>
    <x v="10"/>
    <n v="14608"/>
    <n v="0.9281150159744409"/>
    <x v="179"/>
  </r>
  <r>
    <x v="165"/>
    <x v="2"/>
    <x v="3"/>
    <x v="0"/>
    <x v="180"/>
    <x v="180"/>
    <n v="240534"/>
    <x v="3"/>
    <x v="4"/>
    <n v="102441"/>
    <n v="1.113983885853975"/>
    <x v="180"/>
  </r>
  <r>
    <x v="166"/>
    <x v="3"/>
    <x v="3"/>
    <x v="1"/>
    <x v="181"/>
    <x v="181"/>
    <n v="406080"/>
    <x v="9"/>
    <x v="8"/>
    <n v="202012"/>
    <n v="0.91093380614657216"/>
    <x v="181"/>
  </r>
  <r>
    <x v="167"/>
    <x v="1"/>
    <x v="2"/>
    <x v="2"/>
    <x v="182"/>
    <x v="182"/>
    <n v="547245"/>
    <x v="14"/>
    <x v="10"/>
    <n v="307704"/>
    <n v="0.87798700764739745"/>
    <x v="182"/>
  </r>
  <r>
    <x v="168"/>
    <x v="1"/>
    <x v="1"/>
    <x v="1"/>
    <x v="183"/>
    <x v="183"/>
    <n v="402568"/>
    <x v="1"/>
    <x v="12"/>
    <n v="221643"/>
    <n v="1.0726585322231275"/>
    <x v="183"/>
  </r>
  <r>
    <x v="169"/>
    <x v="2"/>
    <x v="1"/>
    <x v="2"/>
    <x v="184"/>
    <x v="184"/>
    <n v="442453"/>
    <x v="2"/>
    <x v="3"/>
    <n v="171540"/>
    <n v="0.95648125337606482"/>
    <x v="184"/>
  </r>
  <r>
    <x v="170"/>
    <x v="0"/>
    <x v="1"/>
    <x v="0"/>
    <x v="185"/>
    <x v="185"/>
    <n v="267632"/>
    <x v="12"/>
    <x v="9"/>
    <n v="104505"/>
    <n v="0.90042670532671731"/>
    <x v="185"/>
  </r>
  <r>
    <x v="171"/>
    <x v="1"/>
    <x v="2"/>
    <x v="2"/>
    <x v="186"/>
    <x v="186"/>
    <n v="152775"/>
    <x v="14"/>
    <x v="8"/>
    <n v="98922"/>
    <n v="1.1243920798559974"/>
    <x v="186"/>
  </r>
  <r>
    <x v="112"/>
    <x v="1"/>
    <x v="1"/>
    <x v="2"/>
    <x v="187"/>
    <x v="187"/>
    <n v="280713"/>
    <x v="7"/>
    <x v="14"/>
    <n v="104807"/>
    <n v="0.97134796037233762"/>
    <x v="187"/>
  </r>
  <r>
    <x v="172"/>
    <x v="2"/>
    <x v="1"/>
    <x v="1"/>
    <x v="188"/>
    <x v="188"/>
    <n v="269977"/>
    <x v="2"/>
    <x v="6"/>
    <n v="128217"/>
    <n v="0.97363479111183548"/>
    <x v="188"/>
  </r>
  <r>
    <x v="173"/>
    <x v="3"/>
    <x v="0"/>
    <x v="1"/>
    <x v="189"/>
    <x v="189"/>
    <n v="262634"/>
    <x v="7"/>
    <x v="11"/>
    <n v="129933"/>
    <n v="1.0060578599876635"/>
    <x v="189"/>
  </r>
  <r>
    <x v="174"/>
    <x v="1"/>
    <x v="0"/>
    <x v="1"/>
    <x v="190"/>
    <x v="190"/>
    <n v="64027"/>
    <x v="3"/>
    <x v="9"/>
    <n v="45461"/>
    <n v="1.1602605150951941"/>
    <x v="190"/>
  </r>
  <r>
    <x v="175"/>
    <x v="3"/>
    <x v="0"/>
    <x v="1"/>
    <x v="191"/>
    <x v="191"/>
    <n v="453074"/>
    <x v="5"/>
    <x v="2"/>
    <n v="171040"/>
    <n v="1.0053214265219368"/>
    <x v="191"/>
  </r>
  <r>
    <x v="176"/>
    <x v="2"/>
    <x v="1"/>
    <x v="2"/>
    <x v="192"/>
    <x v="192"/>
    <n v="195388"/>
    <x v="14"/>
    <x v="1"/>
    <n v="87215"/>
    <n v="1.0469169038016664"/>
    <x v="192"/>
  </r>
  <r>
    <x v="177"/>
    <x v="2"/>
    <x v="2"/>
    <x v="0"/>
    <x v="193"/>
    <x v="193"/>
    <n v="129444"/>
    <x v="5"/>
    <x v="4"/>
    <n v="69918"/>
    <n v="0.91728469453972372"/>
    <x v="193"/>
  </r>
  <r>
    <x v="178"/>
    <x v="3"/>
    <x v="1"/>
    <x v="0"/>
    <x v="194"/>
    <x v="194"/>
    <n v="339181"/>
    <x v="7"/>
    <x v="3"/>
    <n v="219276"/>
    <n v="0.97235399388527066"/>
    <x v="194"/>
  </r>
  <r>
    <x v="142"/>
    <x v="0"/>
    <x v="0"/>
    <x v="2"/>
    <x v="195"/>
    <x v="195"/>
    <n v="104617"/>
    <x v="12"/>
    <x v="0"/>
    <n v="67575"/>
    <n v="0.96377261821692461"/>
    <x v="195"/>
  </r>
  <r>
    <x v="84"/>
    <x v="1"/>
    <x v="3"/>
    <x v="0"/>
    <x v="196"/>
    <x v="196"/>
    <n v="246847"/>
    <x v="12"/>
    <x v="12"/>
    <n v="134284"/>
    <n v="0.97158968915968191"/>
    <x v="196"/>
  </r>
  <r>
    <x v="179"/>
    <x v="1"/>
    <x v="0"/>
    <x v="2"/>
    <x v="197"/>
    <x v="197"/>
    <n v="48188"/>
    <x v="4"/>
    <x v="10"/>
    <n v="28007"/>
    <n v="0.97279405661160456"/>
    <x v="197"/>
  </r>
  <r>
    <x v="180"/>
    <x v="3"/>
    <x v="3"/>
    <x v="2"/>
    <x v="198"/>
    <x v="198"/>
    <n v="185637"/>
    <x v="13"/>
    <x v="8"/>
    <n v="91507"/>
    <n v="0.93172158567526953"/>
    <x v="198"/>
  </r>
  <r>
    <x v="181"/>
    <x v="1"/>
    <x v="1"/>
    <x v="0"/>
    <x v="199"/>
    <x v="199"/>
    <n v="241590"/>
    <x v="10"/>
    <x v="13"/>
    <n v="93372"/>
    <n v="0.95604536611614721"/>
    <x v="199"/>
  </r>
  <r>
    <x v="182"/>
    <x v="3"/>
    <x v="3"/>
    <x v="0"/>
    <x v="200"/>
    <x v="200"/>
    <n v="424672"/>
    <x v="2"/>
    <x v="4"/>
    <n v="233147"/>
    <n v="1.091503560394846"/>
    <x v="200"/>
  </r>
  <r>
    <x v="81"/>
    <x v="3"/>
    <x v="3"/>
    <x v="1"/>
    <x v="201"/>
    <x v="201"/>
    <n v="510397"/>
    <x v="2"/>
    <x v="7"/>
    <n v="290284"/>
    <n v="0.93213126252701328"/>
    <x v="201"/>
  </r>
  <r>
    <x v="166"/>
    <x v="0"/>
    <x v="1"/>
    <x v="2"/>
    <x v="202"/>
    <x v="202"/>
    <n v="491399"/>
    <x v="7"/>
    <x v="9"/>
    <n v="172652"/>
    <n v="0.9008137989698799"/>
    <x v="202"/>
  </r>
  <r>
    <x v="183"/>
    <x v="2"/>
    <x v="0"/>
    <x v="2"/>
    <x v="203"/>
    <x v="203"/>
    <n v="415244"/>
    <x v="9"/>
    <x v="5"/>
    <n v="273088"/>
    <n v="1.0240509194594021"/>
    <x v="203"/>
  </r>
  <r>
    <x v="184"/>
    <x v="2"/>
    <x v="2"/>
    <x v="1"/>
    <x v="204"/>
    <x v="204"/>
    <n v="428413"/>
    <x v="0"/>
    <x v="13"/>
    <n v="235229"/>
    <n v="0.93463783778736875"/>
    <x v="204"/>
  </r>
  <r>
    <x v="185"/>
    <x v="0"/>
    <x v="1"/>
    <x v="2"/>
    <x v="205"/>
    <x v="205"/>
    <n v="416346"/>
    <x v="2"/>
    <x v="9"/>
    <n v="203181"/>
    <n v="0.99623149976221703"/>
    <x v="205"/>
  </r>
  <r>
    <x v="186"/>
    <x v="2"/>
    <x v="2"/>
    <x v="1"/>
    <x v="206"/>
    <x v="206"/>
    <n v="95164"/>
    <x v="4"/>
    <x v="14"/>
    <n v="63126"/>
    <n v="1.1382140305157413"/>
    <x v="206"/>
  </r>
  <r>
    <x v="187"/>
    <x v="2"/>
    <x v="3"/>
    <x v="1"/>
    <x v="207"/>
    <x v="207"/>
    <n v="142617"/>
    <x v="9"/>
    <x v="0"/>
    <n v="78190"/>
    <n v="1.0856489759285359"/>
    <x v="207"/>
  </r>
  <r>
    <x v="99"/>
    <x v="1"/>
    <x v="2"/>
    <x v="2"/>
    <x v="208"/>
    <x v="208"/>
    <n v="366221"/>
    <x v="0"/>
    <x v="4"/>
    <n v="180053"/>
    <n v="0.95164122210359314"/>
    <x v="208"/>
  </r>
  <r>
    <x v="188"/>
    <x v="0"/>
    <x v="1"/>
    <x v="0"/>
    <x v="209"/>
    <x v="209"/>
    <n v="408697"/>
    <x v="2"/>
    <x v="1"/>
    <n v="203014"/>
    <n v="1.0440864503531957"/>
    <x v="209"/>
  </r>
  <r>
    <x v="189"/>
    <x v="3"/>
    <x v="3"/>
    <x v="1"/>
    <x v="210"/>
    <x v="210"/>
    <n v="305434"/>
    <x v="3"/>
    <x v="7"/>
    <n v="180260"/>
    <n v="0.94196127477622005"/>
    <x v="210"/>
  </r>
  <r>
    <x v="6"/>
    <x v="1"/>
    <x v="2"/>
    <x v="0"/>
    <x v="211"/>
    <x v="211"/>
    <n v="393089"/>
    <x v="11"/>
    <x v="12"/>
    <n v="215295"/>
    <n v="1.1532350180239082"/>
    <x v="211"/>
  </r>
  <r>
    <x v="151"/>
    <x v="2"/>
    <x v="0"/>
    <x v="1"/>
    <x v="212"/>
    <x v="212"/>
    <n v="170168"/>
    <x v="11"/>
    <x v="7"/>
    <n v="121058"/>
    <n v="1.0583776033096703"/>
    <x v="212"/>
  </r>
  <r>
    <x v="190"/>
    <x v="0"/>
    <x v="2"/>
    <x v="1"/>
    <x v="213"/>
    <x v="213"/>
    <n v="150627"/>
    <x v="10"/>
    <x v="0"/>
    <n v="104232"/>
    <n v="1.1693056357757905"/>
    <x v="213"/>
  </r>
  <r>
    <x v="191"/>
    <x v="1"/>
    <x v="3"/>
    <x v="0"/>
    <x v="214"/>
    <x v="214"/>
    <n v="16730"/>
    <x v="0"/>
    <x v="13"/>
    <n v="8299"/>
    <n v="0.99043634190077701"/>
    <x v="214"/>
  </r>
  <r>
    <x v="192"/>
    <x v="3"/>
    <x v="1"/>
    <x v="2"/>
    <x v="215"/>
    <x v="215"/>
    <n v="360430"/>
    <x v="8"/>
    <x v="9"/>
    <n v="183230"/>
    <n v="0.87644480204200537"/>
    <x v="215"/>
  </r>
  <r>
    <x v="193"/>
    <x v="0"/>
    <x v="2"/>
    <x v="1"/>
    <x v="216"/>
    <x v="216"/>
    <n v="415770"/>
    <x v="1"/>
    <x v="6"/>
    <n v="185024"/>
    <n v="0.95375327705221635"/>
    <x v="216"/>
  </r>
  <r>
    <x v="194"/>
    <x v="2"/>
    <x v="2"/>
    <x v="2"/>
    <x v="217"/>
    <x v="217"/>
    <n v="41736"/>
    <x v="0"/>
    <x v="0"/>
    <n v="24928"/>
    <n v="0.92546003450258774"/>
    <x v="217"/>
  </r>
  <r>
    <x v="158"/>
    <x v="2"/>
    <x v="1"/>
    <x v="1"/>
    <x v="218"/>
    <x v="218"/>
    <n v="140345"/>
    <x v="7"/>
    <x v="2"/>
    <n v="82604"/>
    <n v="0.95230325269870675"/>
    <x v="218"/>
  </r>
  <r>
    <x v="195"/>
    <x v="2"/>
    <x v="2"/>
    <x v="2"/>
    <x v="219"/>
    <x v="219"/>
    <n v="17034"/>
    <x v="7"/>
    <x v="14"/>
    <n v="10133"/>
    <n v="0.92192086415404484"/>
    <x v="219"/>
  </r>
  <r>
    <x v="26"/>
    <x v="1"/>
    <x v="1"/>
    <x v="2"/>
    <x v="220"/>
    <x v="220"/>
    <n v="405604"/>
    <x v="12"/>
    <x v="6"/>
    <n v="188503"/>
    <n v="0.95213064959911642"/>
    <x v="220"/>
  </r>
  <r>
    <x v="196"/>
    <x v="3"/>
    <x v="0"/>
    <x v="0"/>
    <x v="221"/>
    <x v="221"/>
    <n v="147527"/>
    <x v="11"/>
    <x v="15"/>
    <n v="103454"/>
    <n v="1.1285934100198607"/>
    <x v="221"/>
  </r>
  <r>
    <x v="197"/>
    <x v="3"/>
    <x v="3"/>
    <x v="1"/>
    <x v="222"/>
    <x v="222"/>
    <n v="39935"/>
    <x v="2"/>
    <x v="4"/>
    <n v="18894"/>
    <n v="0.94460999123575806"/>
    <x v="222"/>
  </r>
  <r>
    <x v="198"/>
    <x v="3"/>
    <x v="0"/>
    <x v="1"/>
    <x v="223"/>
    <x v="223"/>
    <n v="378319"/>
    <x v="5"/>
    <x v="9"/>
    <n v="140988"/>
    <n v="0.97454793441513643"/>
    <x v="223"/>
  </r>
  <r>
    <x v="199"/>
    <x v="3"/>
    <x v="2"/>
    <x v="2"/>
    <x v="224"/>
    <x v="224"/>
    <n v="238159"/>
    <x v="2"/>
    <x v="9"/>
    <n v="96450"/>
    <n v="1.0500086076948594"/>
    <x v="224"/>
  </r>
  <r>
    <x v="200"/>
    <x v="3"/>
    <x v="3"/>
    <x v="0"/>
    <x v="225"/>
    <x v="225"/>
    <n v="371533"/>
    <x v="15"/>
    <x v="2"/>
    <n v="185004"/>
    <n v="0.93104515615032846"/>
    <x v="225"/>
  </r>
  <r>
    <x v="194"/>
    <x v="3"/>
    <x v="0"/>
    <x v="0"/>
    <x v="226"/>
    <x v="226"/>
    <n v="293002"/>
    <x v="6"/>
    <x v="8"/>
    <n v="220922"/>
    <n v="1.1476030880335288"/>
    <x v="226"/>
  </r>
  <r>
    <x v="201"/>
    <x v="1"/>
    <x v="3"/>
    <x v="1"/>
    <x v="227"/>
    <x v="227"/>
    <n v="276341"/>
    <x v="7"/>
    <x v="6"/>
    <n v="137685"/>
    <n v="1.1112357558234212"/>
    <x v="227"/>
  </r>
  <r>
    <x v="202"/>
    <x v="0"/>
    <x v="2"/>
    <x v="0"/>
    <x v="228"/>
    <x v="228"/>
    <n v="188184"/>
    <x v="8"/>
    <x v="5"/>
    <n v="97683"/>
    <n v="0.97629979169323644"/>
    <x v="228"/>
  </r>
  <r>
    <x v="45"/>
    <x v="2"/>
    <x v="2"/>
    <x v="1"/>
    <x v="229"/>
    <x v="229"/>
    <n v="163794"/>
    <x v="13"/>
    <x v="14"/>
    <n v="99859"/>
    <n v="1.1274405655884832"/>
    <x v="229"/>
  </r>
  <r>
    <x v="144"/>
    <x v="3"/>
    <x v="3"/>
    <x v="0"/>
    <x v="230"/>
    <x v="230"/>
    <n v="445755"/>
    <x v="6"/>
    <x v="0"/>
    <n v="307168"/>
    <n v="1.104279256542271"/>
    <x v="230"/>
  </r>
  <r>
    <x v="117"/>
    <x v="0"/>
    <x v="2"/>
    <x v="0"/>
    <x v="231"/>
    <x v="231"/>
    <n v="333967"/>
    <x v="0"/>
    <x v="1"/>
    <n v="169661"/>
    <n v="0.99211299319992696"/>
    <x v="231"/>
  </r>
  <r>
    <x v="118"/>
    <x v="1"/>
    <x v="2"/>
    <x v="2"/>
    <x v="232"/>
    <x v="232"/>
    <n v="190573"/>
    <x v="4"/>
    <x v="6"/>
    <n v="99491"/>
    <n v="0.91901790914767567"/>
    <x v="232"/>
  </r>
  <r>
    <x v="112"/>
    <x v="3"/>
    <x v="0"/>
    <x v="2"/>
    <x v="233"/>
    <x v="233"/>
    <n v="197295"/>
    <x v="10"/>
    <x v="2"/>
    <n v="114328"/>
    <n v="1.0791099622392863"/>
    <x v="233"/>
  </r>
  <r>
    <x v="94"/>
    <x v="1"/>
    <x v="1"/>
    <x v="0"/>
    <x v="234"/>
    <x v="234"/>
    <n v="319636"/>
    <x v="3"/>
    <x v="14"/>
    <n v="127176"/>
    <n v="0.96417487391908296"/>
    <x v="234"/>
  </r>
  <r>
    <x v="75"/>
    <x v="3"/>
    <x v="3"/>
    <x v="1"/>
    <x v="235"/>
    <x v="235"/>
    <n v="234467"/>
    <x v="8"/>
    <x v="9"/>
    <n v="163185"/>
    <n v="1.092870212012778"/>
    <x v="235"/>
  </r>
  <r>
    <x v="50"/>
    <x v="3"/>
    <x v="3"/>
    <x v="0"/>
    <x v="236"/>
    <x v="236"/>
    <n v="160768"/>
    <x v="2"/>
    <x v="8"/>
    <n v="96507"/>
    <n v="1.0874489948248407"/>
    <x v="236"/>
  </r>
  <r>
    <x v="203"/>
    <x v="3"/>
    <x v="2"/>
    <x v="1"/>
    <x v="237"/>
    <x v="237"/>
    <n v="29189"/>
    <x v="3"/>
    <x v="3"/>
    <n v="15947"/>
    <n v="0.94991263832265582"/>
    <x v="237"/>
  </r>
  <r>
    <x v="204"/>
    <x v="1"/>
    <x v="0"/>
    <x v="1"/>
    <x v="238"/>
    <x v="238"/>
    <n v="359249"/>
    <x v="7"/>
    <x v="8"/>
    <n v="160778"/>
    <n v="0.91273183780608991"/>
    <x v="238"/>
  </r>
  <r>
    <x v="205"/>
    <x v="2"/>
    <x v="1"/>
    <x v="0"/>
    <x v="239"/>
    <x v="239"/>
    <n v="185791"/>
    <x v="2"/>
    <x v="0"/>
    <n v="104676"/>
    <n v="0.97208153247466234"/>
    <x v="239"/>
  </r>
  <r>
    <x v="206"/>
    <x v="1"/>
    <x v="2"/>
    <x v="1"/>
    <x v="240"/>
    <x v="240"/>
    <n v="525241"/>
    <x v="4"/>
    <x v="12"/>
    <n v="251608"/>
    <n v="0.90945680173482268"/>
    <x v="240"/>
  </r>
  <r>
    <x v="178"/>
    <x v="1"/>
    <x v="1"/>
    <x v="1"/>
    <x v="241"/>
    <x v="241"/>
    <n v="143036"/>
    <x v="5"/>
    <x v="6"/>
    <n v="77059"/>
    <n v="0.94873318605106405"/>
    <x v="241"/>
  </r>
  <r>
    <x v="207"/>
    <x v="1"/>
    <x v="2"/>
    <x v="2"/>
    <x v="242"/>
    <x v="242"/>
    <n v="391670"/>
    <x v="1"/>
    <x v="8"/>
    <n v="204863"/>
    <n v="1.0428804861235224"/>
    <x v="242"/>
  </r>
  <r>
    <x v="208"/>
    <x v="2"/>
    <x v="1"/>
    <x v="2"/>
    <x v="243"/>
    <x v="243"/>
    <n v="196512"/>
    <x v="5"/>
    <x v="7"/>
    <n v="82657"/>
    <n v="0.94607453997720237"/>
    <x v="243"/>
  </r>
  <r>
    <x v="209"/>
    <x v="2"/>
    <x v="2"/>
    <x v="2"/>
    <x v="244"/>
    <x v="244"/>
    <n v="251882"/>
    <x v="12"/>
    <x v="9"/>
    <n v="115750"/>
    <n v="0.95285887836367822"/>
    <x v="244"/>
  </r>
  <r>
    <x v="71"/>
    <x v="2"/>
    <x v="0"/>
    <x v="0"/>
    <x v="245"/>
    <x v="245"/>
    <n v="127189"/>
    <x v="11"/>
    <x v="6"/>
    <n v="77542"/>
    <n v="0.886452444786892"/>
    <x v="245"/>
  </r>
  <r>
    <x v="210"/>
    <x v="2"/>
    <x v="0"/>
    <x v="2"/>
    <x v="246"/>
    <x v="246"/>
    <n v="406183"/>
    <x v="11"/>
    <x v="8"/>
    <n v="254678"/>
    <n v="0.96848218660062091"/>
    <x v="246"/>
  </r>
  <r>
    <x v="126"/>
    <x v="2"/>
    <x v="0"/>
    <x v="2"/>
    <x v="247"/>
    <x v="247"/>
    <n v="404395"/>
    <x v="10"/>
    <x v="13"/>
    <n v="209901"/>
    <n v="1.0370528814649043"/>
    <x v="247"/>
  </r>
  <r>
    <x v="211"/>
    <x v="1"/>
    <x v="3"/>
    <x v="2"/>
    <x v="248"/>
    <x v="248"/>
    <n v="264572"/>
    <x v="6"/>
    <x v="4"/>
    <n v="148041"/>
    <n v="0.99532074444763619"/>
    <x v="248"/>
  </r>
  <r>
    <x v="212"/>
    <x v="2"/>
    <x v="1"/>
    <x v="1"/>
    <x v="249"/>
    <x v="249"/>
    <n v="234185"/>
    <x v="7"/>
    <x v="5"/>
    <n v="113667"/>
    <n v="0.98822298610073234"/>
    <x v="249"/>
  </r>
  <r>
    <x v="213"/>
    <x v="0"/>
    <x v="2"/>
    <x v="2"/>
    <x v="250"/>
    <x v="250"/>
    <n v="435219"/>
    <x v="12"/>
    <x v="6"/>
    <n v="205980"/>
    <n v="1.0945776723902219"/>
    <x v="250"/>
  </r>
  <r>
    <x v="214"/>
    <x v="3"/>
    <x v="3"/>
    <x v="2"/>
    <x v="251"/>
    <x v="251"/>
    <n v="522394"/>
    <x v="7"/>
    <x v="13"/>
    <n v="213646"/>
    <n v="0.87935542904397834"/>
    <x v="251"/>
  </r>
  <r>
    <x v="215"/>
    <x v="3"/>
    <x v="2"/>
    <x v="1"/>
    <x v="252"/>
    <x v="252"/>
    <n v="481857"/>
    <x v="0"/>
    <x v="6"/>
    <n v="226062"/>
    <n v="0.96907588765961683"/>
    <x v="252"/>
  </r>
  <r>
    <x v="216"/>
    <x v="2"/>
    <x v="2"/>
    <x v="1"/>
    <x v="253"/>
    <x v="253"/>
    <n v="156347"/>
    <x v="0"/>
    <x v="14"/>
    <n v="94051"/>
    <n v="0.95248389799612398"/>
    <x v="253"/>
  </r>
  <r>
    <x v="180"/>
    <x v="1"/>
    <x v="1"/>
    <x v="1"/>
    <x v="254"/>
    <x v="254"/>
    <n v="392976"/>
    <x v="10"/>
    <x v="9"/>
    <n v="267833"/>
    <n v="1.0206704735149221"/>
    <x v="254"/>
  </r>
  <r>
    <x v="217"/>
    <x v="2"/>
    <x v="0"/>
    <x v="0"/>
    <x v="255"/>
    <x v="255"/>
    <n v="435506"/>
    <x v="8"/>
    <x v="13"/>
    <n v="288387"/>
    <n v="1.1165609658649938"/>
    <x v="255"/>
  </r>
  <r>
    <x v="218"/>
    <x v="2"/>
    <x v="2"/>
    <x v="1"/>
    <x v="256"/>
    <x v="256"/>
    <n v="275738"/>
    <x v="1"/>
    <x v="13"/>
    <n v="108194"/>
    <n v="0.94472651575045874"/>
    <x v="256"/>
  </r>
  <r>
    <x v="219"/>
    <x v="3"/>
    <x v="3"/>
    <x v="1"/>
    <x v="257"/>
    <x v="257"/>
    <n v="186675"/>
    <x v="4"/>
    <x v="9"/>
    <n v="99451"/>
    <n v="1.1359635730547744"/>
    <x v="257"/>
  </r>
  <r>
    <x v="220"/>
    <x v="0"/>
    <x v="1"/>
    <x v="0"/>
    <x v="258"/>
    <x v="258"/>
    <n v="59393"/>
    <x v="5"/>
    <x v="1"/>
    <n v="30454"/>
    <n v="1.09142491539407"/>
    <x v="258"/>
  </r>
  <r>
    <x v="183"/>
    <x v="0"/>
    <x v="2"/>
    <x v="0"/>
    <x v="259"/>
    <x v="259"/>
    <n v="319752"/>
    <x v="4"/>
    <x v="5"/>
    <n v="200661"/>
    <n v="1.0294009107057971"/>
    <x v="259"/>
  </r>
  <r>
    <x v="221"/>
    <x v="1"/>
    <x v="3"/>
    <x v="2"/>
    <x v="260"/>
    <x v="260"/>
    <n v="118728"/>
    <x v="14"/>
    <x v="8"/>
    <n v="66800"/>
    <n v="0.92524930934573146"/>
    <x v="260"/>
  </r>
  <r>
    <x v="22"/>
    <x v="2"/>
    <x v="3"/>
    <x v="1"/>
    <x v="261"/>
    <x v="261"/>
    <n v="113156"/>
    <x v="11"/>
    <x v="7"/>
    <n v="78740"/>
    <n v="1.1221764643501007"/>
    <x v="261"/>
  </r>
  <r>
    <x v="222"/>
    <x v="3"/>
    <x v="0"/>
    <x v="2"/>
    <x v="262"/>
    <x v="262"/>
    <n v="538217"/>
    <x v="6"/>
    <x v="15"/>
    <n v="330081"/>
    <n v="0.91704461211741728"/>
    <x v="262"/>
  </r>
  <r>
    <x v="223"/>
    <x v="3"/>
    <x v="3"/>
    <x v="1"/>
    <x v="263"/>
    <x v="263"/>
    <n v="522467"/>
    <x v="8"/>
    <x v="10"/>
    <n v="244499"/>
    <n v="0.90636729209691713"/>
    <x v="263"/>
  </r>
  <r>
    <x v="224"/>
    <x v="0"/>
    <x v="2"/>
    <x v="2"/>
    <x v="264"/>
    <x v="264"/>
    <n v="284079"/>
    <x v="3"/>
    <x v="3"/>
    <n v="149256"/>
    <n v="1.0326951305798739"/>
    <x v="264"/>
  </r>
  <r>
    <x v="168"/>
    <x v="2"/>
    <x v="0"/>
    <x v="1"/>
    <x v="265"/>
    <x v="265"/>
    <n v="66927"/>
    <x v="3"/>
    <x v="0"/>
    <n v="30449"/>
    <n v="0.94658359107684487"/>
    <x v="265"/>
  </r>
  <r>
    <x v="225"/>
    <x v="3"/>
    <x v="2"/>
    <x v="2"/>
    <x v="266"/>
    <x v="266"/>
    <n v="418602"/>
    <x v="4"/>
    <x v="2"/>
    <n v="271262"/>
    <n v="1.0116936851711171"/>
    <x v="266"/>
  </r>
  <r>
    <x v="226"/>
    <x v="0"/>
    <x v="0"/>
    <x v="0"/>
    <x v="267"/>
    <x v="267"/>
    <n v="637850"/>
    <x v="0"/>
    <x v="9"/>
    <n v="293644"/>
    <n v="0.89707297954064436"/>
    <x v="267"/>
  </r>
  <r>
    <x v="211"/>
    <x v="1"/>
    <x v="0"/>
    <x v="1"/>
    <x v="268"/>
    <x v="268"/>
    <n v="271389"/>
    <x v="12"/>
    <x v="14"/>
    <n v="157456"/>
    <n v="0.95446388762993339"/>
    <x v="268"/>
  </r>
  <r>
    <x v="221"/>
    <x v="0"/>
    <x v="0"/>
    <x v="1"/>
    <x v="269"/>
    <x v="269"/>
    <n v="155803"/>
    <x v="1"/>
    <x v="7"/>
    <n v="80107"/>
    <n v="1.0115530509682098"/>
    <x v="269"/>
  </r>
  <r>
    <x v="227"/>
    <x v="1"/>
    <x v="3"/>
    <x v="0"/>
    <x v="270"/>
    <x v="270"/>
    <n v="131856"/>
    <x v="11"/>
    <x v="9"/>
    <n v="65608"/>
    <n v="1.0270749908991628"/>
    <x v="270"/>
  </r>
  <r>
    <x v="228"/>
    <x v="0"/>
    <x v="1"/>
    <x v="2"/>
    <x v="271"/>
    <x v="271"/>
    <n v="430612"/>
    <x v="9"/>
    <x v="5"/>
    <n v="149781"/>
    <n v="0.87691936128115333"/>
    <x v="271"/>
  </r>
  <r>
    <x v="229"/>
    <x v="3"/>
    <x v="0"/>
    <x v="2"/>
    <x v="272"/>
    <x v="272"/>
    <n v="555900"/>
    <x v="9"/>
    <x v="13"/>
    <n v="240645"/>
    <n v="1.079186904119446"/>
    <x v="272"/>
  </r>
  <r>
    <x v="56"/>
    <x v="3"/>
    <x v="0"/>
    <x v="2"/>
    <x v="273"/>
    <x v="273"/>
    <n v="439985"/>
    <x v="0"/>
    <x v="11"/>
    <n v="298731"/>
    <n v="1.0563405570644453"/>
    <x v="273"/>
  </r>
  <r>
    <x v="230"/>
    <x v="2"/>
    <x v="2"/>
    <x v="1"/>
    <x v="274"/>
    <x v="274"/>
    <n v="123761"/>
    <x v="0"/>
    <x v="2"/>
    <n v="72527"/>
    <n v="0.95516358141902535"/>
    <x v="274"/>
  </r>
  <r>
    <x v="231"/>
    <x v="0"/>
    <x v="2"/>
    <x v="0"/>
    <x v="275"/>
    <x v="275"/>
    <n v="188868"/>
    <x v="2"/>
    <x v="14"/>
    <n v="92441"/>
    <n v="0.98519600991168432"/>
    <x v="275"/>
  </r>
  <r>
    <x v="38"/>
    <x v="2"/>
    <x v="1"/>
    <x v="2"/>
    <x v="276"/>
    <x v="276"/>
    <n v="356473"/>
    <x v="1"/>
    <x v="2"/>
    <n v="216609"/>
    <n v="1.1712163333548404"/>
    <x v="276"/>
  </r>
  <r>
    <x v="232"/>
    <x v="0"/>
    <x v="2"/>
    <x v="0"/>
    <x v="277"/>
    <x v="277"/>
    <n v="322519"/>
    <x v="15"/>
    <x v="9"/>
    <n v="227752"/>
    <n v="1.0802960445741181"/>
    <x v="277"/>
  </r>
  <r>
    <x v="233"/>
    <x v="2"/>
    <x v="1"/>
    <x v="2"/>
    <x v="278"/>
    <x v="278"/>
    <n v="385793"/>
    <x v="11"/>
    <x v="8"/>
    <n v="249805"/>
    <n v="1.1071403576529382"/>
    <x v="278"/>
  </r>
  <r>
    <x v="128"/>
    <x v="3"/>
    <x v="2"/>
    <x v="1"/>
    <x v="279"/>
    <x v="279"/>
    <n v="200540"/>
    <x v="8"/>
    <x v="13"/>
    <n v="81765"/>
    <n v="0.94734217612446392"/>
    <x v="279"/>
  </r>
  <r>
    <x v="234"/>
    <x v="1"/>
    <x v="3"/>
    <x v="0"/>
    <x v="280"/>
    <x v="280"/>
    <n v="182686"/>
    <x v="15"/>
    <x v="0"/>
    <n v="91663"/>
    <n v="1.0266687102459959"/>
    <x v="280"/>
  </r>
  <r>
    <x v="206"/>
    <x v="0"/>
    <x v="3"/>
    <x v="0"/>
    <x v="281"/>
    <x v="281"/>
    <n v="443895"/>
    <x v="7"/>
    <x v="3"/>
    <n v="223165"/>
    <n v="1.1387895786165647"/>
    <x v="281"/>
  </r>
  <r>
    <x v="235"/>
    <x v="0"/>
    <x v="0"/>
    <x v="0"/>
    <x v="282"/>
    <x v="282"/>
    <n v="394044"/>
    <x v="15"/>
    <x v="4"/>
    <n v="197978"/>
    <n v="0.91447401812995499"/>
    <x v="282"/>
  </r>
  <r>
    <x v="179"/>
    <x v="3"/>
    <x v="1"/>
    <x v="0"/>
    <x v="283"/>
    <x v="283"/>
    <n v="28909"/>
    <x v="11"/>
    <x v="2"/>
    <n v="19355"/>
    <n v="1.0974782939568992"/>
    <x v="283"/>
  </r>
  <r>
    <x v="236"/>
    <x v="1"/>
    <x v="3"/>
    <x v="0"/>
    <x v="284"/>
    <x v="284"/>
    <n v="87873"/>
    <x v="11"/>
    <x v="14"/>
    <n v="43136"/>
    <n v="0.98852889966201218"/>
    <x v="284"/>
  </r>
  <r>
    <x v="237"/>
    <x v="2"/>
    <x v="2"/>
    <x v="2"/>
    <x v="285"/>
    <x v="285"/>
    <n v="190652"/>
    <x v="4"/>
    <x v="11"/>
    <n v="105953"/>
    <n v="0.92798921595367478"/>
    <x v="285"/>
  </r>
  <r>
    <x v="238"/>
    <x v="0"/>
    <x v="3"/>
    <x v="1"/>
    <x v="286"/>
    <x v="286"/>
    <n v="370019"/>
    <x v="12"/>
    <x v="12"/>
    <n v="180791"/>
    <n v="0.95876427967212496"/>
    <x v="286"/>
  </r>
  <r>
    <x v="239"/>
    <x v="2"/>
    <x v="0"/>
    <x v="2"/>
    <x v="287"/>
    <x v="287"/>
    <n v="467722"/>
    <x v="5"/>
    <x v="7"/>
    <n v="208237"/>
    <n v="1.1110317667332303"/>
    <x v="287"/>
  </r>
  <r>
    <x v="151"/>
    <x v="3"/>
    <x v="3"/>
    <x v="0"/>
    <x v="288"/>
    <x v="288"/>
    <n v="67903"/>
    <x v="7"/>
    <x v="15"/>
    <n v="44415"/>
    <n v="1.1501553686876869"/>
    <x v="288"/>
  </r>
  <r>
    <x v="240"/>
    <x v="0"/>
    <x v="1"/>
    <x v="2"/>
    <x v="289"/>
    <x v="289"/>
    <n v="122728"/>
    <x v="14"/>
    <x v="13"/>
    <n v="68806"/>
    <n v="0.9702675835995046"/>
    <x v="289"/>
  </r>
  <r>
    <x v="241"/>
    <x v="2"/>
    <x v="3"/>
    <x v="2"/>
    <x v="290"/>
    <x v="290"/>
    <n v="413595"/>
    <x v="12"/>
    <x v="11"/>
    <n v="302893"/>
    <n v="1.0953493151512954"/>
    <x v="290"/>
  </r>
  <r>
    <x v="242"/>
    <x v="0"/>
    <x v="0"/>
    <x v="2"/>
    <x v="291"/>
    <x v="291"/>
    <n v="263848"/>
    <x v="5"/>
    <x v="1"/>
    <n v="159591"/>
    <n v="1.1408007640762863"/>
    <x v="291"/>
  </r>
  <r>
    <x v="243"/>
    <x v="1"/>
    <x v="3"/>
    <x v="0"/>
    <x v="292"/>
    <x v="292"/>
    <n v="378317"/>
    <x v="4"/>
    <x v="9"/>
    <n v="196210"/>
    <n v="1.1085941155168813"/>
    <x v="292"/>
  </r>
  <r>
    <x v="25"/>
    <x v="0"/>
    <x v="3"/>
    <x v="0"/>
    <x v="293"/>
    <x v="293"/>
    <n v="183660"/>
    <x v="6"/>
    <x v="11"/>
    <n v="102482"/>
    <n v="0.93284329739736471"/>
    <x v="293"/>
  </r>
  <r>
    <x v="244"/>
    <x v="0"/>
    <x v="0"/>
    <x v="2"/>
    <x v="294"/>
    <x v="294"/>
    <n v="150823"/>
    <x v="12"/>
    <x v="3"/>
    <n v="71054"/>
    <n v="1.1665130649834574"/>
    <x v="294"/>
  </r>
  <r>
    <x v="20"/>
    <x v="3"/>
    <x v="3"/>
    <x v="1"/>
    <x v="295"/>
    <x v="295"/>
    <n v="647229"/>
    <x v="5"/>
    <x v="7"/>
    <n v="239293"/>
    <n v="0.90430898491878453"/>
    <x v="295"/>
  </r>
  <r>
    <x v="100"/>
    <x v="3"/>
    <x v="1"/>
    <x v="1"/>
    <x v="296"/>
    <x v="161"/>
    <n v="356450"/>
    <x v="15"/>
    <x v="1"/>
    <n v="167182"/>
    <n v="0.88401458830130453"/>
    <x v="296"/>
  </r>
  <r>
    <x v="245"/>
    <x v="0"/>
    <x v="2"/>
    <x v="0"/>
    <x v="297"/>
    <x v="296"/>
    <n v="498485"/>
    <x v="14"/>
    <x v="13"/>
    <n v="308462"/>
    <n v="0.92245503876746537"/>
    <x v="297"/>
  </r>
  <r>
    <x v="246"/>
    <x v="2"/>
    <x v="1"/>
    <x v="1"/>
    <x v="298"/>
    <x v="297"/>
    <n v="129542"/>
    <x v="8"/>
    <x v="14"/>
    <n v="99831"/>
    <n v="1.1485232588658505"/>
    <x v="298"/>
  </r>
  <r>
    <x v="247"/>
    <x v="2"/>
    <x v="1"/>
    <x v="0"/>
    <x v="299"/>
    <x v="298"/>
    <n v="131571"/>
    <x v="15"/>
    <x v="11"/>
    <n v="63395"/>
    <n v="1.0734432359714527"/>
    <x v="299"/>
  </r>
  <r>
    <x v="248"/>
    <x v="3"/>
    <x v="0"/>
    <x v="2"/>
    <x v="300"/>
    <x v="299"/>
    <n v="224856"/>
    <x v="8"/>
    <x v="14"/>
    <n v="138632"/>
    <n v="1.1626774468993488"/>
    <x v="300"/>
  </r>
  <r>
    <x v="249"/>
    <x v="1"/>
    <x v="0"/>
    <x v="1"/>
    <x v="301"/>
    <x v="300"/>
    <n v="304813"/>
    <x v="13"/>
    <x v="13"/>
    <n v="166535"/>
    <n v="1.0479966405632306"/>
    <x v="301"/>
  </r>
  <r>
    <x v="250"/>
    <x v="0"/>
    <x v="3"/>
    <x v="0"/>
    <x v="302"/>
    <x v="301"/>
    <n v="272954"/>
    <x v="12"/>
    <x v="8"/>
    <n v="125756"/>
    <n v="0.91045011247316399"/>
    <x v="302"/>
  </r>
  <r>
    <x v="251"/>
    <x v="3"/>
    <x v="0"/>
    <x v="2"/>
    <x v="303"/>
    <x v="302"/>
    <n v="279616"/>
    <x v="5"/>
    <x v="13"/>
    <n v="115637"/>
    <n v="0.93672751201647975"/>
    <x v="303"/>
  </r>
  <r>
    <x v="252"/>
    <x v="1"/>
    <x v="3"/>
    <x v="1"/>
    <x v="304"/>
    <x v="303"/>
    <n v="65417"/>
    <x v="14"/>
    <x v="2"/>
    <n v="47728"/>
    <n v="1.1050950058853204"/>
    <x v="304"/>
  </r>
  <r>
    <x v="130"/>
    <x v="0"/>
    <x v="3"/>
    <x v="2"/>
    <x v="305"/>
    <x v="304"/>
    <n v="424231"/>
    <x v="1"/>
    <x v="8"/>
    <n v="248264"/>
    <n v="0.98665114053428438"/>
    <x v="305"/>
  </r>
  <r>
    <x v="253"/>
    <x v="2"/>
    <x v="1"/>
    <x v="2"/>
    <x v="306"/>
    <x v="305"/>
    <n v="300461"/>
    <x v="5"/>
    <x v="6"/>
    <n v="161192"/>
    <n v="0.96724034067649378"/>
    <x v="306"/>
  </r>
  <r>
    <x v="24"/>
    <x v="3"/>
    <x v="2"/>
    <x v="1"/>
    <x v="307"/>
    <x v="306"/>
    <n v="364661"/>
    <x v="8"/>
    <x v="13"/>
    <n v="238074"/>
    <n v="1.0931029092773836"/>
    <x v="307"/>
  </r>
  <r>
    <x v="254"/>
    <x v="0"/>
    <x v="3"/>
    <x v="1"/>
    <x v="308"/>
    <x v="307"/>
    <n v="86111"/>
    <x v="0"/>
    <x v="6"/>
    <n v="37834"/>
    <n v="0.9207418332152687"/>
    <x v="308"/>
  </r>
  <r>
    <x v="140"/>
    <x v="2"/>
    <x v="3"/>
    <x v="0"/>
    <x v="309"/>
    <x v="308"/>
    <n v="99077"/>
    <x v="10"/>
    <x v="2"/>
    <n v="49306"/>
    <n v="1.1118423044702606"/>
    <x v="309"/>
  </r>
  <r>
    <x v="255"/>
    <x v="1"/>
    <x v="1"/>
    <x v="1"/>
    <x v="310"/>
    <x v="309"/>
    <n v="341449"/>
    <x v="6"/>
    <x v="6"/>
    <n v="161573"/>
    <n v="1.0791596988129999"/>
    <x v="310"/>
  </r>
  <r>
    <x v="256"/>
    <x v="2"/>
    <x v="1"/>
    <x v="2"/>
    <x v="311"/>
    <x v="310"/>
    <n v="338246"/>
    <x v="11"/>
    <x v="0"/>
    <n v="158217"/>
    <n v="0.89065946086576042"/>
    <x v="311"/>
  </r>
  <r>
    <x v="239"/>
    <x v="2"/>
    <x v="3"/>
    <x v="0"/>
    <x v="312"/>
    <x v="311"/>
    <n v="411084"/>
    <x v="5"/>
    <x v="10"/>
    <n v="221062"/>
    <n v="0.87769896176937079"/>
    <x v="312"/>
  </r>
  <r>
    <x v="257"/>
    <x v="0"/>
    <x v="1"/>
    <x v="1"/>
    <x v="313"/>
    <x v="312"/>
    <n v="379192"/>
    <x v="2"/>
    <x v="7"/>
    <n v="202715"/>
    <n v="0.91795976708369376"/>
    <x v="313"/>
  </r>
  <r>
    <x v="258"/>
    <x v="0"/>
    <x v="2"/>
    <x v="2"/>
    <x v="314"/>
    <x v="313"/>
    <n v="369090"/>
    <x v="7"/>
    <x v="12"/>
    <n v="230257"/>
    <n v="1.111346825977404"/>
    <x v="314"/>
  </r>
  <r>
    <x v="259"/>
    <x v="1"/>
    <x v="2"/>
    <x v="0"/>
    <x v="315"/>
    <x v="314"/>
    <n v="12871"/>
    <x v="5"/>
    <x v="6"/>
    <n v="6110"/>
    <n v="1.0982052676559708"/>
    <x v="315"/>
  </r>
  <r>
    <x v="14"/>
    <x v="0"/>
    <x v="1"/>
    <x v="0"/>
    <x v="316"/>
    <x v="315"/>
    <n v="264323"/>
    <x v="13"/>
    <x v="12"/>
    <n v="146861"/>
    <n v="0.87694222598865779"/>
    <x v="316"/>
  </r>
  <r>
    <x v="260"/>
    <x v="0"/>
    <x v="3"/>
    <x v="2"/>
    <x v="317"/>
    <x v="316"/>
    <n v="380917"/>
    <x v="0"/>
    <x v="2"/>
    <n v="255012"/>
    <n v="1.0044130348606126"/>
    <x v="317"/>
  </r>
  <r>
    <x v="45"/>
    <x v="3"/>
    <x v="2"/>
    <x v="2"/>
    <x v="318"/>
    <x v="317"/>
    <n v="185022"/>
    <x v="4"/>
    <x v="5"/>
    <n v="118397"/>
    <n v="1.1249310892758699"/>
    <x v="318"/>
  </r>
  <r>
    <x v="261"/>
    <x v="3"/>
    <x v="1"/>
    <x v="1"/>
    <x v="319"/>
    <x v="318"/>
    <n v="350977"/>
    <x v="1"/>
    <x v="13"/>
    <n v="167867"/>
    <n v="1.0376605874459011"/>
    <x v="319"/>
  </r>
  <r>
    <x v="243"/>
    <x v="3"/>
    <x v="0"/>
    <x v="2"/>
    <x v="320"/>
    <x v="319"/>
    <n v="99779"/>
    <x v="3"/>
    <x v="6"/>
    <n v="63724"/>
    <n v="1.0589903687148599"/>
    <x v="320"/>
  </r>
  <r>
    <x v="262"/>
    <x v="0"/>
    <x v="0"/>
    <x v="1"/>
    <x v="321"/>
    <x v="320"/>
    <n v="297684"/>
    <x v="11"/>
    <x v="13"/>
    <n v="172039"/>
    <n v="0.89771032369895598"/>
    <x v="321"/>
  </r>
  <r>
    <x v="57"/>
    <x v="0"/>
    <x v="1"/>
    <x v="2"/>
    <x v="322"/>
    <x v="321"/>
    <n v="206521"/>
    <x v="10"/>
    <x v="1"/>
    <n v="109200"/>
    <n v="1.1203364306777519"/>
    <x v="322"/>
  </r>
  <r>
    <x v="263"/>
    <x v="2"/>
    <x v="3"/>
    <x v="1"/>
    <x v="323"/>
    <x v="322"/>
    <n v="466953"/>
    <x v="13"/>
    <x v="6"/>
    <n v="261486"/>
    <n v="0.91586947722790091"/>
    <x v="323"/>
  </r>
  <r>
    <x v="157"/>
    <x v="0"/>
    <x v="0"/>
    <x v="2"/>
    <x v="324"/>
    <x v="323"/>
    <n v="123806"/>
    <x v="5"/>
    <x v="3"/>
    <n v="85567"/>
    <n v="1.1482561426748299"/>
    <x v="324"/>
  </r>
  <r>
    <x v="264"/>
    <x v="0"/>
    <x v="1"/>
    <x v="1"/>
    <x v="325"/>
    <x v="324"/>
    <n v="32794"/>
    <x v="4"/>
    <x v="8"/>
    <n v="14837"/>
    <n v="0.95892541318533875"/>
    <x v="325"/>
  </r>
  <r>
    <x v="212"/>
    <x v="1"/>
    <x v="0"/>
    <x v="0"/>
    <x v="326"/>
    <x v="325"/>
    <n v="444845"/>
    <x v="6"/>
    <x v="7"/>
    <n v="212354"/>
    <n v="0.92783778619519164"/>
    <x v="326"/>
  </r>
  <r>
    <x v="33"/>
    <x v="1"/>
    <x v="0"/>
    <x v="0"/>
    <x v="327"/>
    <x v="326"/>
    <n v="63695"/>
    <x v="13"/>
    <x v="15"/>
    <n v="39346"/>
    <n v="0.95673129759007769"/>
    <x v="327"/>
  </r>
  <r>
    <x v="265"/>
    <x v="1"/>
    <x v="3"/>
    <x v="0"/>
    <x v="328"/>
    <x v="327"/>
    <n v="446628"/>
    <x v="2"/>
    <x v="0"/>
    <n v="243184"/>
    <n v="1.0893025067841693"/>
    <x v="328"/>
  </r>
  <r>
    <x v="266"/>
    <x v="1"/>
    <x v="3"/>
    <x v="2"/>
    <x v="329"/>
    <x v="328"/>
    <n v="487468"/>
    <x v="2"/>
    <x v="11"/>
    <n v="295035"/>
    <n v="1.1690449424372471"/>
    <x v="329"/>
  </r>
  <r>
    <x v="267"/>
    <x v="2"/>
    <x v="2"/>
    <x v="0"/>
    <x v="330"/>
    <x v="329"/>
    <n v="70160"/>
    <x v="4"/>
    <x v="3"/>
    <n v="43959"/>
    <n v="0.91090364880273655"/>
    <x v="330"/>
  </r>
  <r>
    <x v="268"/>
    <x v="0"/>
    <x v="0"/>
    <x v="0"/>
    <x v="331"/>
    <x v="330"/>
    <n v="39840"/>
    <x v="11"/>
    <x v="5"/>
    <n v="20708"/>
    <n v="0.96297690763052213"/>
    <x v="331"/>
  </r>
  <r>
    <x v="63"/>
    <x v="0"/>
    <x v="2"/>
    <x v="1"/>
    <x v="332"/>
    <x v="331"/>
    <n v="203655"/>
    <x v="14"/>
    <x v="12"/>
    <n v="93368"/>
    <n v="1.0839311580859787"/>
    <x v="332"/>
  </r>
  <r>
    <x v="269"/>
    <x v="0"/>
    <x v="0"/>
    <x v="2"/>
    <x v="333"/>
    <x v="332"/>
    <n v="376315"/>
    <x v="15"/>
    <x v="7"/>
    <n v="192636"/>
    <n v="1.0638587353679763"/>
    <x v="333"/>
  </r>
  <r>
    <x v="270"/>
    <x v="1"/>
    <x v="1"/>
    <x v="2"/>
    <x v="334"/>
    <x v="333"/>
    <n v="474676"/>
    <x v="5"/>
    <x v="15"/>
    <n v="235267"/>
    <n v="0.89470291314496631"/>
    <x v="334"/>
  </r>
  <r>
    <x v="271"/>
    <x v="0"/>
    <x v="0"/>
    <x v="2"/>
    <x v="335"/>
    <x v="334"/>
    <n v="109797"/>
    <x v="1"/>
    <x v="2"/>
    <n v="40755"/>
    <n v="0.97576436514658871"/>
    <x v="335"/>
  </r>
  <r>
    <x v="234"/>
    <x v="3"/>
    <x v="3"/>
    <x v="1"/>
    <x v="336"/>
    <x v="335"/>
    <n v="197260"/>
    <x v="0"/>
    <x v="2"/>
    <n v="118663"/>
    <n v="0.97116495995133323"/>
    <x v="336"/>
  </r>
  <r>
    <x v="264"/>
    <x v="3"/>
    <x v="0"/>
    <x v="0"/>
    <x v="337"/>
    <x v="336"/>
    <n v="287369"/>
    <x v="11"/>
    <x v="13"/>
    <n v="186143"/>
    <n v="0.9789225699362144"/>
    <x v="337"/>
  </r>
  <r>
    <x v="114"/>
    <x v="0"/>
    <x v="1"/>
    <x v="2"/>
    <x v="338"/>
    <x v="337"/>
    <n v="123828"/>
    <x v="13"/>
    <x v="11"/>
    <n v="72834"/>
    <n v="0.97033788803824661"/>
    <x v="338"/>
  </r>
  <r>
    <x v="272"/>
    <x v="2"/>
    <x v="1"/>
    <x v="1"/>
    <x v="339"/>
    <x v="338"/>
    <n v="333531"/>
    <x v="11"/>
    <x v="14"/>
    <n v="215344"/>
    <n v="1.085506294767203"/>
    <x v="339"/>
  </r>
  <r>
    <x v="273"/>
    <x v="0"/>
    <x v="2"/>
    <x v="1"/>
    <x v="340"/>
    <x v="339"/>
    <n v="261663"/>
    <x v="3"/>
    <x v="6"/>
    <n v="131694"/>
    <n v="1.0735717315784044"/>
    <x v="340"/>
  </r>
  <r>
    <x v="274"/>
    <x v="3"/>
    <x v="1"/>
    <x v="0"/>
    <x v="341"/>
    <x v="340"/>
    <n v="499438"/>
    <x v="8"/>
    <x v="6"/>
    <n v="385900"/>
    <n v="1.1752589911060032"/>
    <x v="341"/>
  </r>
  <r>
    <x v="275"/>
    <x v="2"/>
    <x v="3"/>
    <x v="0"/>
    <x v="342"/>
    <x v="341"/>
    <n v="355588"/>
    <x v="5"/>
    <x v="14"/>
    <n v="172825"/>
    <n v="1.0054191929986389"/>
    <x v="342"/>
  </r>
  <r>
    <x v="276"/>
    <x v="0"/>
    <x v="0"/>
    <x v="1"/>
    <x v="343"/>
    <x v="342"/>
    <n v="349452"/>
    <x v="5"/>
    <x v="15"/>
    <n v="154842"/>
    <n v="1.1732999095727024"/>
    <x v="343"/>
  </r>
  <r>
    <x v="277"/>
    <x v="0"/>
    <x v="1"/>
    <x v="1"/>
    <x v="344"/>
    <x v="343"/>
    <n v="337090"/>
    <x v="2"/>
    <x v="7"/>
    <n v="192766"/>
    <n v="1.0922364947046783"/>
    <x v="344"/>
  </r>
  <r>
    <x v="278"/>
    <x v="3"/>
    <x v="0"/>
    <x v="1"/>
    <x v="345"/>
    <x v="344"/>
    <n v="81210"/>
    <x v="13"/>
    <x v="14"/>
    <n v="50639"/>
    <n v="0.99061691909863314"/>
    <x v="345"/>
  </r>
  <r>
    <x v="279"/>
    <x v="3"/>
    <x v="3"/>
    <x v="1"/>
    <x v="346"/>
    <x v="345"/>
    <n v="31729"/>
    <x v="6"/>
    <x v="10"/>
    <n v="12673"/>
    <n v="1.0150650824167167"/>
    <x v="346"/>
  </r>
  <r>
    <x v="280"/>
    <x v="3"/>
    <x v="1"/>
    <x v="0"/>
    <x v="347"/>
    <x v="346"/>
    <n v="57853"/>
    <x v="7"/>
    <x v="0"/>
    <n v="35787"/>
    <n v="0.93967469275577753"/>
    <x v="347"/>
  </r>
  <r>
    <x v="281"/>
    <x v="3"/>
    <x v="0"/>
    <x v="2"/>
    <x v="348"/>
    <x v="347"/>
    <n v="390037"/>
    <x v="4"/>
    <x v="9"/>
    <n v="286341"/>
    <n v="1.1758217810105196"/>
    <x v="348"/>
  </r>
  <r>
    <x v="282"/>
    <x v="2"/>
    <x v="0"/>
    <x v="0"/>
    <x v="349"/>
    <x v="348"/>
    <n v="490588"/>
    <x v="12"/>
    <x v="13"/>
    <n v="222025"/>
    <n v="0.95275669196963642"/>
    <x v="349"/>
  </r>
  <r>
    <x v="183"/>
    <x v="2"/>
    <x v="0"/>
    <x v="0"/>
    <x v="350"/>
    <x v="349"/>
    <n v="43262"/>
    <x v="10"/>
    <x v="12"/>
    <n v="29581"/>
    <n v="1.0295871665665017"/>
    <x v="350"/>
  </r>
  <r>
    <x v="73"/>
    <x v="1"/>
    <x v="2"/>
    <x v="0"/>
    <x v="351"/>
    <x v="350"/>
    <n v="491055"/>
    <x v="7"/>
    <x v="14"/>
    <n v="254206"/>
    <n v="0.89572858437445912"/>
    <x v="351"/>
  </r>
  <r>
    <x v="164"/>
    <x v="1"/>
    <x v="2"/>
    <x v="1"/>
    <x v="352"/>
    <x v="351"/>
    <n v="123632"/>
    <x v="0"/>
    <x v="8"/>
    <n v="75314"/>
    <n v="0.93703895431603468"/>
    <x v="352"/>
  </r>
  <r>
    <x v="124"/>
    <x v="3"/>
    <x v="2"/>
    <x v="0"/>
    <x v="353"/>
    <x v="352"/>
    <n v="125554"/>
    <x v="2"/>
    <x v="11"/>
    <n v="61290"/>
    <n v="1.1716313299456806"/>
    <x v="353"/>
  </r>
  <r>
    <x v="283"/>
    <x v="1"/>
    <x v="0"/>
    <x v="0"/>
    <x v="354"/>
    <x v="353"/>
    <n v="204849"/>
    <x v="11"/>
    <x v="5"/>
    <n v="88953"/>
    <n v="1.1275232000156212"/>
    <x v="354"/>
  </r>
  <r>
    <x v="142"/>
    <x v="3"/>
    <x v="3"/>
    <x v="1"/>
    <x v="355"/>
    <x v="354"/>
    <n v="19304"/>
    <x v="2"/>
    <x v="9"/>
    <n v="8630"/>
    <n v="0.90452755905511806"/>
    <x v="355"/>
  </r>
  <r>
    <x v="284"/>
    <x v="1"/>
    <x v="0"/>
    <x v="1"/>
    <x v="356"/>
    <x v="355"/>
    <n v="199016"/>
    <x v="2"/>
    <x v="4"/>
    <n v="121222"/>
    <n v="1.0894651686296579"/>
    <x v="356"/>
  </r>
  <r>
    <x v="285"/>
    <x v="0"/>
    <x v="1"/>
    <x v="0"/>
    <x v="357"/>
    <x v="356"/>
    <n v="364617"/>
    <x v="14"/>
    <x v="5"/>
    <n v="131125"/>
    <n v="0.89533949322165451"/>
    <x v="357"/>
  </r>
  <r>
    <x v="47"/>
    <x v="0"/>
    <x v="1"/>
    <x v="1"/>
    <x v="358"/>
    <x v="357"/>
    <n v="224482"/>
    <x v="4"/>
    <x v="8"/>
    <n v="135112"/>
    <n v="1.1114966901577854"/>
    <x v="358"/>
  </r>
  <r>
    <x v="286"/>
    <x v="0"/>
    <x v="0"/>
    <x v="1"/>
    <x v="359"/>
    <x v="358"/>
    <n v="490264"/>
    <x v="2"/>
    <x v="12"/>
    <n v="241887"/>
    <n v="0.99485583277581058"/>
    <x v="359"/>
  </r>
  <r>
    <x v="283"/>
    <x v="1"/>
    <x v="3"/>
    <x v="0"/>
    <x v="360"/>
    <x v="359"/>
    <n v="365316"/>
    <x v="13"/>
    <x v="11"/>
    <n v="229386"/>
    <n v="1.1358768846697107"/>
    <x v="360"/>
  </r>
  <r>
    <x v="287"/>
    <x v="2"/>
    <x v="1"/>
    <x v="2"/>
    <x v="361"/>
    <x v="360"/>
    <n v="104585"/>
    <x v="14"/>
    <x v="1"/>
    <n v="46446"/>
    <n v="1.0043505282784337"/>
    <x v="361"/>
  </r>
  <r>
    <x v="288"/>
    <x v="1"/>
    <x v="3"/>
    <x v="1"/>
    <x v="362"/>
    <x v="361"/>
    <n v="198435"/>
    <x v="2"/>
    <x v="4"/>
    <n v="90918"/>
    <n v="1.1637614332149067"/>
    <x v="362"/>
  </r>
  <r>
    <x v="237"/>
    <x v="1"/>
    <x v="2"/>
    <x v="2"/>
    <x v="363"/>
    <x v="362"/>
    <n v="452358"/>
    <x v="6"/>
    <x v="15"/>
    <n v="247992"/>
    <n v="1.0674952139676981"/>
    <x v="363"/>
  </r>
  <r>
    <x v="289"/>
    <x v="3"/>
    <x v="2"/>
    <x v="1"/>
    <x v="364"/>
    <x v="363"/>
    <n v="47980"/>
    <x v="11"/>
    <x v="8"/>
    <n v="21777"/>
    <n v="0.87073780741975826"/>
    <x v="364"/>
  </r>
  <r>
    <x v="290"/>
    <x v="1"/>
    <x v="3"/>
    <x v="2"/>
    <x v="365"/>
    <x v="364"/>
    <n v="326860"/>
    <x v="11"/>
    <x v="1"/>
    <n v="177024"/>
    <n v="1.050293703726366"/>
    <x v="365"/>
  </r>
  <r>
    <x v="291"/>
    <x v="3"/>
    <x v="0"/>
    <x v="1"/>
    <x v="366"/>
    <x v="365"/>
    <n v="383485"/>
    <x v="3"/>
    <x v="15"/>
    <n v="210750"/>
    <n v="0.90901339035425111"/>
    <x v="366"/>
  </r>
  <r>
    <x v="292"/>
    <x v="2"/>
    <x v="1"/>
    <x v="1"/>
    <x v="367"/>
    <x v="366"/>
    <n v="184309"/>
    <x v="6"/>
    <x v="7"/>
    <n v="97935"/>
    <n v="1.0740332810660358"/>
    <x v="367"/>
  </r>
  <r>
    <x v="293"/>
    <x v="0"/>
    <x v="3"/>
    <x v="1"/>
    <x v="368"/>
    <x v="367"/>
    <n v="129702"/>
    <x v="7"/>
    <x v="5"/>
    <n v="54582"/>
    <n v="1.0170776086721871"/>
    <x v="368"/>
  </r>
  <r>
    <x v="294"/>
    <x v="0"/>
    <x v="3"/>
    <x v="1"/>
    <x v="369"/>
    <x v="368"/>
    <n v="339844"/>
    <x v="7"/>
    <x v="3"/>
    <n v="216321"/>
    <n v="0.96430126764044677"/>
    <x v="369"/>
  </r>
  <r>
    <x v="291"/>
    <x v="1"/>
    <x v="0"/>
    <x v="1"/>
    <x v="370"/>
    <x v="369"/>
    <n v="333271"/>
    <x v="6"/>
    <x v="7"/>
    <n v="201383"/>
    <n v="1.08893963171113"/>
    <x v="370"/>
  </r>
  <r>
    <x v="295"/>
    <x v="2"/>
    <x v="3"/>
    <x v="2"/>
    <x v="371"/>
    <x v="370"/>
    <n v="297719"/>
    <x v="0"/>
    <x v="6"/>
    <n v="117537"/>
    <n v="0.91983380301559525"/>
    <x v="371"/>
  </r>
  <r>
    <x v="296"/>
    <x v="0"/>
    <x v="0"/>
    <x v="2"/>
    <x v="372"/>
    <x v="371"/>
    <n v="193768"/>
    <x v="11"/>
    <x v="9"/>
    <n v="114220"/>
    <n v="0.88126522439205646"/>
    <x v="372"/>
  </r>
  <r>
    <x v="143"/>
    <x v="0"/>
    <x v="1"/>
    <x v="2"/>
    <x v="373"/>
    <x v="372"/>
    <n v="445333"/>
    <x v="5"/>
    <x v="8"/>
    <n v="238245"/>
    <n v="1.0686789436219637"/>
    <x v="373"/>
  </r>
  <r>
    <x v="297"/>
    <x v="1"/>
    <x v="3"/>
    <x v="0"/>
    <x v="374"/>
    <x v="373"/>
    <n v="207937"/>
    <x v="13"/>
    <x v="2"/>
    <n v="105210"/>
    <n v="0.97734409941472655"/>
    <x v="374"/>
  </r>
  <r>
    <x v="298"/>
    <x v="0"/>
    <x v="3"/>
    <x v="0"/>
    <x v="375"/>
    <x v="374"/>
    <n v="18350"/>
    <x v="5"/>
    <x v="5"/>
    <n v="8783"/>
    <n v="0.87967302452316076"/>
    <x v="375"/>
  </r>
  <r>
    <x v="299"/>
    <x v="0"/>
    <x v="1"/>
    <x v="1"/>
    <x v="376"/>
    <x v="375"/>
    <n v="313198"/>
    <x v="8"/>
    <x v="1"/>
    <n v="183251"/>
    <n v="0.89451401349944759"/>
    <x v="376"/>
  </r>
  <r>
    <x v="153"/>
    <x v="1"/>
    <x v="0"/>
    <x v="1"/>
    <x v="377"/>
    <x v="376"/>
    <n v="458834"/>
    <x v="15"/>
    <x v="11"/>
    <n v="188739"/>
    <n v="0.9343989329474276"/>
    <x v="377"/>
  </r>
  <r>
    <x v="300"/>
    <x v="3"/>
    <x v="2"/>
    <x v="0"/>
    <x v="378"/>
    <x v="377"/>
    <n v="457381"/>
    <x v="4"/>
    <x v="6"/>
    <n v="241134"/>
    <n v="0.96175835900485596"/>
    <x v="378"/>
  </r>
  <r>
    <x v="301"/>
    <x v="2"/>
    <x v="0"/>
    <x v="0"/>
    <x v="379"/>
    <x v="378"/>
    <n v="68784"/>
    <x v="4"/>
    <x v="11"/>
    <n v="22542"/>
    <n v="0.87007152826238665"/>
    <x v="379"/>
  </r>
  <r>
    <x v="120"/>
    <x v="0"/>
    <x v="3"/>
    <x v="2"/>
    <x v="380"/>
    <x v="379"/>
    <n v="167190"/>
    <x v="15"/>
    <x v="3"/>
    <n v="93813"/>
    <n v="0.90889407261199828"/>
    <x v="380"/>
  </r>
  <r>
    <x v="302"/>
    <x v="3"/>
    <x v="1"/>
    <x v="1"/>
    <x v="381"/>
    <x v="380"/>
    <n v="141560"/>
    <x v="15"/>
    <x v="2"/>
    <n v="77773"/>
    <n v="0.89660214749929357"/>
    <x v="381"/>
  </r>
  <r>
    <x v="303"/>
    <x v="0"/>
    <x v="3"/>
    <x v="1"/>
    <x v="382"/>
    <x v="381"/>
    <n v="39647"/>
    <x v="14"/>
    <x v="11"/>
    <n v="17196"/>
    <n v="0.9467803364693419"/>
    <x v="382"/>
  </r>
  <r>
    <x v="304"/>
    <x v="1"/>
    <x v="1"/>
    <x v="0"/>
    <x v="383"/>
    <x v="382"/>
    <n v="54946"/>
    <x v="14"/>
    <x v="9"/>
    <n v="28586"/>
    <n v="0.94399956320751288"/>
    <x v="383"/>
  </r>
  <r>
    <x v="219"/>
    <x v="1"/>
    <x v="2"/>
    <x v="2"/>
    <x v="384"/>
    <x v="383"/>
    <n v="384135"/>
    <x v="15"/>
    <x v="1"/>
    <n v="194190"/>
    <n v="0.9188202064378409"/>
    <x v="384"/>
  </r>
  <r>
    <x v="305"/>
    <x v="2"/>
    <x v="2"/>
    <x v="2"/>
    <x v="385"/>
    <x v="384"/>
    <n v="174867"/>
    <x v="12"/>
    <x v="5"/>
    <n v="82674"/>
    <n v="1.0703220161608538"/>
    <x v="385"/>
  </r>
  <r>
    <x v="306"/>
    <x v="2"/>
    <x v="3"/>
    <x v="0"/>
    <x v="386"/>
    <x v="385"/>
    <n v="246648"/>
    <x v="5"/>
    <x v="7"/>
    <n v="156705"/>
    <n v="0.98552187733125751"/>
    <x v="386"/>
  </r>
  <r>
    <x v="307"/>
    <x v="1"/>
    <x v="0"/>
    <x v="0"/>
    <x v="387"/>
    <x v="386"/>
    <n v="550053"/>
    <x v="11"/>
    <x v="14"/>
    <n v="207331"/>
    <n v="0.89557915328159288"/>
    <x v="387"/>
  </r>
  <r>
    <x v="308"/>
    <x v="2"/>
    <x v="2"/>
    <x v="2"/>
    <x v="388"/>
    <x v="387"/>
    <n v="32430"/>
    <x v="10"/>
    <x v="11"/>
    <n v="18074"/>
    <n v="1.0864939870490287"/>
    <x v="388"/>
  </r>
  <r>
    <x v="300"/>
    <x v="2"/>
    <x v="3"/>
    <x v="1"/>
    <x v="389"/>
    <x v="388"/>
    <n v="177228"/>
    <x v="13"/>
    <x v="13"/>
    <n v="102365"/>
    <n v="1.114101609226533"/>
    <x v="389"/>
  </r>
  <r>
    <x v="309"/>
    <x v="1"/>
    <x v="3"/>
    <x v="1"/>
    <x v="390"/>
    <x v="389"/>
    <n v="492457"/>
    <x v="11"/>
    <x v="1"/>
    <n v="286931"/>
    <n v="1.1764154027661298"/>
    <x v="390"/>
  </r>
  <r>
    <x v="310"/>
    <x v="2"/>
    <x v="1"/>
    <x v="2"/>
    <x v="391"/>
    <x v="390"/>
    <n v="254544"/>
    <x v="9"/>
    <x v="0"/>
    <n v="190742"/>
    <n v="1.1748892136526494"/>
    <x v="391"/>
  </r>
  <r>
    <x v="311"/>
    <x v="0"/>
    <x v="3"/>
    <x v="1"/>
    <x v="392"/>
    <x v="391"/>
    <n v="31990"/>
    <x v="10"/>
    <x v="10"/>
    <n v="13377"/>
    <n v="0.90678336980306351"/>
    <x v="392"/>
  </r>
  <r>
    <x v="312"/>
    <x v="2"/>
    <x v="3"/>
    <x v="0"/>
    <x v="393"/>
    <x v="392"/>
    <n v="508508"/>
    <x v="8"/>
    <x v="6"/>
    <n v="224609"/>
    <n v="0.87779149983874394"/>
    <x v="393"/>
  </r>
  <r>
    <x v="42"/>
    <x v="1"/>
    <x v="2"/>
    <x v="1"/>
    <x v="394"/>
    <x v="393"/>
    <n v="354969"/>
    <x v="14"/>
    <x v="9"/>
    <n v="189941"/>
    <n v="0.94236961537486374"/>
    <x v="394"/>
  </r>
  <r>
    <x v="313"/>
    <x v="3"/>
    <x v="0"/>
    <x v="0"/>
    <x v="395"/>
    <x v="394"/>
    <n v="27358"/>
    <x v="6"/>
    <x v="7"/>
    <n v="17299"/>
    <n v="0.92740697419402007"/>
    <x v="395"/>
  </r>
  <r>
    <x v="114"/>
    <x v="3"/>
    <x v="2"/>
    <x v="1"/>
    <x v="396"/>
    <x v="395"/>
    <n v="92176"/>
    <x v="8"/>
    <x v="12"/>
    <n v="55536"/>
    <n v="0.95855754209338662"/>
    <x v="396"/>
  </r>
  <r>
    <x v="314"/>
    <x v="2"/>
    <x v="1"/>
    <x v="0"/>
    <x v="397"/>
    <x v="396"/>
    <n v="146065"/>
    <x v="2"/>
    <x v="3"/>
    <n v="85353"/>
    <n v="1.0956971211446958"/>
    <x v="397"/>
  </r>
  <r>
    <x v="315"/>
    <x v="3"/>
    <x v="1"/>
    <x v="0"/>
    <x v="398"/>
    <x v="397"/>
    <n v="536491"/>
    <x v="13"/>
    <x v="15"/>
    <n v="245070"/>
    <n v="0.91186618228451177"/>
    <x v="398"/>
  </r>
  <r>
    <x v="316"/>
    <x v="3"/>
    <x v="0"/>
    <x v="2"/>
    <x v="399"/>
    <x v="398"/>
    <n v="456360"/>
    <x v="4"/>
    <x v="6"/>
    <n v="326308"/>
    <n v="1.0932290297133842"/>
    <x v="399"/>
  </r>
  <r>
    <x v="317"/>
    <x v="3"/>
    <x v="2"/>
    <x v="1"/>
    <x v="400"/>
    <x v="399"/>
    <n v="30148"/>
    <x v="10"/>
    <x v="0"/>
    <n v="16361"/>
    <n v="0.93322940161868118"/>
    <x v="400"/>
  </r>
  <r>
    <x v="69"/>
    <x v="0"/>
    <x v="1"/>
    <x v="2"/>
    <x v="401"/>
    <x v="400"/>
    <n v="281720"/>
    <x v="4"/>
    <x v="12"/>
    <n v="136992"/>
    <n v="1.1588811585971888"/>
    <x v="401"/>
  </r>
  <r>
    <x v="318"/>
    <x v="2"/>
    <x v="2"/>
    <x v="2"/>
    <x v="402"/>
    <x v="401"/>
    <n v="423528"/>
    <x v="6"/>
    <x v="7"/>
    <n v="274718"/>
    <n v="1.0839330575546362"/>
    <x v="402"/>
  </r>
  <r>
    <x v="63"/>
    <x v="2"/>
    <x v="3"/>
    <x v="1"/>
    <x v="403"/>
    <x v="402"/>
    <n v="205896"/>
    <x v="13"/>
    <x v="6"/>
    <n v="90657"/>
    <n v="0.93680790301899985"/>
    <x v="403"/>
  </r>
  <r>
    <x v="112"/>
    <x v="0"/>
    <x v="2"/>
    <x v="2"/>
    <x v="404"/>
    <x v="403"/>
    <n v="416793"/>
    <x v="5"/>
    <x v="12"/>
    <n v="237696"/>
    <n v="1.0750660399766792"/>
    <x v="404"/>
  </r>
  <r>
    <x v="319"/>
    <x v="2"/>
    <x v="1"/>
    <x v="0"/>
    <x v="405"/>
    <x v="404"/>
    <n v="417648"/>
    <x v="9"/>
    <x v="5"/>
    <n v="289481"/>
    <n v="1.1285915412021608"/>
    <x v="405"/>
  </r>
  <r>
    <x v="320"/>
    <x v="3"/>
    <x v="0"/>
    <x v="0"/>
    <x v="406"/>
    <x v="405"/>
    <n v="76499"/>
    <x v="14"/>
    <x v="8"/>
    <n v="39179"/>
    <n v="1.0400266670152551"/>
    <x v="406"/>
  </r>
  <r>
    <x v="277"/>
    <x v="3"/>
    <x v="1"/>
    <x v="1"/>
    <x v="407"/>
    <x v="406"/>
    <n v="278562"/>
    <x v="13"/>
    <x v="12"/>
    <n v="210648"/>
    <n v="1.1667564132939885"/>
    <x v="407"/>
  </r>
  <r>
    <x v="321"/>
    <x v="1"/>
    <x v="0"/>
    <x v="1"/>
    <x v="408"/>
    <x v="407"/>
    <n v="218168"/>
    <x v="5"/>
    <x v="10"/>
    <n v="118121"/>
    <n v="1.1498157383300942"/>
    <x v="408"/>
  </r>
  <r>
    <x v="24"/>
    <x v="2"/>
    <x v="1"/>
    <x v="1"/>
    <x v="409"/>
    <x v="408"/>
    <n v="49894"/>
    <x v="6"/>
    <x v="9"/>
    <n v="17345"/>
    <n v="0.87926403976430034"/>
    <x v="409"/>
  </r>
  <r>
    <x v="322"/>
    <x v="0"/>
    <x v="1"/>
    <x v="2"/>
    <x v="410"/>
    <x v="409"/>
    <n v="289565"/>
    <x v="5"/>
    <x v="5"/>
    <n v="144475"/>
    <n v="0.92329528775922509"/>
    <x v="410"/>
  </r>
  <r>
    <x v="323"/>
    <x v="0"/>
    <x v="3"/>
    <x v="2"/>
    <x v="411"/>
    <x v="410"/>
    <n v="330008"/>
    <x v="9"/>
    <x v="4"/>
    <n v="222264"/>
    <n v="1.0587137281520449"/>
    <x v="411"/>
  </r>
  <r>
    <x v="324"/>
    <x v="3"/>
    <x v="1"/>
    <x v="0"/>
    <x v="412"/>
    <x v="411"/>
    <n v="305099"/>
    <x v="6"/>
    <x v="9"/>
    <n v="159352"/>
    <n v="0.91494891821998758"/>
    <x v="412"/>
  </r>
  <r>
    <x v="205"/>
    <x v="0"/>
    <x v="2"/>
    <x v="1"/>
    <x v="413"/>
    <x v="412"/>
    <n v="25182"/>
    <x v="0"/>
    <x v="5"/>
    <n v="16940"/>
    <n v="1.1512191247716623"/>
    <x v="413"/>
  </r>
  <r>
    <x v="86"/>
    <x v="0"/>
    <x v="1"/>
    <x v="1"/>
    <x v="414"/>
    <x v="413"/>
    <n v="214548"/>
    <x v="11"/>
    <x v="0"/>
    <n v="80412"/>
    <n v="0.87921583981207008"/>
    <x v="414"/>
  </r>
  <r>
    <x v="325"/>
    <x v="0"/>
    <x v="0"/>
    <x v="2"/>
    <x v="415"/>
    <x v="414"/>
    <n v="229182"/>
    <x v="12"/>
    <x v="11"/>
    <n v="97550"/>
    <n v="1.0724926041312144"/>
    <x v="415"/>
  </r>
  <r>
    <x v="164"/>
    <x v="2"/>
    <x v="2"/>
    <x v="2"/>
    <x v="416"/>
    <x v="415"/>
    <n v="334063"/>
    <x v="5"/>
    <x v="3"/>
    <n v="151374"/>
    <n v="1.0166106393105492"/>
    <x v="416"/>
  </r>
  <r>
    <x v="128"/>
    <x v="0"/>
    <x v="0"/>
    <x v="1"/>
    <x v="417"/>
    <x v="416"/>
    <n v="549916"/>
    <x v="9"/>
    <x v="10"/>
    <n v="307211"/>
    <n v="0.90404898202634587"/>
    <x v="417"/>
  </r>
  <r>
    <x v="326"/>
    <x v="3"/>
    <x v="1"/>
    <x v="0"/>
    <x v="418"/>
    <x v="417"/>
    <n v="338494"/>
    <x v="11"/>
    <x v="2"/>
    <n v="146615"/>
    <n v="0.88035533864706617"/>
    <x v="418"/>
  </r>
  <r>
    <x v="327"/>
    <x v="1"/>
    <x v="0"/>
    <x v="1"/>
    <x v="419"/>
    <x v="418"/>
    <n v="307080"/>
    <x v="14"/>
    <x v="3"/>
    <n v="150764"/>
    <n v="1.0938680474143545"/>
    <x v="419"/>
  </r>
  <r>
    <x v="328"/>
    <x v="0"/>
    <x v="1"/>
    <x v="0"/>
    <x v="420"/>
    <x v="419"/>
    <n v="315216"/>
    <x v="2"/>
    <x v="10"/>
    <n v="144746"/>
    <n v="0.94384802801888235"/>
    <x v="420"/>
  </r>
  <r>
    <x v="329"/>
    <x v="2"/>
    <x v="3"/>
    <x v="1"/>
    <x v="421"/>
    <x v="420"/>
    <n v="388084"/>
    <x v="3"/>
    <x v="2"/>
    <n v="195391"/>
    <n v="1.0874166417579698"/>
    <x v="421"/>
  </r>
  <r>
    <x v="330"/>
    <x v="1"/>
    <x v="1"/>
    <x v="2"/>
    <x v="422"/>
    <x v="421"/>
    <n v="83564"/>
    <x v="14"/>
    <x v="15"/>
    <n v="51460"/>
    <n v="1.1714733617347184"/>
    <x v="422"/>
  </r>
  <r>
    <x v="14"/>
    <x v="0"/>
    <x v="1"/>
    <x v="2"/>
    <x v="423"/>
    <x v="422"/>
    <n v="318828"/>
    <x v="5"/>
    <x v="10"/>
    <n v="114938"/>
    <n v="0.91539638927572231"/>
    <x v="423"/>
  </r>
  <r>
    <x v="331"/>
    <x v="0"/>
    <x v="1"/>
    <x v="0"/>
    <x v="424"/>
    <x v="423"/>
    <n v="163570"/>
    <x v="13"/>
    <x v="7"/>
    <n v="78471"/>
    <n v="1.0300482973650424"/>
    <x v="424"/>
  </r>
  <r>
    <x v="317"/>
    <x v="2"/>
    <x v="1"/>
    <x v="1"/>
    <x v="425"/>
    <x v="424"/>
    <n v="43773"/>
    <x v="15"/>
    <x v="13"/>
    <n v="35283"/>
    <n v="1.1581340095492656"/>
    <x v="425"/>
  </r>
  <r>
    <x v="332"/>
    <x v="3"/>
    <x v="2"/>
    <x v="0"/>
    <x v="426"/>
    <x v="425"/>
    <n v="352757"/>
    <x v="7"/>
    <x v="1"/>
    <n v="201712"/>
    <n v="1.0721998429513802"/>
    <x v="426"/>
  </r>
  <r>
    <x v="333"/>
    <x v="0"/>
    <x v="0"/>
    <x v="1"/>
    <x v="427"/>
    <x v="426"/>
    <n v="238757"/>
    <x v="5"/>
    <x v="13"/>
    <n v="154056"/>
    <n v="1.0844582567212688"/>
    <x v="427"/>
  </r>
  <r>
    <x v="332"/>
    <x v="0"/>
    <x v="3"/>
    <x v="2"/>
    <x v="428"/>
    <x v="427"/>
    <n v="381973"/>
    <x v="6"/>
    <x v="10"/>
    <n v="251791"/>
    <n v="1.0886057391491022"/>
    <x v="428"/>
  </r>
  <r>
    <x v="334"/>
    <x v="2"/>
    <x v="1"/>
    <x v="1"/>
    <x v="429"/>
    <x v="428"/>
    <n v="170792"/>
    <x v="2"/>
    <x v="7"/>
    <n v="101864"/>
    <n v="0.98135744062953767"/>
    <x v="429"/>
  </r>
  <r>
    <x v="335"/>
    <x v="2"/>
    <x v="3"/>
    <x v="0"/>
    <x v="430"/>
    <x v="429"/>
    <n v="84622"/>
    <x v="2"/>
    <x v="5"/>
    <n v="49308"/>
    <n v="0.90600553047670818"/>
    <x v="430"/>
  </r>
  <r>
    <x v="336"/>
    <x v="0"/>
    <x v="3"/>
    <x v="2"/>
    <x v="431"/>
    <x v="430"/>
    <n v="375007"/>
    <x v="9"/>
    <x v="5"/>
    <n v="220293"/>
    <n v="1.097288850608122"/>
    <x v="431"/>
  </r>
  <r>
    <x v="337"/>
    <x v="1"/>
    <x v="1"/>
    <x v="0"/>
    <x v="432"/>
    <x v="431"/>
    <n v="400112"/>
    <x v="9"/>
    <x v="9"/>
    <n v="237244"/>
    <n v="1.0424206222257768"/>
    <x v="432"/>
  </r>
  <r>
    <x v="286"/>
    <x v="3"/>
    <x v="3"/>
    <x v="0"/>
    <x v="433"/>
    <x v="432"/>
    <n v="366650"/>
    <x v="4"/>
    <x v="10"/>
    <n v="243524"/>
    <n v="1.0530124096549842"/>
    <x v="433"/>
  </r>
  <r>
    <x v="338"/>
    <x v="0"/>
    <x v="2"/>
    <x v="0"/>
    <x v="434"/>
    <x v="433"/>
    <n v="136231"/>
    <x v="9"/>
    <x v="14"/>
    <n v="82499"/>
    <n v="1.1579229397126938"/>
    <x v="434"/>
  </r>
  <r>
    <x v="100"/>
    <x v="1"/>
    <x v="2"/>
    <x v="1"/>
    <x v="435"/>
    <x v="434"/>
    <n v="193259"/>
    <x v="11"/>
    <x v="14"/>
    <n v="76118"/>
    <n v="1.0256753889857653"/>
    <x v="435"/>
  </r>
  <r>
    <x v="339"/>
    <x v="3"/>
    <x v="2"/>
    <x v="0"/>
    <x v="436"/>
    <x v="435"/>
    <n v="452597"/>
    <x v="13"/>
    <x v="6"/>
    <n v="181284"/>
    <n v="1.0191141346495889"/>
    <x v="436"/>
  </r>
  <r>
    <x v="340"/>
    <x v="1"/>
    <x v="1"/>
    <x v="2"/>
    <x v="437"/>
    <x v="436"/>
    <n v="188956"/>
    <x v="15"/>
    <x v="5"/>
    <n v="109366"/>
    <n v="1.0258737483858675"/>
    <x v="437"/>
  </r>
  <r>
    <x v="82"/>
    <x v="2"/>
    <x v="2"/>
    <x v="1"/>
    <x v="438"/>
    <x v="437"/>
    <n v="409775"/>
    <x v="6"/>
    <x v="3"/>
    <n v="192033"/>
    <n v="1.0402782014520164"/>
    <x v="438"/>
  </r>
  <r>
    <x v="341"/>
    <x v="0"/>
    <x v="1"/>
    <x v="2"/>
    <x v="439"/>
    <x v="438"/>
    <n v="40762"/>
    <x v="8"/>
    <x v="6"/>
    <n v="22055"/>
    <n v="0.95392767773907072"/>
    <x v="439"/>
  </r>
  <r>
    <x v="8"/>
    <x v="0"/>
    <x v="3"/>
    <x v="2"/>
    <x v="440"/>
    <x v="439"/>
    <n v="91470"/>
    <x v="3"/>
    <x v="14"/>
    <n v="40926"/>
    <n v="0.96290587077730405"/>
    <x v="440"/>
  </r>
  <r>
    <x v="342"/>
    <x v="0"/>
    <x v="3"/>
    <x v="1"/>
    <x v="441"/>
    <x v="440"/>
    <n v="283538"/>
    <x v="15"/>
    <x v="7"/>
    <n v="146456"/>
    <n v="0.9223243445323025"/>
    <x v="441"/>
  </r>
  <r>
    <x v="343"/>
    <x v="0"/>
    <x v="0"/>
    <x v="1"/>
    <x v="442"/>
    <x v="441"/>
    <n v="332011"/>
    <x v="8"/>
    <x v="0"/>
    <n v="159278"/>
    <n v="1.1061260018493364"/>
    <x v="442"/>
  </r>
  <r>
    <x v="104"/>
    <x v="3"/>
    <x v="3"/>
    <x v="0"/>
    <x v="443"/>
    <x v="442"/>
    <n v="22584"/>
    <x v="14"/>
    <x v="8"/>
    <n v="15236"/>
    <n v="1.0489284449167553"/>
    <x v="443"/>
  </r>
  <r>
    <x v="344"/>
    <x v="3"/>
    <x v="0"/>
    <x v="1"/>
    <x v="444"/>
    <x v="443"/>
    <n v="64617"/>
    <x v="0"/>
    <x v="6"/>
    <n v="42460"/>
    <n v="1.1145828497144714"/>
    <x v="444"/>
  </r>
  <r>
    <x v="3"/>
    <x v="0"/>
    <x v="1"/>
    <x v="0"/>
    <x v="445"/>
    <x v="444"/>
    <n v="96499"/>
    <x v="3"/>
    <x v="8"/>
    <n v="56534"/>
    <n v="1.0597830029326729"/>
    <x v="445"/>
  </r>
  <r>
    <x v="51"/>
    <x v="0"/>
    <x v="1"/>
    <x v="2"/>
    <x v="446"/>
    <x v="445"/>
    <n v="278148"/>
    <x v="12"/>
    <x v="3"/>
    <n v="197692"/>
    <n v="1.1269971382141881"/>
    <x v="446"/>
  </r>
  <r>
    <x v="267"/>
    <x v="2"/>
    <x v="0"/>
    <x v="0"/>
    <x v="447"/>
    <x v="446"/>
    <n v="489690"/>
    <x v="1"/>
    <x v="15"/>
    <n v="299987"/>
    <n v="0.98626273765035022"/>
    <x v="447"/>
  </r>
  <r>
    <x v="345"/>
    <x v="3"/>
    <x v="0"/>
    <x v="1"/>
    <x v="448"/>
    <x v="447"/>
    <n v="337655"/>
    <x v="12"/>
    <x v="2"/>
    <n v="234920"/>
    <n v="1.1064696213590794"/>
    <x v="448"/>
  </r>
  <r>
    <x v="221"/>
    <x v="1"/>
    <x v="1"/>
    <x v="0"/>
    <x v="449"/>
    <x v="448"/>
    <n v="320621"/>
    <x v="7"/>
    <x v="4"/>
    <n v="190166"/>
    <n v="0.94953855174801405"/>
    <x v="449"/>
  </r>
  <r>
    <x v="124"/>
    <x v="0"/>
    <x v="2"/>
    <x v="0"/>
    <x v="450"/>
    <x v="449"/>
    <n v="214633"/>
    <x v="6"/>
    <x v="7"/>
    <n v="93978"/>
    <n v="1.0594829313292924"/>
    <x v="450"/>
  </r>
  <r>
    <x v="38"/>
    <x v="0"/>
    <x v="3"/>
    <x v="0"/>
    <x v="451"/>
    <x v="450"/>
    <n v="254899"/>
    <x v="5"/>
    <x v="13"/>
    <n v="133925"/>
    <n v="1.1125426149180655"/>
    <x v="451"/>
  </r>
  <r>
    <x v="346"/>
    <x v="2"/>
    <x v="0"/>
    <x v="0"/>
    <x v="452"/>
    <x v="451"/>
    <n v="99909"/>
    <x v="13"/>
    <x v="1"/>
    <n v="69436"/>
    <n v="1.0212893733297301"/>
    <x v="452"/>
  </r>
  <r>
    <x v="49"/>
    <x v="2"/>
    <x v="1"/>
    <x v="0"/>
    <x v="453"/>
    <x v="452"/>
    <n v="100085"/>
    <x v="8"/>
    <x v="2"/>
    <n v="44665"/>
    <n v="0.94943298196532944"/>
    <x v="453"/>
  </r>
  <r>
    <x v="347"/>
    <x v="1"/>
    <x v="1"/>
    <x v="1"/>
    <x v="454"/>
    <x v="453"/>
    <n v="58451"/>
    <x v="5"/>
    <x v="12"/>
    <n v="33476"/>
    <n v="0.96183127748028263"/>
    <x v="454"/>
  </r>
  <r>
    <x v="348"/>
    <x v="0"/>
    <x v="2"/>
    <x v="1"/>
    <x v="455"/>
    <x v="454"/>
    <n v="227842"/>
    <x v="2"/>
    <x v="12"/>
    <n v="116586"/>
    <n v="1.0719314261637451"/>
    <x v="455"/>
  </r>
  <r>
    <x v="349"/>
    <x v="0"/>
    <x v="2"/>
    <x v="2"/>
    <x v="456"/>
    <x v="455"/>
    <n v="130202"/>
    <x v="0"/>
    <x v="4"/>
    <n v="49723"/>
    <n v="0.8762691817329995"/>
    <x v="456"/>
  </r>
  <r>
    <x v="350"/>
    <x v="3"/>
    <x v="0"/>
    <x v="2"/>
    <x v="457"/>
    <x v="456"/>
    <n v="364588"/>
    <x v="2"/>
    <x v="12"/>
    <n v="199050"/>
    <n v="1.0482654393452335"/>
    <x v="457"/>
  </r>
  <r>
    <x v="351"/>
    <x v="2"/>
    <x v="2"/>
    <x v="1"/>
    <x v="458"/>
    <x v="457"/>
    <n v="233288"/>
    <x v="0"/>
    <x v="9"/>
    <n v="119826"/>
    <n v="0.94613524913411751"/>
    <x v="458"/>
  </r>
  <r>
    <x v="352"/>
    <x v="1"/>
    <x v="3"/>
    <x v="1"/>
    <x v="459"/>
    <x v="458"/>
    <n v="460447"/>
    <x v="4"/>
    <x v="6"/>
    <n v="193046"/>
    <n v="1.021333617115542"/>
    <x v="459"/>
  </r>
  <r>
    <x v="348"/>
    <x v="0"/>
    <x v="3"/>
    <x v="0"/>
    <x v="460"/>
    <x v="459"/>
    <n v="166879"/>
    <x v="2"/>
    <x v="11"/>
    <n v="89089"/>
    <n v="0.94238939590961113"/>
    <x v="460"/>
  </r>
  <r>
    <x v="109"/>
    <x v="2"/>
    <x v="0"/>
    <x v="1"/>
    <x v="461"/>
    <x v="460"/>
    <n v="243495"/>
    <x v="14"/>
    <x v="14"/>
    <n v="142626"/>
    <n v="1.0812501283393909"/>
    <x v="461"/>
  </r>
  <r>
    <x v="353"/>
    <x v="3"/>
    <x v="3"/>
    <x v="2"/>
    <x v="462"/>
    <x v="461"/>
    <n v="441469"/>
    <x v="6"/>
    <x v="4"/>
    <n v="273250"/>
    <n v="1.0941832835374625"/>
    <x v="462"/>
  </r>
  <r>
    <x v="354"/>
    <x v="2"/>
    <x v="1"/>
    <x v="2"/>
    <x v="463"/>
    <x v="462"/>
    <n v="91142"/>
    <x v="6"/>
    <x v="9"/>
    <n v="53443"/>
    <n v="1.0355379517675716"/>
    <x v="463"/>
  </r>
  <r>
    <x v="355"/>
    <x v="0"/>
    <x v="3"/>
    <x v="1"/>
    <x v="464"/>
    <x v="463"/>
    <n v="120205"/>
    <x v="15"/>
    <x v="12"/>
    <n v="71034"/>
    <n v="0.96602470779085725"/>
    <x v="464"/>
  </r>
  <r>
    <x v="275"/>
    <x v="0"/>
    <x v="2"/>
    <x v="1"/>
    <x v="465"/>
    <x v="464"/>
    <n v="81010"/>
    <x v="15"/>
    <x v="10"/>
    <n v="47075"/>
    <n v="1.1392297247253425"/>
    <x v="465"/>
  </r>
  <r>
    <x v="46"/>
    <x v="3"/>
    <x v="1"/>
    <x v="0"/>
    <x v="466"/>
    <x v="465"/>
    <n v="215282"/>
    <x v="14"/>
    <x v="12"/>
    <n v="105786"/>
    <n v="0.93718007079086962"/>
    <x v="466"/>
  </r>
  <r>
    <x v="354"/>
    <x v="0"/>
    <x v="0"/>
    <x v="0"/>
    <x v="467"/>
    <x v="466"/>
    <n v="92192"/>
    <x v="4"/>
    <x v="4"/>
    <n v="59923"/>
    <n v="1.0974488024991322"/>
    <x v="467"/>
  </r>
  <r>
    <x v="27"/>
    <x v="1"/>
    <x v="1"/>
    <x v="0"/>
    <x v="468"/>
    <x v="467"/>
    <n v="321013"/>
    <x v="8"/>
    <x v="5"/>
    <n v="179819"/>
    <n v="1.1699432733253794"/>
    <x v="468"/>
  </r>
  <r>
    <x v="101"/>
    <x v="1"/>
    <x v="0"/>
    <x v="2"/>
    <x v="469"/>
    <x v="468"/>
    <n v="315274"/>
    <x v="8"/>
    <x v="11"/>
    <n v="166656"/>
    <n v="0.95069685416494853"/>
    <x v="469"/>
  </r>
  <r>
    <x v="200"/>
    <x v="1"/>
    <x v="2"/>
    <x v="2"/>
    <x v="470"/>
    <x v="469"/>
    <n v="188928"/>
    <x v="11"/>
    <x v="5"/>
    <n v="103493"/>
    <n v="0.88510437838753386"/>
    <x v="470"/>
  </r>
  <r>
    <x v="356"/>
    <x v="1"/>
    <x v="2"/>
    <x v="2"/>
    <x v="471"/>
    <x v="470"/>
    <n v="371607"/>
    <x v="8"/>
    <x v="8"/>
    <n v="225001"/>
    <n v="0.99360883944597389"/>
    <x v="471"/>
  </r>
  <r>
    <x v="12"/>
    <x v="3"/>
    <x v="0"/>
    <x v="1"/>
    <x v="472"/>
    <x v="471"/>
    <n v="402301"/>
    <x v="2"/>
    <x v="10"/>
    <n v="234078"/>
    <n v="1.0745113733249483"/>
    <x v="472"/>
  </r>
  <r>
    <x v="357"/>
    <x v="3"/>
    <x v="0"/>
    <x v="2"/>
    <x v="473"/>
    <x v="472"/>
    <n v="159941"/>
    <x v="9"/>
    <x v="10"/>
    <n v="79474"/>
    <n v="0.96239863449647056"/>
    <x v="473"/>
  </r>
  <r>
    <x v="305"/>
    <x v="2"/>
    <x v="2"/>
    <x v="2"/>
    <x v="474"/>
    <x v="473"/>
    <n v="153967"/>
    <x v="9"/>
    <x v="5"/>
    <n v="54886"/>
    <n v="0.91122773061759987"/>
    <x v="474"/>
  </r>
  <r>
    <x v="294"/>
    <x v="2"/>
    <x v="0"/>
    <x v="1"/>
    <x v="475"/>
    <x v="474"/>
    <n v="98570"/>
    <x v="6"/>
    <x v="8"/>
    <n v="40014"/>
    <n v="1.002688444760069"/>
    <x v="475"/>
  </r>
  <r>
    <x v="81"/>
    <x v="3"/>
    <x v="3"/>
    <x v="0"/>
    <x v="476"/>
    <x v="475"/>
    <n v="21587"/>
    <x v="0"/>
    <x v="6"/>
    <n v="13644"/>
    <n v="1.0775466716079121"/>
    <x v="476"/>
  </r>
  <r>
    <x v="322"/>
    <x v="3"/>
    <x v="2"/>
    <x v="1"/>
    <x v="477"/>
    <x v="476"/>
    <n v="353030"/>
    <x v="3"/>
    <x v="8"/>
    <n v="194263"/>
    <n v="0.91079228394187461"/>
    <x v="477"/>
  </r>
  <r>
    <x v="49"/>
    <x v="3"/>
    <x v="1"/>
    <x v="0"/>
    <x v="478"/>
    <x v="477"/>
    <n v="474405"/>
    <x v="10"/>
    <x v="4"/>
    <n v="268993"/>
    <n v="1.044860404085117"/>
    <x v="478"/>
  </r>
  <r>
    <x v="358"/>
    <x v="0"/>
    <x v="0"/>
    <x v="1"/>
    <x v="479"/>
    <x v="478"/>
    <n v="287366"/>
    <x v="10"/>
    <x v="11"/>
    <n v="163978"/>
    <n v="0.88040338801389173"/>
    <x v="479"/>
  </r>
  <r>
    <x v="359"/>
    <x v="2"/>
    <x v="2"/>
    <x v="0"/>
    <x v="480"/>
    <x v="479"/>
    <n v="361807"/>
    <x v="12"/>
    <x v="7"/>
    <n v="274711"/>
    <n v="1.1450939312948616"/>
    <x v="480"/>
  </r>
  <r>
    <x v="144"/>
    <x v="2"/>
    <x v="0"/>
    <x v="2"/>
    <x v="481"/>
    <x v="480"/>
    <n v="230819"/>
    <x v="2"/>
    <x v="1"/>
    <n v="117548"/>
    <n v="1.0115805024716336"/>
    <x v="481"/>
  </r>
  <r>
    <x v="226"/>
    <x v="3"/>
    <x v="0"/>
    <x v="0"/>
    <x v="482"/>
    <x v="481"/>
    <n v="347732"/>
    <x v="5"/>
    <x v="8"/>
    <n v="145173"/>
    <n v="0.94501512659174303"/>
    <x v="482"/>
  </r>
  <r>
    <x v="360"/>
    <x v="3"/>
    <x v="3"/>
    <x v="1"/>
    <x v="483"/>
    <x v="482"/>
    <n v="491874"/>
    <x v="0"/>
    <x v="7"/>
    <n v="299548"/>
    <n v="0.99554154112638604"/>
    <x v="483"/>
  </r>
  <r>
    <x v="157"/>
    <x v="2"/>
    <x v="0"/>
    <x v="2"/>
    <x v="484"/>
    <x v="483"/>
    <n v="415188"/>
    <x v="0"/>
    <x v="3"/>
    <n v="203392"/>
    <n v="1.0457190477566789"/>
    <x v="484"/>
  </r>
  <r>
    <x v="361"/>
    <x v="3"/>
    <x v="2"/>
    <x v="0"/>
    <x v="485"/>
    <x v="484"/>
    <n v="479380"/>
    <x v="9"/>
    <x v="8"/>
    <n v="200869"/>
    <n v="1.0337957361592056"/>
    <x v="485"/>
  </r>
  <r>
    <x v="278"/>
    <x v="0"/>
    <x v="1"/>
    <x v="0"/>
    <x v="486"/>
    <x v="485"/>
    <n v="311727"/>
    <x v="4"/>
    <x v="5"/>
    <n v="167767"/>
    <n v="0.89973598693728807"/>
    <x v="486"/>
  </r>
  <r>
    <x v="362"/>
    <x v="2"/>
    <x v="0"/>
    <x v="1"/>
    <x v="487"/>
    <x v="486"/>
    <n v="513760"/>
    <x v="11"/>
    <x v="15"/>
    <n v="314931"/>
    <n v="0.96206983805668012"/>
    <x v="487"/>
  </r>
  <r>
    <x v="363"/>
    <x v="0"/>
    <x v="0"/>
    <x v="1"/>
    <x v="488"/>
    <x v="487"/>
    <n v="71841"/>
    <x v="4"/>
    <x v="15"/>
    <n v="38394"/>
    <n v="1.120015033198313"/>
    <x v="488"/>
  </r>
  <r>
    <x v="364"/>
    <x v="3"/>
    <x v="0"/>
    <x v="2"/>
    <x v="489"/>
    <x v="488"/>
    <n v="203290"/>
    <x v="2"/>
    <x v="3"/>
    <n v="92747"/>
    <n v="0.99766835555118305"/>
    <x v="489"/>
  </r>
  <r>
    <x v="96"/>
    <x v="3"/>
    <x v="3"/>
    <x v="1"/>
    <x v="490"/>
    <x v="489"/>
    <n v="148531"/>
    <x v="5"/>
    <x v="15"/>
    <n v="66357"/>
    <n v="0.89631120776134277"/>
    <x v="490"/>
  </r>
  <r>
    <x v="365"/>
    <x v="0"/>
    <x v="0"/>
    <x v="2"/>
    <x v="491"/>
    <x v="490"/>
    <n v="271011"/>
    <x v="12"/>
    <x v="14"/>
    <n v="134098"/>
    <n v="0.90840224197541797"/>
    <x v="491"/>
  </r>
  <r>
    <x v="216"/>
    <x v="3"/>
    <x v="3"/>
    <x v="0"/>
    <x v="492"/>
    <x v="491"/>
    <n v="572438"/>
    <x v="12"/>
    <x v="14"/>
    <n v="310123"/>
    <n v="0.99684157935007811"/>
    <x v="492"/>
  </r>
  <r>
    <x v="284"/>
    <x v="1"/>
    <x v="3"/>
    <x v="0"/>
    <x v="493"/>
    <x v="492"/>
    <n v="86521"/>
    <x v="6"/>
    <x v="11"/>
    <n v="38885"/>
    <n v="0.91654049305948848"/>
    <x v="493"/>
  </r>
  <r>
    <x v="342"/>
    <x v="2"/>
    <x v="1"/>
    <x v="2"/>
    <x v="494"/>
    <x v="493"/>
    <n v="68158"/>
    <x v="11"/>
    <x v="14"/>
    <n v="37458"/>
    <n v="0.90549898764635117"/>
    <x v="494"/>
  </r>
  <r>
    <x v="318"/>
    <x v="3"/>
    <x v="2"/>
    <x v="2"/>
    <x v="495"/>
    <x v="494"/>
    <n v="256181"/>
    <x v="6"/>
    <x v="15"/>
    <n v="187446"/>
    <n v="1.0875904145896846"/>
    <x v="495"/>
  </r>
  <r>
    <x v="153"/>
    <x v="1"/>
    <x v="3"/>
    <x v="2"/>
    <x v="496"/>
    <x v="495"/>
    <n v="506727"/>
    <x v="2"/>
    <x v="2"/>
    <n v="263636"/>
    <n v="0.94162931914028658"/>
    <x v="496"/>
  </r>
  <r>
    <x v="28"/>
    <x v="0"/>
    <x v="3"/>
    <x v="2"/>
    <x v="497"/>
    <x v="496"/>
    <n v="388080"/>
    <x v="12"/>
    <x v="10"/>
    <n v="265274"/>
    <n v="1.0375953411667698"/>
    <x v="497"/>
  </r>
  <r>
    <x v="366"/>
    <x v="3"/>
    <x v="0"/>
    <x v="0"/>
    <x v="498"/>
    <x v="497"/>
    <n v="233628"/>
    <x v="8"/>
    <x v="13"/>
    <n v="145043"/>
    <n v="0.9856823668395911"/>
    <x v="498"/>
  </r>
  <r>
    <x v="367"/>
    <x v="3"/>
    <x v="2"/>
    <x v="2"/>
    <x v="499"/>
    <x v="498"/>
    <n v="477679"/>
    <x v="11"/>
    <x v="2"/>
    <n v="260766"/>
    <n v="0.91667416821756875"/>
    <x v="499"/>
  </r>
  <r>
    <x v="368"/>
    <x v="1"/>
    <x v="0"/>
    <x v="0"/>
    <x v="500"/>
    <x v="499"/>
    <n v="533017"/>
    <x v="5"/>
    <x v="9"/>
    <n v="355365"/>
    <n v="1.1099233232711152"/>
    <x v="500"/>
  </r>
  <r>
    <x v="195"/>
    <x v="2"/>
    <x v="0"/>
    <x v="2"/>
    <x v="501"/>
    <x v="500"/>
    <n v="124443"/>
    <x v="13"/>
    <x v="5"/>
    <n v="65556"/>
    <n v="0.95581109423591526"/>
    <x v="501"/>
  </r>
  <r>
    <x v="369"/>
    <x v="3"/>
    <x v="2"/>
    <x v="2"/>
    <x v="502"/>
    <x v="501"/>
    <n v="489276"/>
    <x v="9"/>
    <x v="9"/>
    <n v="238995"/>
    <n v="0.93903849769864045"/>
    <x v="502"/>
  </r>
  <r>
    <x v="185"/>
    <x v="0"/>
    <x v="3"/>
    <x v="1"/>
    <x v="503"/>
    <x v="502"/>
    <n v="200987"/>
    <x v="6"/>
    <x v="15"/>
    <n v="90572"/>
    <n v="1.0230661684586566"/>
    <x v="503"/>
  </r>
  <r>
    <x v="370"/>
    <x v="1"/>
    <x v="3"/>
    <x v="1"/>
    <x v="504"/>
    <x v="503"/>
    <n v="319621"/>
    <x v="3"/>
    <x v="13"/>
    <n v="142424"/>
    <n v="1.0171327916501105"/>
    <x v="504"/>
  </r>
  <r>
    <x v="350"/>
    <x v="0"/>
    <x v="0"/>
    <x v="2"/>
    <x v="505"/>
    <x v="504"/>
    <n v="488528"/>
    <x v="4"/>
    <x v="14"/>
    <n v="199958"/>
    <n v="0.88361158418760033"/>
    <x v="505"/>
  </r>
  <r>
    <x v="371"/>
    <x v="2"/>
    <x v="0"/>
    <x v="1"/>
    <x v="506"/>
    <x v="505"/>
    <n v="252326"/>
    <x v="4"/>
    <x v="10"/>
    <n v="151656"/>
    <n v="1.0759771089780681"/>
    <x v="506"/>
  </r>
  <r>
    <x v="81"/>
    <x v="0"/>
    <x v="1"/>
    <x v="0"/>
    <x v="507"/>
    <x v="506"/>
    <n v="146964"/>
    <x v="15"/>
    <x v="6"/>
    <n v="85022"/>
    <n v="0.92413107972020359"/>
    <x v="507"/>
  </r>
  <r>
    <x v="32"/>
    <x v="0"/>
    <x v="1"/>
    <x v="1"/>
    <x v="508"/>
    <x v="507"/>
    <n v="13398"/>
    <x v="13"/>
    <x v="5"/>
    <n v="6204"/>
    <n v="1.0261233019853711"/>
    <x v="508"/>
  </r>
  <r>
    <x v="171"/>
    <x v="3"/>
    <x v="1"/>
    <x v="2"/>
    <x v="509"/>
    <x v="508"/>
    <n v="488801"/>
    <x v="13"/>
    <x v="2"/>
    <n v="203887"/>
    <n v="0.89335537365921924"/>
    <x v="509"/>
  </r>
  <r>
    <x v="131"/>
    <x v="0"/>
    <x v="0"/>
    <x v="2"/>
    <x v="510"/>
    <x v="509"/>
    <n v="429721"/>
    <x v="15"/>
    <x v="13"/>
    <n v="244520"/>
    <n v="0.91423272309242509"/>
    <x v="510"/>
  </r>
  <r>
    <x v="98"/>
    <x v="0"/>
    <x v="3"/>
    <x v="0"/>
    <x v="511"/>
    <x v="510"/>
    <n v="459782"/>
    <x v="14"/>
    <x v="5"/>
    <n v="267584"/>
    <n v="0.95031993422970018"/>
    <x v="511"/>
  </r>
  <r>
    <x v="372"/>
    <x v="1"/>
    <x v="3"/>
    <x v="1"/>
    <x v="512"/>
    <x v="511"/>
    <n v="545306"/>
    <x v="13"/>
    <x v="1"/>
    <n v="335889"/>
    <n v="0.89484436261475209"/>
    <x v="512"/>
  </r>
  <r>
    <x v="68"/>
    <x v="0"/>
    <x v="0"/>
    <x v="0"/>
    <x v="513"/>
    <x v="512"/>
    <n v="452340"/>
    <x v="15"/>
    <x v="5"/>
    <n v="262260"/>
    <n v="0.96420612813370477"/>
    <x v="513"/>
  </r>
  <r>
    <x v="271"/>
    <x v="1"/>
    <x v="1"/>
    <x v="0"/>
    <x v="514"/>
    <x v="513"/>
    <n v="416291"/>
    <x v="2"/>
    <x v="3"/>
    <n v="289445"/>
    <n v="1.0262268461244659"/>
    <x v="514"/>
  </r>
  <r>
    <x v="345"/>
    <x v="3"/>
    <x v="1"/>
    <x v="1"/>
    <x v="515"/>
    <x v="514"/>
    <n v="102583"/>
    <x v="0"/>
    <x v="5"/>
    <n v="57672"/>
    <n v="0.94981624635660877"/>
    <x v="515"/>
  </r>
  <r>
    <x v="103"/>
    <x v="0"/>
    <x v="1"/>
    <x v="0"/>
    <x v="516"/>
    <x v="515"/>
    <n v="20280"/>
    <x v="7"/>
    <x v="0"/>
    <n v="10542"/>
    <n v="1.040138067061144"/>
    <x v="516"/>
  </r>
  <r>
    <x v="373"/>
    <x v="1"/>
    <x v="0"/>
    <x v="0"/>
    <x v="517"/>
    <x v="516"/>
    <n v="326185"/>
    <x v="3"/>
    <x v="9"/>
    <n v="154878"/>
    <n v="0.9022732498428806"/>
    <x v="517"/>
  </r>
  <r>
    <x v="374"/>
    <x v="3"/>
    <x v="2"/>
    <x v="0"/>
    <x v="518"/>
    <x v="517"/>
    <n v="437900"/>
    <x v="13"/>
    <x v="10"/>
    <n v="287685"/>
    <n v="1.0430486412422928"/>
    <x v="518"/>
  </r>
  <r>
    <x v="208"/>
    <x v="1"/>
    <x v="0"/>
    <x v="1"/>
    <x v="519"/>
    <x v="518"/>
    <n v="352192"/>
    <x v="8"/>
    <x v="14"/>
    <n v="177990"/>
    <n v="0.87544861893512627"/>
    <x v="519"/>
  </r>
  <r>
    <x v="173"/>
    <x v="1"/>
    <x v="1"/>
    <x v="1"/>
    <x v="520"/>
    <x v="519"/>
    <n v="156993"/>
    <x v="4"/>
    <x v="0"/>
    <n v="95090"/>
    <n v="1.0136375507188218"/>
    <x v="520"/>
  </r>
  <r>
    <x v="375"/>
    <x v="2"/>
    <x v="2"/>
    <x v="2"/>
    <x v="521"/>
    <x v="520"/>
    <n v="474461"/>
    <x v="13"/>
    <x v="1"/>
    <n v="260940"/>
    <n v="0.9434937750415735"/>
    <x v="521"/>
  </r>
  <r>
    <x v="47"/>
    <x v="0"/>
    <x v="2"/>
    <x v="2"/>
    <x v="522"/>
    <x v="521"/>
    <n v="203137"/>
    <x v="0"/>
    <x v="9"/>
    <n v="109787"/>
    <n v="1.0303292851622303"/>
    <x v="522"/>
  </r>
  <r>
    <x v="376"/>
    <x v="2"/>
    <x v="3"/>
    <x v="0"/>
    <x v="523"/>
    <x v="522"/>
    <n v="420321"/>
    <x v="7"/>
    <x v="15"/>
    <n v="241524"/>
    <n v="1.142376897656791"/>
    <x v="523"/>
  </r>
  <r>
    <x v="30"/>
    <x v="1"/>
    <x v="1"/>
    <x v="2"/>
    <x v="524"/>
    <x v="523"/>
    <n v="534344"/>
    <x v="13"/>
    <x v="10"/>
    <n v="213647"/>
    <n v="0.90179547257946191"/>
    <x v="524"/>
  </r>
  <r>
    <x v="377"/>
    <x v="3"/>
    <x v="3"/>
    <x v="0"/>
    <x v="525"/>
    <x v="524"/>
    <n v="396123"/>
    <x v="4"/>
    <x v="3"/>
    <n v="197513"/>
    <n v="1.0930544300633893"/>
    <x v="525"/>
  </r>
  <r>
    <x v="142"/>
    <x v="1"/>
    <x v="0"/>
    <x v="0"/>
    <x v="526"/>
    <x v="525"/>
    <n v="409174"/>
    <x v="8"/>
    <x v="7"/>
    <n v="176793"/>
    <n v="1.0519876629502363"/>
    <x v="526"/>
  </r>
  <r>
    <x v="378"/>
    <x v="0"/>
    <x v="0"/>
    <x v="1"/>
    <x v="527"/>
    <x v="526"/>
    <n v="40189"/>
    <x v="2"/>
    <x v="4"/>
    <n v="30452"/>
    <n v="1.1421782079673541"/>
    <x v="527"/>
  </r>
  <r>
    <x v="364"/>
    <x v="0"/>
    <x v="2"/>
    <x v="2"/>
    <x v="528"/>
    <x v="527"/>
    <n v="485429"/>
    <x v="8"/>
    <x v="12"/>
    <n v="175951"/>
    <n v="0.88283559490677321"/>
    <x v="528"/>
  </r>
  <r>
    <x v="369"/>
    <x v="0"/>
    <x v="3"/>
    <x v="1"/>
    <x v="529"/>
    <x v="528"/>
    <n v="73790"/>
    <x v="9"/>
    <x v="14"/>
    <n v="50676"/>
    <n v="1.0184171296923703"/>
    <x v="529"/>
  </r>
  <r>
    <x v="229"/>
    <x v="1"/>
    <x v="2"/>
    <x v="1"/>
    <x v="530"/>
    <x v="529"/>
    <n v="413016"/>
    <x v="10"/>
    <x v="0"/>
    <n v="189325"/>
    <n v="1.0788201909853372"/>
    <x v="530"/>
  </r>
  <r>
    <x v="204"/>
    <x v="3"/>
    <x v="1"/>
    <x v="1"/>
    <x v="531"/>
    <x v="530"/>
    <n v="343290"/>
    <x v="8"/>
    <x v="6"/>
    <n v="209032"/>
    <n v="0.92332721605639545"/>
    <x v="531"/>
  </r>
  <r>
    <x v="269"/>
    <x v="1"/>
    <x v="2"/>
    <x v="2"/>
    <x v="532"/>
    <x v="531"/>
    <n v="413186"/>
    <x v="0"/>
    <x v="8"/>
    <n v="239492"/>
    <n v="0.96602982676082927"/>
    <x v="532"/>
  </r>
  <r>
    <x v="163"/>
    <x v="2"/>
    <x v="2"/>
    <x v="2"/>
    <x v="533"/>
    <x v="532"/>
    <n v="222923"/>
    <x v="3"/>
    <x v="2"/>
    <n v="84607"/>
    <n v="0.89878119350627794"/>
    <x v="533"/>
  </r>
  <r>
    <x v="12"/>
    <x v="3"/>
    <x v="3"/>
    <x v="2"/>
    <x v="534"/>
    <x v="533"/>
    <n v="237767"/>
    <x v="10"/>
    <x v="0"/>
    <n v="129770"/>
    <n v="1.1022723927206046"/>
    <x v="534"/>
  </r>
  <r>
    <x v="379"/>
    <x v="1"/>
    <x v="1"/>
    <x v="1"/>
    <x v="535"/>
    <x v="534"/>
    <n v="98549"/>
    <x v="13"/>
    <x v="4"/>
    <n v="46397"/>
    <n v="0.98872642035941516"/>
    <x v="535"/>
  </r>
  <r>
    <x v="380"/>
    <x v="3"/>
    <x v="1"/>
    <x v="2"/>
    <x v="536"/>
    <x v="535"/>
    <n v="462881"/>
    <x v="3"/>
    <x v="7"/>
    <n v="232551"/>
    <n v="0.93240811353241981"/>
    <x v="536"/>
  </r>
  <r>
    <x v="178"/>
    <x v="2"/>
    <x v="3"/>
    <x v="0"/>
    <x v="537"/>
    <x v="536"/>
    <n v="321707"/>
    <x v="2"/>
    <x v="13"/>
    <n v="132068"/>
    <n v="0.9437904677237362"/>
    <x v="537"/>
  </r>
  <r>
    <x v="162"/>
    <x v="2"/>
    <x v="1"/>
    <x v="1"/>
    <x v="538"/>
    <x v="537"/>
    <n v="531422"/>
    <x v="11"/>
    <x v="7"/>
    <n v="270480"/>
    <n v="0.9338190741068304"/>
    <x v="538"/>
  </r>
  <r>
    <x v="267"/>
    <x v="1"/>
    <x v="2"/>
    <x v="0"/>
    <x v="539"/>
    <x v="538"/>
    <n v="297231"/>
    <x v="0"/>
    <x v="14"/>
    <n v="193040"/>
    <n v="1.0708674398027123"/>
    <x v="539"/>
  </r>
  <r>
    <x v="152"/>
    <x v="0"/>
    <x v="0"/>
    <x v="2"/>
    <x v="540"/>
    <x v="539"/>
    <n v="62907"/>
    <x v="6"/>
    <x v="9"/>
    <n v="33994"/>
    <n v="1.0288521150269445"/>
    <x v="540"/>
  </r>
  <r>
    <x v="381"/>
    <x v="3"/>
    <x v="2"/>
    <x v="0"/>
    <x v="541"/>
    <x v="540"/>
    <n v="395992"/>
    <x v="12"/>
    <x v="11"/>
    <n v="171546"/>
    <n v="1.0391093759469889"/>
    <x v="541"/>
  </r>
  <r>
    <x v="351"/>
    <x v="0"/>
    <x v="3"/>
    <x v="1"/>
    <x v="542"/>
    <x v="541"/>
    <n v="392156"/>
    <x v="1"/>
    <x v="5"/>
    <n v="224242"/>
    <n v="1.0511990126378279"/>
    <x v="542"/>
  </r>
  <r>
    <x v="46"/>
    <x v="3"/>
    <x v="3"/>
    <x v="2"/>
    <x v="543"/>
    <x v="542"/>
    <n v="250711"/>
    <x v="15"/>
    <x v="4"/>
    <n v="131521"/>
    <n v="0.97401390445572789"/>
    <x v="543"/>
  </r>
  <r>
    <x v="280"/>
    <x v="1"/>
    <x v="2"/>
    <x v="2"/>
    <x v="544"/>
    <x v="543"/>
    <n v="197460"/>
    <x v="9"/>
    <x v="12"/>
    <n v="108855"/>
    <n v="1.0874101083763801"/>
    <x v="544"/>
  </r>
  <r>
    <x v="231"/>
    <x v="0"/>
    <x v="2"/>
    <x v="2"/>
    <x v="545"/>
    <x v="544"/>
    <n v="84070"/>
    <x v="6"/>
    <x v="15"/>
    <n v="53666"/>
    <n v="0.96807422386106812"/>
    <x v="545"/>
  </r>
  <r>
    <x v="84"/>
    <x v="1"/>
    <x v="0"/>
    <x v="0"/>
    <x v="546"/>
    <x v="545"/>
    <n v="409486"/>
    <x v="7"/>
    <x v="1"/>
    <n v="243881"/>
    <n v="0.9427330848917912"/>
    <x v="546"/>
  </r>
  <r>
    <x v="382"/>
    <x v="1"/>
    <x v="0"/>
    <x v="2"/>
    <x v="547"/>
    <x v="546"/>
    <n v="241344"/>
    <x v="12"/>
    <x v="15"/>
    <n v="151086"/>
    <n v="1.0316104813046938"/>
    <x v="547"/>
  </r>
  <r>
    <x v="383"/>
    <x v="3"/>
    <x v="2"/>
    <x v="1"/>
    <x v="548"/>
    <x v="547"/>
    <n v="176141"/>
    <x v="4"/>
    <x v="8"/>
    <n v="111666"/>
    <n v="1.089303455754197"/>
    <x v="548"/>
  </r>
  <r>
    <x v="384"/>
    <x v="2"/>
    <x v="1"/>
    <x v="0"/>
    <x v="549"/>
    <x v="548"/>
    <n v="532603"/>
    <x v="6"/>
    <x v="12"/>
    <n v="229986"/>
    <n v="0.90424575152599596"/>
    <x v="549"/>
  </r>
  <r>
    <x v="6"/>
    <x v="3"/>
    <x v="1"/>
    <x v="0"/>
    <x v="550"/>
    <x v="549"/>
    <n v="303368"/>
    <x v="3"/>
    <x v="13"/>
    <n v="147616"/>
    <n v="1.0517457345534136"/>
    <x v="550"/>
  </r>
  <r>
    <x v="385"/>
    <x v="2"/>
    <x v="0"/>
    <x v="1"/>
    <x v="551"/>
    <x v="550"/>
    <n v="241915"/>
    <x v="5"/>
    <x v="11"/>
    <n v="136428"/>
    <n v="0.96783994378190685"/>
    <x v="551"/>
  </r>
  <r>
    <x v="294"/>
    <x v="1"/>
    <x v="3"/>
    <x v="0"/>
    <x v="552"/>
    <x v="551"/>
    <n v="310640"/>
    <x v="11"/>
    <x v="1"/>
    <n v="138943"/>
    <n v="0.9494720576873551"/>
    <x v="552"/>
  </r>
  <r>
    <x v="386"/>
    <x v="0"/>
    <x v="2"/>
    <x v="2"/>
    <x v="553"/>
    <x v="552"/>
    <n v="25511"/>
    <x v="11"/>
    <x v="6"/>
    <n v="9195"/>
    <n v="0.91070518599819683"/>
    <x v="553"/>
  </r>
  <r>
    <x v="387"/>
    <x v="3"/>
    <x v="3"/>
    <x v="0"/>
    <x v="554"/>
    <x v="553"/>
    <n v="564116"/>
    <x v="4"/>
    <x v="0"/>
    <n v="195744"/>
    <n v="0.87839026015925803"/>
    <x v="554"/>
  </r>
  <r>
    <x v="72"/>
    <x v="1"/>
    <x v="0"/>
    <x v="2"/>
    <x v="555"/>
    <x v="554"/>
    <n v="168406"/>
    <x v="6"/>
    <x v="0"/>
    <n v="73385"/>
    <n v="0.90544279895015622"/>
    <x v="555"/>
  </r>
  <r>
    <x v="184"/>
    <x v="0"/>
    <x v="1"/>
    <x v="2"/>
    <x v="556"/>
    <x v="555"/>
    <n v="387917"/>
    <x v="4"/>
    <x v="10"/>
    <n v="189473"/>
    <n v="1.0134951548913813"/>
    <x v="556"/>
  </r>
  <r>
    <x v="388"/>
    <x v="0"/>
    <x v="3"/>
    <x v="2"/>
    <x v="557"/>
    <x v="556"/>
    <n v="189991"/>
    <x v="10"/>
    <x v="4"/>
    <n v="99062"/>
    <n v="1.1202320109899944"/>
    <x v="557"/>
  </r>
  <r>
    <x v="164"/>
    <x v="0"/>
    <x v="1"/>
    <x v="1"/>
    <x v="558"/>
    <x v="557"/>
    <n v="256255"/>
    <x v="6"/>
    <x v="9"/>
    <n v="115563"/>
    <n v="1.0397689801174612"/>
    <x v="558"/>
  </r>
  <r>
    <x v="2"/>
    <x v="1"/>
    <x v="0"/>
    <x v="0"/>
    <x v="559"/>
    <x v="558"/>
    <n v="282921"/>
    <x v="1"/>
    <x v="0"/>
    <n v="178438"/>
    <n v="1.1171422411203127"/>
    <x v="559"/>
  </r>
  <r>
    <x v="180"/>
    <x v="1"/>
    <x v="2"/>
    <x v="0"/>
    <x v="560"/>
    <x v="559"/>
    <n v="355417"/>
    <x v="15"/>
    <x v="0"/>
    <n v="178726"/>
    <n v="0.95367694848586304"/>
    <x v="560"/>
  </r>
  <r>
    <x v="229"/>
    <x v="2"/>
    <x v="3"/>
    <x v="0"/>
    <x v="561"/>
    <x v="560"/>
    <n v="445295"/>
    <x v="3"/>
    <x v="4"/>
    <n v="272636"/>
    <n v="0.9214385968852109"/>
    <x v="561"/>
  </r>
  <r>
    <x v="388"/>
    <x v="3"/>
    <x v="1"/>
    <x v="2"/>
    <x v="562"/>
    <x v="561"/>
    <n v="336566"/>
    <x v="15"/>
    <x v="13"/>
    <n v="230293"/>
    <n v="1.0449005544232037"/>
    <x v="562"/>
  </r>
  <r>
    <x v="389"/>
    <x v="1"/>
    <x v="1"/>
    <x v="0"/>
    <x v="563"/>
    <x v="562"/>
    <n v="17648"/>
    <x v="6"/>
    <x v="1"/>
    <n v="8785"/>
    <n v="0.93557343608340893"/>
    <x v="563"/>
  </r>
  <r>
    <x v="69"/>
    <x v="3"/>
    <x v="1"/>
    <x v="1"/>
    <x v="564"/>
    <x v="563"/>
    <n v="467381"/>
    <x v="0"/>
    <x v="6"/>
    <n v="207467"/>
    <n v="1.0042748849439751"/>
    <x v="564"/>
  </r>
  <r>
    <x v="212"/>
    <x v="2"/>
    <x v="2"/>
    <x v="2"/>
    <x v="565"/>
    <x v="564"/>
    <n v="56810"/>
    <x v="11"/>
    <x v="14"/>
    <n v="27818"/>
    <n v="1.1299947192395705"/>
    <x v="565"/>
  </r>
  <r>
    <x v="390"/>
    <x v="1"/>
    <x v="1"/>
    <x v="0"/>
    <x v="566"/>
    <x v="565"/>
    <n v="160922"/>
    <x v="13"/>
    <x v="12"/>
    <n v="103739"/>
    <n v="1.1341022358658233"/>
    <x v="566"/>
  </r>
  <r>
    <x v="391"/>
    <x v="0"/>
    <x v="3"/>
    <x v="2"/>
    <x v="567"/>
    <x v="566"/>
    <n v="132490"/>
    <x v="9"/>
    <x v="14"/>
    <n v="100986"/>
    <n v="1.1430975922711148"/>
    <x v="567"/>
  </r>
  <r>
    <x v="163"/>
    <x v="3"/>
    <x v="2"/>
    <x v="1"/>
    <x v="568"/>
    <x v="567"/>
    <n v="384147"/>
    <x v="7"/>
    <x v="8"/>
    <n v="217302"/>
    <n v="1.1394075705394029"/>
    <x v="568"/>
  </r>
  <r>
    <x v="392"/>
    <x v="3"/>
    <x v="3"/>
    <x v="2"/>
    <x v="569"/>
    <x v="568"/>
    <n v="447558"/>
    <x v="11"/>
    <x v="0"/>
    <n v="169064"/>
    <n v="0.9545489076276148"/>
    <x v="569"/>
  </r>
  <r>
    <x v="245"/>
    <x v="3"/>
    <x v="3"/>
    <x v="0"/>
    <x v="570"/>
    <x v="569"/>
    <n v="422919"/>
    <x v="12"/>
    <x v="15"/>
    <n v="194727"/>
    <n v="1.0234749443746911"/>
    <x v="570"/>
  </r>
  <r>
    <x v="393"/>
    <x v="1"/>
    <x v="2"/>
    <x v="1"/>
    <x v="571"/>
    <x v="570"/>
    <n v="314764"/>
    <x v="14"/>
    <x v="5"/>
    <n v="147755"/>
    <n v="1.1303166817043881"/>
    <x v="571"/>
  </r>
  <r>
    <x v="352"/>
    <x v="2"/>
    <x v="1"/>
    <x v="1"/>
    <x v="572"/>
    <x v="571"/>
    <n v="333330"/>
    <x v="12"/>
    <x v="14"/>
    <n v="193954"/>
    <n v="1.0441004410044101"/>
    <x v="572"/>
  </r>
  <r>
    <x v="394"/>
    <x v="2"/>
    <x v="2"/>
    <x v="0"/>
    <x v="573"/>
    <x v="572"/>
    <n v="462052"/>
    <x v="5"/>
    <x v="11"/>
    <n v="299954"/>
    <n v="1.0543488611671414"/>
    <x v="573"/>
  </r>
  <r>
    <x v="395"/>
    <x v="2"/>
    <x v="0"/>
    <x v="2"/>
    <x v="574"/>
    <x v="573"/>
    <n v="202916"/>
    <x v="7"/>
    <x v="11"/>
    <n v="97560"/>
    <n v="1.121232431153778"/>
    <x v="574"/>
  </r>
  <r>
    <x v="203"/>
    <x v="1"/>
    <x v="0"/>
    <x v="1"/>
    <x v="575"/>
    <x v="574"/>
    <n v="10655"/>
    <x v="4"/>
    <x v="7"/>
    <n v="5649"/>
    <n v="1.1695917409666823"/>
    <x v="575"/>
  </r>
  <r>
    <x v="396"/>
    <x v="3"/>
    <x v="3"/>
    <x v="1"/>
    <x v="576"/>
    <x v="575"/>
    <n v="286541"/>
    <x v="0"/>
    <x v="5"/>
    <n v="151675"/>
    <n v="1.0284636404563396"/>
    <x v="576"/>
  </r>
  <r>
    <x v="397"/>
    <x v="2"/>
    <x v="2"/>
    <x v="1"/>
    <x v="577"/>
    <x v="576"/>
    <n v="14165"/>
    <x v="11"/>
    <x v="15"/>
    <n v="6812"/>
    <n v="1.0849276385457112"/>
    <x v="577"/>
  </r>
  <r>
    <x v="398"/>
    <x v="1"/>
    <x v="3"/>
    <x v="0"/>
    <x v="578"/>
    <x v="577"/>
    <n v="100935"/>
    <x v="2"/>
    <x v="3"/>
    <n v="49951"/>
    <n v="0.98502996978253332"/>
    <x v="578"/>
  </r>
  <r>
    <x v="50"/>
    <x v="0"/>
    <x v="1"/>
    <x v="1"/>
    <x v="579"/>
    <x v="578"/>
    <n v="335969"/>
    <x v="3"/>
    <x v="1"/>
    <n v="197620"/>
    <n v="0.87821197789081729"/>
    <x v="579"/>
  </r>
  <r>
    <x v="223"/>
    <x v="3"/>
    <x v="2"/>
    <x v="2"/>
    <x v="580"/>
    <x v="579"/>
    <n v="257585"/>
    <x v="9"/>
    <x v="11"/>
    <n v="128761"/>
    <n v="1.092792670380651"/>
    <x v="580"/>
  </r>
  <r>
    <x v="148"/>
    <x v="0"/>
    <x v="1"/>
    <x v="2"/>
    <x v="581"/>
    <x v="580"/>
    <n v="155619"/>
    <x v="15"/>
    <x v="15"/>
    <n v="68413"/>
    <n v="0.9945507939261915"/>
    <x v="581"/>
  </r>
  <r>
    <x v="367"/>
    <x v="0"/>
    <x v="3"/>
    <x v="0"/>
    <x v="582"/>
    <x v="581"/>
    <n v="76571"/>
    <x v="8"/>
    <x v="14"/>
    <n v="33239"/>
    <n v="0.90830732261561165"/>
    <x v="582"/>
  </r>
  <r>
    <x v="184"/>
    <x v="1"/>
    <x v="2"/>
    <x v="1"/>
    <x v="583"/>
    <x v="582"/>
    <n v="287578"/>
    <x v="11"/>
    <x v="2"/>
    <n v="131253"/>
    <n v="0.92961214001071013"/>
    <x v="583"/>
  </r>
  <r>
    <x v="392"/>
    <x v="3"/>
    <x v="0"/>
    <x v="0"/>
    <x v="584"/>
    <x v="583"/>
    <n v="205342"/>
    <x v="12"/>
    <x v="13"/>
    <n v="148240"/>
    <n v="1.1186557060903273"/>
    <x v="584"/>
  </r>
  <r>
    <x v="64"/>
    <x v="3"/>
    <x v="2"/>
    <x v="1"/>
    <x v="585"/>
    <x v="584"/>
    <n v="113722"/>
    <x v="3"/>
    <x v="6"/>
    <n v="47968"/>
    <n v="0.90640333444716059"/>
    <x v="585"/>
  </r>
  <r>
    <x v="381"/>
    <x v="3"/>
    <x v="0"/>
    <x v="2"/>
    <x v="586"/>
    <x v="585"/>
    <n v="172055"/>
    <x v="9"/>
    <x v="6"/>
    <n v="97343"/>
    <n v="1.1603905727819592"/>
    <x v="586"/>
  </r>
  <r>
    <x v="399"/>
    <x v="1"/>
    <x v="0"/>
    <x v="0"/>
    <x v="587"/>
    <x v="586"/>
    <n v="65635"/>
    <x v="4"/>
    <x v="1"/>
    <n v="42566"/>
    <n v="1.0485107031309515"/>
    <x v="587"/>
  </r>
  <r>
    <x v="400"/>
    <x v="1"/>
    <x v="2"/>
    <x v="1"/>
    <x v="588"/>
    <x v="587"/>
    <n v="272033"/>
    <x v="1"/>
    <x v="6"/>
    <n v="182859"/>
    <n v="1.0755276014307087"/>
    <x v="588"/>
  </r>
  <r>
    <x v="179"/>
    <x v="3"/>
    <x v="1"/>
    <x v="0"/>
    <x v="589"/>
    <x v="588"/>
    <n v="236192"/>
    <x v="5"/>
    <x v="1"/>
    <n v="132805"/>
    <n v="1.0623094770356321"/>
    <x v="589"/>
  </r>
  <r>
    <x v="66"/>
    <x v="1"/>
    <x v="0"/>
    <x v="0"/>
    <x v="590"/>
    <x v="589"/>
    <n v="297004"/>
    <x v="12"/>
    <x v="5"/>
    <n v="137555"/>
    <n v="0.88882641311228128"/>
    <x v="590"/>
  </r>
  <r>
    <x v="385"/>
    <x v="0"/>
    <x v="1"/>
    <x v="0"/>
    <x v="591"/>
    <x v="590"/>
    <n v="312600"/>
    <x v="2"/>
    <x v="4"/>
    <n v="232651"/>
    <n v="1.1425463851567499"/>
    <x v="591"/>
  </r>
  <r>
    <x v="401"/>
    <x v="1"/>
    <x v="0"/>
    <x v="1"/>
    <x v="592"/>
    <x v="591"/>
    <n v="385764"/>
    <x v="9"/>
    <x v="3"/>
    <n v="247506"/>
    <n v="1.1124651341234537"/>
    <x v="592"/>
  </r>
  <r>
    <x v="402"/>
    <x v="3"/>
    <x v="0"/>
    <x v="2"/>
    <x v="593"/>
    <x v="592"/>
    <n v="329936"/>
    <x v="13"/>
    <x v="8"/>
    <n v="153815"/>
    <n v="1.0876169923864023"/>
    <x v="593"/>
  </r>
  <r>
    <x v="403"/>
    <x v="2"/>
    <x v="2"/>
    <x v="2"/>
    <x v="594"/>
    <x v="593"/>
    <n v="477283"/>
    <x v="7"/>
    <x v="3"/>
    <n v="285654"/>
    <n v="1.1646926456630553"/>
    <x v="594"/>
  </r>
  <r>
    <x v="275"/>
    <x v="3"/>
    <x v="1"/>
    <x v="0"/>
    <x v="595"/>
    <x v="594"/>
    <n v="170480"/>
    <x v="2"/>
    <x v="5"/>
    <n v="63787"/>
    <n v="0.97417878930079771"/>
    <x v="595"/>
  </r>
  <r>
    <x v="404"/>
    <x v="2"/>
    <x v="3"/>
    <x v="0"/>
    <x v="596"/>
    <x v="595"/>
    <n v="374535"/>
    <x v="11"/>
    <x v="0"/>
    <n v="255786"/>
    <n v="1.0390537599957281"/>
    <x v="596"/>
  </r>
  <r>
    <x v="346"/>
    <x v="3"/>
    <x v="2"/>
    <x v="0"/>
    <x v="597"/>
    <x v="596"/>
    <n v="430246"/>
    <x v="12"/>
    <x v="5"/>
    <n v="205928"/>
    <n v="1.0895348242633285"/>
    <x v="597"/>
  </r>
  <r>
    <x v="323"/>
    <x v="0"/>
    <x v="1"/>
    <x v="2"/>
    <x v="598"/>
    <x v="597"/>
    <n v="203947"/>
    <x v="5"/>
    <x v="5"/>
    <n v="147581"/>
    <n v="1.1427870966476585"/>
    <x v="598"/>
  </r>
  <r>
    <x v="364"/>
    <x v="3"/>
    <x v="1"/>
    <x v="1"/>
    <x v="599"/>
    <x v="598"/>
    <n v="385787"/>
    <x v="11"/>
    <x v="15"/>
    <n v="189761"/>
    <n v="1.0326631016597241"/>
    <x v="599"/>
  </r>
  <r>
    <x v="324"/>
    <x v="2"/>
    <x v="0"/>
    <x v="1"/>
    <x v="600"/>
    <x v="599"/>
    <n v="125568"/>
    <x v="10"/>
    <x v="15"/>
    <n v="56786"/>
    <n v="1.0747483435270133"/>
    <x v="600"/>
  </r>
  <r>
    <x v="162"/>
    <x v="0"/>
    <x v="2"/>
    <x v="1"/>
    <x v="601"/>
    <x v="600"/>
    <n v="361087"/>
    <x v="12"/>
    <x v="12"/>
    <n v="216158"/>
    <n v="1.0512397289295932"/>
    <x v="601"/>
  </r>
  <r>
    <x v="194"/>
    <x v="2"/>
    <x v="2"/>
    <x v="1"/>
    <x v="602"/>
    <x v="601"/>
    <n v="355549"/>
    <x v="0"/>
    <x v="12"/>
    <n v="195523"/>
    <n v="1.1278642324967867"/>
    <x v="602"/>
  </r>
  <r>
    <x v="98"/>
    <x v="2"/>
    <x v="1"/>
    <x v="0"/>
    <x v="603"/>
    <x v="602"/>
    <n v="71643"/>
    <x v="0"/>
    <x v="2"/>
    <n v="45637"/>
    <n v="1.0318942534511397"/>
    <x v="603"/>
  </r>
  <r>
    <x v="192"/>
    <x v="1"/>
    <x v="0"/>
    <x v="2"/>
    <x v="604"/>
    <x v="603"/>
    <n v="31960"/>
    <x v="1"/>
    <x v="12"/>
    <n v="17370"/>
    <n v="1.1437108886107634"/>
    <x v="604"/>
  </r>
  <r>
    <x v="248"/>
    <x v="1"/>
    <x v="3"/>
    <x v="0"/>
    <x v="605"/>
    <x v="604"/>
    <n v="364615"/>
    <x v="1"/>
    <x v="14"/>
    <n v="187714"/>
    <n v="0.96027316484511061"/>
    <x v="605"/>
  </r>
  <r>
    <x v="405"/>
    <x v="2"/>
    <x v="3"/>
    <x v="2"/>
    <x v="606"/>
    <x v="605"/>
    <n v="339428"/>
    <x v="6"/>
    <x v="2"/>
    <n v="233072"/>
    <n v="1.0983507547992506"/>
    <x v="606"/>
  </r>
  <r>
    <x v="189"/>
    <x v="0"/>
    <x v="0"/>
    <x v="0"/>
    <x v="607"/>
    <x v="606"/>
    <n v="149366"/>
    <x v="12"/>
    <x v="7"/>
    <n v="109354"/>
    <n v="1.169784288258372"/>
    <x v="607"/>
  </r>
  <r>
    <x v="406"/>
    <x v="3"/>
    <x v="0"/>
    <x v="0"/>
    <x v="608"/>
    <x v="607"/>
    <n v="85183"/>
    <x v="15"/>
    <x v="2"/>
    <n v="42748"/>
    <n v="1.0951833112240705"/>
    <x v="608"/>
  </r>
  <r>
    <x v="22"/>
    <x v="2"/>
    <x v="1"/>
    <x v="0"/>
    <x v="609"/>
    <x v="608"/>
    <n v="488590"/>
    <x v="10"/>
    <x v="13"/>
    <n v="265590"/>
    <n v="0.90574305655048204"/>
    <x v="609"/>
  </r>
  <r>
    <x v="12"/>
    <x v="1"/>
    <x v="0"/>
    <x v="2"/>
    <x v="610"/>
    <x v="609"/>
    <n v="13303"/>
    <x v="2"/>
    <x v="1"/>
    <n v="7868"/>
    <n v="0.97789972186724794"/>
    <x v="610"/>
  </r>
  <r>
    <x v="374"/>
    <x v="0"/>
    <x v="0"/>
    <x v="1"/>
    <x v="611"/>
    <x v="610"/>
    <n v="324447"/>
    <x v="4"/>
    <x v="9"/>
    <n v="226400"/>
    <n v="1.0558057248179209"/>
    <x v="611"/>
  </r>
  <r>
    <x v="21"/>
    <x v="2"/>
    <x v="3"/>
    <x v="1"/>
    <x v="612"/>
    <x v="611"/>
    <n v="168314"/>
    <x v="0"/>
    <x v="6"/>
    <n v="67713"/>
    <n v="0.94302910037192389"/>
    <x v="612"/>
  </r>
  <r>
    <x v="216"/>
    <x v="2"/>
    <x v="1"/>
    <x v="2"/>
    <x v="613"/>
    <x v="612"/>
    <n v="123775"/>
    <x v="7"/>
    <x v="0"/>
    <n v="61130"/>
    <n v="1.1650252474247627"/>
    <x v="613"/>
  </r>
  <r>
    <x v="244"/>
    <x v="2"/>
    <x v="1"/>
    <x v="0"/>
    <x v="614"/>
    <x v="613"/>
    <n v="116267"/>
    <x v="9"/>
    <x v="3"/>
    <n v="72210"/>
    <n v="1.1081648275090954"/>
    <x v="614"/>
  </r>
  <r>
    <x v="407"/>
    <x v="3"/>
    <x v="2"/>
    <x v="2"/>
    <x v="615"/>
    <x v="614"/>
    <n v="17854"/>
    <x v="11"/>
    <x v="5"/>
    <n v="11154"/>
    <n v="0.97748403719054555"/>
    <x v="615"/>
  </r>
  <r>
    <x v="408"/>
    <x v="3"/>
    <x v="2"/>
    <x v="2"/>
    <x v="616"/>
    <x v="615"/>
    <n v="144897"/>
    <x v="6"/>
    <x v="7"/>
    <n v="87076"/>
    <n v="1.0501045570301664"/>
    <x v="616"/>
  </r>
  <r>
    <x v="327"/>
    <x v="2"/>
    <x v="1"/>
    <x v="2"/>
    <x v="617"/>
    <x v="616"/>
    <n v="99986"/>
    <x v="12"/>
    <x v="5"/>
    <n v="51896"/>
    <n v="0.89279499129878181"/>
    <x v="617"/>
  </r>
  <r>
    <x v="223"/>
    <x v="0"/>
    <x v="2"/>
    <x v="2"/>
    <x v="618"/>
    <x v="617"/>
    <n v="200285"/>
    <x v="5"/>
    <x v="8"/>
    <n v="83490"/>
    <n v="1.0734403475048055"/>
    <x v="618"/>
  </r>
  <r>
    <x v="353"/>
    <x v="3"/>
    <x v="1"/>
    <x v="0"/>
    <x v="619"/>
    <x v="618"/>
    <n v="366820"/>
    <x v="10"/>
    <x v="8"/>
    <n v="134858"/>
    <n v="0.93577503952892427"/>
    <x v="619"/>
  </r>
  <r>
    <x v="409"/>
    <x v="2"/>
    <x v="0"/>
    <x v="0"/>
    <x v="620"/>
    <x v="619"/>
    <n v="223947"/>
    <x v="3"/>
    <x v="9"/>
    <n v="148500"/>
    <n v="1.0119403251662225"/>
    <x v="620"/>
  </r>
  <r>
    <x v="93"/>
    <x v="1"/>
    <x v="1"/>
    <x v="0"/>
    <x v="621"/>
    <x v="620"/>
    <n v="227011"/>
    <x v="14"/>
    <x v="2"/>
    <n v="154837"/>
    <n v="1.1293505601050169"/>
    <x v="621"/>
  </r>
  <r>
    <x v="410"/>
    <x v="1"/>
    <x v="0"/>
    <x v="0"/>
    <x v="622"/>
    <x v="621"/>
    <n v="124271"/>
    <x v="13"/>
    <x v="6"/>
    <n v="47415"/>
    <n v="0.91359206894609357"/>
    <x v="622"/>
  </r>
  <r>
    <x v="411"/>
    <x v="1"/>
    <x v="0"/>
    <x v="1"/>
    <x v="623"/>
    <x v="622"/>
    <n v="68248"/>
    <x v="4"/>
    <x v="6"/>
    <n v="44807"/>
    <n v="1.0360450123080529"/>
    <x v="623"/>
  </r>
  <r>
    <x v="68"/>
    <x v="1"/>
    <x v="0"/>
    <x v="0"/>
    <x v="624"/>
    <x v="623"/>
    <n v="259985"/>
    <x v="12"/>
    <x v="12"/>
    <n v="129472"/>
    <n v="1.1437582937477162"/>
    <x v="624"/>
  </r>
  <r>
    <x v="23"/>
    <x v="0"/>
    <x v="3"/>
    <x v="1"/>
    <x v="625"/>
    <x v="624"/>
    <n v="27252"/>
    <x v="3"/>
    <x v="4"/>
    <n v="9799"/>
    <n v="0.89494349038602672"/>
    <x v="625"/>
  </r>
  <r>
    <x v="207"/>
    <x v="3"/>
    <x v="3"/>
    <x v="1"/>
    <x v="626"/>
    <x v="625"/>
    <n v="107818"/>
    <x v="4"/>
    <x v="15"/>
    <n v="66501"/>
    <n v="0.97305644697545868"/>
    <x v="626"/>
  </r>
  <r>
    <x v="176"/>
    <x v="1"/>
    <x v="1"/>
    <x v="0"/>
    <x v="627"/>
    <x v="626"/>
    <n v="506895"/>
    <x v="9"/>
    <x v="10"/>
    <n v="206306"/>
    <n v="0.97867211158129397"/>
    <x v="627"/>
  </r>
  <r>
    <x v="412"/>
    <x v="0"/>
    <x v="3"/>
    <x v="2"/>
    <x v="628"/>
    <x v="627"/>
    <n v="268131"/>
    <x v="4"/>
    <x v="6"/>
    <n v="103323"/>
    <n v="0.92242224882613344"/>
    <x v="628"/>
  </r>
  <r>
    <x v="413"/>
    <x v="2"/>
    <x v="1"/>
    <x v="0"/>
    <x v="629"/>
    <x v="628"/>
    <n v="163333"/>
    <x v="6"/>
    <x v="10"/>
    <n v="80755"/>
    <n v="1.1265574011375534"/>
    <x v="629"/>
  </r>
  <r>
    <x v="414"/>
    <x v="2"/>
    <x v="3"/>
    <x v="0"/>
    <x v="630"/>
    <x v="629"/>
    <n v="73017"/>
    <x v="1"/>
    <x v="12"/>
    <n v="39146"/>
    <n v="0.90932248654422942"/>
    <x v="630"/>
  </r>
  <r>
    <x v="81"/>
    <x v="1"/>
    <x v="3"/>
    <x v="2"/>
    <x v="631"/>
    <x v="630"/>
    <n v="300645"/>
    <x v="3"/>
    <x v="4"/>
    <n v="218919"/>
    <n v="1.159457167090755"/>
    <x v="631"/>
  </r>
  <r>
    <x v="397"/>
    <x v="2"/>
    <x v="2"/>
    <x v="2"/>
    <x v="632"/>
    <x v="631"/>
    <n v="505541"/>
    <x v="15"/>
    <x v="3"/>
    <n v="315170"/>
    <n v="0.97566962916954314"/>
    <x v="632"/>
  </r>
  <r>
    <x v="269"/>
    <x v="1"/>
    <x v="3"/>
    <x v="0"/>
    <x v="633"/>
    <x v="632"/>
    <n v="501597"/>
    <x v="10"/>
    <x v="14"/>
    <n v="275650"/>
    <n v="0.92495569152128099"/>
    <x v="633"/>
  </r>
  <r>
    <x v="343"/>
    <x v="3"/>
    <x v="0"/>
    <x v="2"/>
    <x v="634"/>
    <x v="633"/>
    <n v="446423"/>
    <x v="12"/>
    <x v="0"/>
    <n v="259141"/>
    <n v="0.87523268290388267"/>
    <x v="634"/>
  </r>
  <r>
    <x v="23"/>
    <x v="3"/>
    <x v="1"/>
    <x v="2"/>
    <x v="635"/>
    <x v="634"/>
    <n v="316981"/>
    <x v="10"/>
    <x v="10"/>
    <n v="198467"/>
    <n v="0.94982033623466389"/>
    <x v="635"/>
  </r>
  <r>
    <x v="415"/>
    <x v="2"/>
    <x v="0"/>
    <x v="0"/>
    <x v="636"/>
    <x v="635"/>
    <n v="492408"/>
    <x v="12"/>
    <x v="9"/>
    <n v="284968"/>
    <n v="1.0485633864600088"/>
    <x v="636"/>
  </r>
  <r>
    <x v="416"/>
    <x v="1"/>
    <x v="0"/>
    <x v="2"/>
    <x v="637"/>
    <x v="636"/>
    <n v="296687"/>
    <x v="3"/>
    <x v="3"/>
    <n v="153189"/>
    <n v="0.87007856764873415"/>
    <x v="637"/>
  </r>
  <r>
    <x v="247"/>
    <x v="0"/>
    <x v="0"/>
    <x v="1"/>
    <x v="638"/>
    <x v="637"/>
    <n v="151512"/>
    <x v="2"/>
    <x v="11"/>
    <n v="99353"/>
    <n v="1.0262289455620677"/>
    <x v="638"/>
  </r>
  <r>
    <x v="347"/>
    <x v="3"/>
    <x v="1"/>
    <x v="2"/>
    <x v="639"/>
    <x v="638"/>
    <n v="199430"/>
    <x v="6"/>
    <x v="4"/>
    <n v="72990"/>
    <n v="0.91397984255127107"/>
    <x v="639"/>
  </r>
  <r>
    <x v="334"/>
    <x v="3"/>
    <x v="2"/>
    <x v="1"/>
    <x v="640"/>
    <x v="639"/>
    <n v="298568"/>
    <x v="7"/>
    <x v="4"/>
    <n v="152169"/>
    <n v="0.97036520993542508"/>
    <x v="640"/>
  </r>
  <r>
    <x v="176"/>
    <x v="3"/>
    <x v="1"/>
    <x v="1"/>
    <x v="641"/>
    <x v="640"/>
    <n v="385035"/>
    <x v="4"/>
    <x v="13"/>
    <n v="152167"/>
    <n v="0.96526030101159632"/>
    <x v="641"/>
  </r>
  <r>
    <x v="417"/>
    <x v="3"/>
    <x v="3"/>
    <x v="2"/>
    <x v="642"/>
    <x v="641"/>
    <n v="365428"/>
    <x v="12"/>
    <x v="15"/>
    <n v="210409"/>
    <n v="1.0486114911829416"/>
    <x v="642"/>
  </r>
  <r>
    <x v="418"/>
    <x v="1"/>
    <x v="3"/>
    <x v="2"/>
    <x v="643"/>
    <x v="642"/>
    <n v="225942"/>
    <x v="11"/>
    <x v="13"/>
    <n v="91224"/>
    <n v="0.89796496445990559"/>
    <x v="643"/>
  </r>
  <r>
    <x v="148"/>
    <x v="1"/>
    <x v="1"/>
    <x v="1"/>
    <x v="644"/>
    <x v="643"/>
    <n v="237321"/>
    <x v="7"/>
    <x v="8"/>
    <n v="147672"/>
    <n v="0.92890220418757719"/>
    <x v="644"/>
  </r>
  <r>
    <x v="419"/>
    <x v="2"/>
    <x v="2"/>
    <x v="2"/>
    <x v="645"/>
    <x v="644"/>
    <n v="161065"/>
    <x v="9"/>
    <x v="9"/>
    <n v="93014"/>
    <n v="0.92162791419613199"/>
    <x v="645"/>
  </r>
  <r>
    <x v="131"/>
    <x v="3"/>
    <x v="0"/>
    <x v="0"/>
    <x v="646"/>
    <x v="645"/>
    <n v="53821"/>
    <x v="15"/>
    <x v="4"/>
    <n v="40123"/>
    <n v="1.1072443841623159"/>
    <x v="646"/>
  </r>
  <r>
    <x v="420"/>
    <x v="0"/>
    <x v="2"/>
    <x v="0"/>
    <x v="647"/>
    <x v="646"/>
    <n v="292994"/>
    <x v="4"/>
    <x v="13"/>
    <n v="148260"/>
    <n v="0.8843457545205704"/>
    <x v="647"/>
  </r>
  <r>
    <x v="165"/>
    <x v="2"/>
    <x v="0"/>
    <x v="2"/>
    <x v="648"/>
    <x v="647"/>
    <n v="618008"/>
    <x v="9"/>
    <x v="6"/>
    <n v="234843"/>
    <n v="0.91381341341859657"/>
    <x v="648"/>
  </r>
  <r>
    <x v="266"/>
    <x v="3"/>
    <x v="3"/>
    <x v="2"/>
    <x v="649"/>
    <x v="648"/>
    <n v="169739"/>
    <x v="7"/>
    <x v="8"/>
    <n v="98408"/>
    <n v="1.154242690247969"/>
    <x v="649"/>
  </r>
  <r>
    <x v="421"/>
    <x v="2"/>
    <x v="1"/>
    <x v="2"/>
    <x v="650"/>
    <x v="649"/>
    <n v="124789"/>
    <x v="12"/>
    <x v="9"/>
    <n v="44685"/>
    <n v="0.91229194880959064"/>
    <x v="650"/>
  </r>
  <r>
    <x v="382"/>
    <x v="0"/>
    <x v="0"/>
    <x v="2"/>
    <x v="651"/>
    <x v="650"/>
    <n v="583226"/>
    <x v="7"/>
    <x v="0"/>
    <n v="293482"/>
    <n v="0.91092989681529968"/>
    <x v="651"/>
  </r>
  <r>
    <x v="422"/>
    <x v="1"/>
    <x v="0"/>
    <x v="1"/>
    <x v="652"/>
    <x v="651"/>
    <n v="351747"/>
    <x v="7"/>
    <x v="10"/>
    <n v="231891"/>
    <n v="0.98781794869607986"/>
    <x v="652"/>
  </r>
  <r>
    <x v="195"/>
    <x v="1"/>
    <x v="3"/>
    <x v="1"/>
    <x v="653"/>
    <x v="652"/>
    <n v="286183"/>
    <x v="7"/>
    <x v="4"/>
    <n v="144251"/>
    <n v="1.1522417474133684"/>
    <x v="653"/>
  </r>
  <r>
    <x v="292"/>
    <x v="3"/>
    <x v="1"/>
    <x v="0"/>
    <x v="654"/>
    <x v="653"/>
    <n v="339286"/>
    <x v="3"/>
    <x v="10"/>
    <n v="225131"/>
    <n v="1.1441232470541078"/>
    <x v="654"/>
  </r>
  <r>
    <x v="351"/>
    <x v="1"/>
    <x v="2"/>
    <x v="1"/>
    <x v="655"/>
    <x v="654"/>
    <n v="469219"/>
    <x v="11"/>
    <x v="3"/>
    <n v="199117"/>
    <n v="1.0316334163791321"/>
    <x v="655"/>
  </r>
  <r>
    <x v="423"/>
    <x v="1"/>
    <x v="1"/>
    <x v="0"/>
    <x v="656"/>
    <x v="655"/>
    <n v="268675"/>
    <x v="14"/>
    <x v="12"/>
    <n v="169091"/>
    <n v="1.1734363078068297"/>
    <x v="656"/>
  </r>
  <r>
    <x v="367"/>
    <x v="1"/>
    <x v="1"/>
    <x v="1"/>
    <x v="657"/>
    <x v="656"/>
    <n v="308606"/>
    <x v="0"/>
    <x v="2"/>
    <n v="143269"/>
    <n v="1.0782486406615555"/>
    <x v="657"/>
  </r>
  <r>
    <x v="65"/>
    <x v="1"/>
    <x v="3"/>
    <x v="2"/>
    <x v="658"/>
    <x v="657"/>
    <n v="328049"/>
    <x v="3"/>
    <x v="14"/>
    <n v="213224"/>
    <n v="0.99258647336221117"/>
    <x v="658"/>
  </r>
  <r>
    <x v="215"/>
    <x v="1"/>
    <x v="1"/>
    <x v="2"/>
    <x v="659"/>
    <x v="658"/>
    <n v="277348"/>
    <x v="1"/>
    <x v="0"/>
    <n v="127869"/>
    <n v="0.88411309978799202"/>
    <x v="659"/>
  </r>
  <r>
    <x v="161"/>
    <x v="2"/>
    <x v="2"/>
    <x v="2"/>
    <x v="660"/>
    <x v="659"/>
    <n v="282516"/>
    <x v="8"/>
    <x v="10"/>
    <n v="155244"/>
    <n v="0.93577354910872301"/>
    <x v="660"/>
  </r>
  <r>
    <x v="19"/>
    <x v="3"/>
    <x v="3"/>
    <x v="2"/>
    <x v="661"/>
    <x v="660"/>
    <n v="54932"/>
    <x v="8"/>
    <x v="13"/>
    <n v="36566"/>
    <n v="1.1099359207747761"/>
    <x v="661"/>
  </r>
  <r>
    <x v="424"/>
    <x v="1"/>
    <x v="1"/>
    <x v="0"/>
    <x v="662"/>
    <x v="661"/>
    <n v="469603"/>
    <x v="14"/>
    <x v="0"/>
    <n v="266884"/>
    <n v="0.97667178446475"/>
    <x v="662"/>
  </r>
  <r>
    <x v="425"/>
    <x v="2"/>
    <x v="1"/>
    <x v="0"/>
    <x v="663"/>
    <x v="662"/>
    <n v="120148"/>
    <x v="3"/>
    <x v="2"/>
    <n v="89518"/>
    <n v="1.1306804940573294"/>
    <x v="663"/>
  </r>
  <r>
    <x v="426"/>
    <x v="3"/>
    <x v="1"/>
    <x v="2"/>
    <x v="664"/>
    <x v="663"/>
    <n v="527901"/>
    <x v="0"/>
    <x v="5"/>
    <n v="223409"/>
    <n v="0.97436640582230383"/>
    <x v="664"/>
  </r>
  <r>
    <x v="362"/>
    <x v="1"/>
    <x v="1"/>
    <x v="0"/>
    <x v="665"/>
    <x v="664"/>
    <n v="188961"/>
    <x v="13"/>
    <x v="13"/>
    <n v="106099"/>
    <n v="0.9576367610247617"/>
    <x v="665"/>
  </r>
  <r>
    <x v="181"/>
    <x v="2"/>
    <x v="2"/>
    <x v="2"/>
    <x v="666"/>
    <x v="665"/>
    <n v="245207"/>
    <x v="1"/>
    <x v="0"/>
    <n v="127481"/>
    <n v="1.0278540172181054"/>
    <x v="666"/>
  </r>
  <r>
    <x v="391"/>
    <x v="0"/>
    <x v="2"/>
    <x v="0"/>
    <x v="667"/>
    <x v="666"/>
    <n v="371381"/>
    <x v="7"/>
    <x v="9"/>
    <n v="227266"/>
    <n v="1.0245893031684443"/>
    <x v="667"/>
  </r>
  <r>
    <x v="273"/>
    <x v="1"/>
    <x v="1"/>
    <x v="1"/>
    <x v="668"/>
    <x v="667"/>
    <n v="362472"/>
    <x v="4"/>
    <x v="1"/>
    <n v="222979"/>
    <n v="0.89522225164978264"/>
    <x v="668"/>
  </r>
  <r>
    <x v="427"/>
    <x v="0"/>
    <x v="2"/>
    <x v="1"/>
    <x v="669"/>
    <x v="668"/>
    <n v="306904"/>
    <x v="7"/>
    <x v="8"/>
    <n v="197552"/>
    <n v="1.1524027057320856"/>
    <x v="669"/>
  </r>
  <r>
    <x v="283"/>
    <x v="0"/>
    <x v="0"/>
    <x v="2"/>
    <x v="670"/>
    <x v="669"/>
    <n v="414849"/>
    <x v="3"/>
    <x v="9"/>
    <n v="242465"/>
    <n v="0.97891763027029111"/>
    <x v="670"/>
  </r>
  <r>
    <x v="428"/>
    <x v="3"/>
    <x v="0"/>
    <x v="1"/>
    <x v="671"/>
    <x v="670"/>
    <n v="43135"/>
    <x v="15"/>
    <x v="8"/>
    <n v="19318"/>
    <n v="0.9352266141184653"/>
    <x v="671"/>
  </r>
  <r>
    <x v="228"/>
    <x v="2"/>
    <x v="0"/>
    <x v="0"/>
    <x v="672"/>
    <x v="671"/>
    <n v="14985"/>
    <x v="10"/>
    <x v="1"/>
    <n v="9832"/>
    <n v="1.0993660326993659"/>
    <x v="672"/>
  </r>
  <r>
    <x v="429"/>
    <x v="0"/>
    <x v="3"/>
    <x v="0"/>
    <x v="673"/>
    <x v="672"/>
    <n v="255794"/>
    <x v="11"/>
    <x v="3"/>
    <n v="118558"/>
    <n v="0.92245713347459279"/>
    <x v="673"/>
  </r>
  <r>
    <x v="18"/>
    <x v="1"/>
    <x v="0"/>
    <x v="1"/>
    <x v="674"/>
    <x v="673"/>
    <n v="48091"/>
    <x v="7"/>
    <x v="14"/>
    <n v="27982"/>
    <n v="0.93414568214426819"/>
    <x v="674"/>
  </r>
  <r>
    <x v="430"/>
    <x v="3"/>
    <x v="3"/>
    <x v="1"/>
    <x v="675"/>
    <x v="674"/>
    <n v="439405"/>
    <x v="5"/>
    <x v="7"/>
    <n v="170363"/>
    <n v="0.94499835004153343"/>
    <x v="675"/>
  </r>
  <r>
    <x v="207"/>
    <x v="2"/>
    <x v="0"/>
    <x v="2"/>
    <x v="676"/>
    <x v="675"/>
    <n v="237318"/>
    <x v="0"/>
    <x v="6"/>
    <n v="104754"/>
    <n v="1.0575261884897058"/>
    <x v="676"/>
  </r>
  <r>
    <x v="13"/>
    <x v="3"/>
    <x v="3"/>
    <x v="1"/>
    <x v="677"/>
    <x v="676"/>
    <n v="504598"/>
    <x v="2"/>
    <x v="3"/>
    <n v="290138"/>
    <n v="0.98506732091684868"/>
    <x v="677"/>
  </r>
  <r>
    <x v="431"/>
    <x v="2"/>
    <x v="0"/>
    <x v="1"/>
    <x v="678"/>
    <x v="677"/>
    <n v="508150"/>
    <x v="7"/>
    <x v="11"/>
    <n v="248862"/>
    <n v="0.89509790416215684"/>
    <x v="678"/>
  </r>
  <r>
    <x v="432"/>
    <x v="3"/>
    <x v="1"/>
    <x v="2"/>
    <x v="679"/>
    <x v="678"/>
    <n v="372506"/>
    <x v="9"/>
    <x v="14"/>
    <n v="228899"/>
    <n v="1.1059070189473459"/>
    <x v="679"/>
  </r>
  <r>
    <x v="352"/>
    <x v="2"/>
    <x v="2"/>
    <x v="1"/>
    <x v="680"/>
    <x v="679"/>
    <n v="366187"/>
    <x v="8"/>
    <x v="7"/>
    <n v="184027"/>
    <n v="0.96653349245057851"/>
    <x v="680"/>
  </r>
  <r>
    <x v="341"/>
    <x v="1"/>
    <x v="2"/>
    <x v="2"/>
    <x v="681"/>
    <x v="680"/>
    <n v="53897"/>
    <x v="2"/>
    <x v="14"/>
    <n v="25837"/>
    <n v="1.0695400486112399"/>
    <x v="681"/>
  </r>
  <r>
    <x v="299"/>
    <x v="1"/>
    <x v="3"/>
    <x v="0"/>
    <x v="682"/>
    <x v="681"/>
    <n v="317881"/>
    <x v="9"/>
    <x v="14"/>
    <n v="161520"/>
    <n v="1.0660309990216466"/>
    <x v="682"/>
  </r>
  <r>
    <x v="212"/>
    <x v="1"/>
    <x v="0"/>
    <x v="1"/>
    <x v="683"/>
    <x v="682"/>
    <n v="111710"/>
    <x v="4"/>
    <x v="7"/>
    <n v="59788"/>
    <n v="0.95337928565034469"/>
    <x v="683"/>
  </r>
  <r>
    <x v="17"/>
    <x v="0"/>
    <x v="2"/>
    <x v="1"/>
    <x v="684"/>
    <x v="683"/>
    <n v="320624"/>
    <x v="8"/>
    <x v="15"/>
    <n v="133027"/>
    <n v="0.89772755626528267"/>
    <x v="684"/>
  </r>
  <r>
    <x v="433"/>
    <x v="0"/>
    <x v="0"/>
    <x v="2"/>
    <x v="685"/>
    <x v="684"/>
    <n v="415023"/>
    <x v="13"/>
    <x v="10"/>
    <n v="207734"/>
    <n v="1.1217836119925884"/>
    <x v="685"/>
  </r>
  <r>
    <x v="269"/>
    <x v="3"/>
    <x v="1"/>
    <x v="1"/>
    <x v="686"/>
    <x v="685"/>
    <n v="254814"/>
    <x v="10"/>
    <x v="9"/>
    <n v="143106"/>
    <n v="0.92764526281915438"/>
    <x v="686"/>
  </r>
  <r>
    <x v="28"/>
    <x v="1"/>
    <x v="3"/>
    <x v="0"/>
    <x v="687"/>
    <x v="686"/>
    <n v="450860"/>
    <x v="13"/>
    <x v="8"/>
    <n v="236063"/>
    <n v="1.0393026660160583"/>
    <x v="687"/>
  </r>
  <r>
    <x v="102"/>
    <x v="1"/>
    <x v="2"/>
    <x v="0"/>
    <x v="688"/>
    <x v="687"/>
    <n v="479332"/>
    <x v="7"/>
    <x v="15"/>
    <n v="259003"/>
    <n v="0.93563542596780525"/>
    <x v="688"/>
  </r>
  <r>
    <x v="434"/>
    <x v="1"/>
    <x v="2"/>
    <x v="0"/>
    <x v="689"/>
    <x v="688"/>
    <n v="261218"/>
    <x v="15"/>
    <x v="3"/>
    <n v="131225"/>
    <n v="0.95825325972942144"/>
    <x v="689"/>
  </r>
  <r>
    <x v="226"/>
    <x v="1"/>
    <x v="1"/>
    <x v="0"/>
    <x v="690"/>
    <x v="689"/>
    <n v="530330"/>
    <x v="12"/>
    <x v="5"/>
    <n v="314455"/>
    <n v="0.91439292515980619"/>
    <x v="690"/>
  </r>
  <r>
    <x v="325"/>
    <x v="3"/>
    <x v="1"/>
    <x v="0"/>
    <x v="691"/>
    <x v="690"/>
    <n v="267360"/>
    <x v="4"/>
    <x v="8"/>
    <n v="110014"/>
    <n v="0.95482495511669663"/>
    <x v="691"/>
  </r>
  <r>
    <x v="435"/>
    <x v="1"/>
    <x v="0"/>
    <x v="1"/>
    <x v="692"/>
    <x v="691"/>
    <n v="245166"/>
    <x v="8"/>
    <x v="5"/>
    <n v="101371"/>
    <n v="0.91431519868170952"/>
    <x v="692"/>
  </r>
  <r>
    <x v="436"/>
    <x v="0"/>
    <x v="3"/>
    <x v="2"/>
    <x v="693"/>
    <x v="692"/>
    <n v="130913"/>
    <x v="12"/>
    <x v="5"/>
    <n v="76549"/>
    <n v="0.89977313177453733"/>
    <x v="693"/>
  </r>
  <r>
    <x v="58"/>
    <x v="3"/>
    <x v="2"/>
    <x v="2"/>
    <x v="694"/>
    <x v="693"/>
    <n v="326658"/>
    <x v="11"/>
    <x v="6"/>
    <n v="204621"/>
    <n v="1.0532054932069626"/>
    <x v="694"/>
  </r>
  <r>
    <x v="437"/>
    <x v="1"/>
    <x v="2"/>
    <x v="0"/>
    <x v="695"/>
    <x v="694"/>
    <n v="385191"/>
    <x v="13"/>
    <x v="11"/>
    <n v="165142"/>
    <n v="0.91682827480392848"/>
    <x v="695"/>
  </r>
  <r>
    <x v="87"/>
    <x v="1"/>
    <x v="2"/>
    <x v="1"/>
    <x v="696"/>
    <x v="695"/>
    <n v="183690"/>
    <x v="13"/>
    <x v="0"/>
    <n v="74037"/>
    <n v="0.88255756981871636"/>
    <x v="696"/>
  </r>
  <r>
    <x v="438"/>
    <x v="0"/>
    <x v="2"/>
    <x v="0"/>
    <x v="697"/>
    <x v="696"/>
    <n v="108656"/>
    <x v="8"/>
    <x v="14"/>
    <n v="71777"/>
    <n v="0.97148799882197023"/>
    <x v="697"/>
  </r>
  <r>
    <x v="270"/>
    <x v="1"/>
    <x v="3"/>
    <x v="0"/>
    <x v="698"/>
    <x v="697"/>
    <n v="206168"/>
    <x v="3"/>
    <x v="15"/>
    <n v="75886"/>
    <n v="0.9387586822397268"/>
    <x v="698"/>
  </r>
  <r>
    <x v="439"/>
    <x v="1"/>
    <x v="1"/>
    <x v="0"/>
    <x v="699"/>
    <x v="698"/>
    <n v="296438"/>
    <x v="5"/>
    <x v="10"/>
    <n v="184329"/>
    <n v="0.98554166469885773"/>
    <x v="699"/>
  </r>
  <r>
    <x v="440"/>
    <x v="3"/>
    <x v="0"/>
    <x v="0"/>
    <x v="700"/>
    <x v="699"/>
    <n v="317400"/>
    <x v="12"/>
    <x v="1"/>
    <n v="155512"/>
    <n v="0.91023944549464397"/>
    <x v="700"/>
  </r>
  <r>
    <x v="441"/>
    <x v="1"/>
    <x v="2"/>
    <x v="0"/>
    <x v="701"/>
    <x v="700"/>
    <n v="505256"/>
    <x v="10"/>
    <x v="11"/>
    <n v="274454"/>
    <n v="0.94419264689583104"/>
    <x v="701"/>
  </r>
  <r>
    <x v="442"/>
    <x v="0"/>
    <x v="3"/>
    <x v="2"/>
    <x v="702"/>
    <x v="701"/>
    <n v="243182"/>
    <x v="6"/>
    <x v="6"/>
    <n v="184581"/>
    <n v="1.1571950226579271"/>
    <x v="702"/>
  </r>
  <r>
    <x v="170"/>
    <x v="2"/>
    <x v="1"/>
    <x v="0"/>
    <x v="703"/>
    <x v="702"/>
    <n v="216959"/>
    <x v="12"/>
    <x v="11"/>
    <n v="151636"/>
    <n v="1.0644177010402887"/>
    <x v="703"/>
  </r>
  <r>
    <x v="228"/>
    <x v="3"/>
    <x v="1"/>
    <x v="2"/>
    <x v="704"/>
    <x v="703"/>
    <n v="80557"/>
    <x v="9"/>
    <x v="1"/>
    <n v="43349"/>
    <n v="1.1536055215561651"/>
    <x v="704"/>
  </r>
  <r>
    <x v="443"/>
    <x v="3"/>
    <x v="0"/>
    <x v="2"/>
    <x v="705"/>
    <x v="704"/>
    <n v="382932"/>
    <x v="0"/>
    <x v="6"/>
    <n v="235455"/>
    <n v="1.1628200307104133"/>
    <x v="705"/>
  </r>
  <r>
    <x v="98"/>
    <x v="2"/>
    <x v="1"/>
    <x v="0"/>
    <x v="706"/>
    <x v="705"/>
    <n v="429815"/>
    <x v="2"/>
    <x v="7"/>
    <n v="246933"/>
    <n v="0.97218803438688739"/>
    <x v="706"/>
  </r>
  <r>
    <x v="444"/>
    <x v="3"/>
    <x v="0"/>
    <x v="2"/>
    <x v="707"/>
    <x v="706"/>
    <n v="162645"/>
    <x v="2"/>
    <x v="7"/>
    <n v="99348"/>
    <n v="0.95728734360109435"/>
    <x v="707"/>
  </r>
  <r>
    <x v="231"/>
    <x v="0"/>
    <x v="2"/>
    <x v="0"/>
    <x v="708"/>
    <x v="707"/>
    <n v="168495"/>
    <x v="7"/>
    <x v="12"/>
    <n v="97556"/>
    <n v="1.0567969375945874"/>
    <x v="708"/>
  </r>
  <r>
    <x v="445"/>
    <x v="3"/>
    <x v="1"/>
    <x v="0"/>
    <x v="709"/>
    <x v="708"/>
    <n v="199172"/>
    <x v="5"/>
    <x v="7"/>
    <n v="92537"/>
    <n v="1.0250035145502381"/>
    <x v="709"/>
  </r>
  <r>
    <x v="446"/>
    <x v="1"/>
    <x v="1"/>
    <x v="2"/>
    <x v="710"/>
    <x v="709"/>
    <n v="37410"/>
    <x v="0"/>
    <x v="6"/>
    <n v="25458"/>
    <n v="1.1106923282544774"/>
    <x v="710"/>
  </r>
  <r>
    <x v="220"/>
    <x v="2"/>
    <x v="3"/>
    <x v="1"/>
    <x v="711"/>
    <x v="710"/>
    <n v="127206"/>
    <x v="8"/>
    <x v="0"/>
    <n v="65945"/>
    <n v="1.0838325236230995"/>
    <x v="711"/>
  </r>
  <r>
    <x v="447"/>
    <x v="0"/>
    <x v="0"/>
    <x v="2"/>
    <x v="712"/>
    <x v="711"/>
    <n v="50405"/>
    <x v="5"/>
    <x v="8"/>
    <n v="17501"/>
    <n v="0.87086598551730976"/>
    <x v="712"/>
  </r>
  <r>
    <x v="409"/>
    <x v="2"/>
    <x v="2"/>
    <x v="1"/>
    <x v="713"/>
    <x v="712"/>
    <n v="378352"/>
    <x v="4"/>
    <x v="6"/>
    <n v="189464"/>
    <n v="1.0170317587854696"/>
    <x v="713"/>
  </r>
  <r>
    <x v="448"/>
    <x v="3"/>
    <x v="3"/>
    <x v="2"/>
    <x v="714"/>
    <x v="713"/>
    <n v="331340"/>
    <x v="3"/>
    <x v="6"/>
    <n v="120183"/>
    <n v="0.92300959739240662"/>
    <x v="714"/>
  </r>
  <r>
    <x v="364"/>
    <x v="0"/>
    <x v="2"/>
    <x v="2"/>
    <x v="715"/>
    <x v="714"/>
    <n v="250505"/>
    <x v="13"/>
    <x v="0"/>
    <n v="108501"/>
    <n v="0.92187381489391429"/>
    <x v="715"/>
  </r>
  <r>
    <x v="358"/>
    <x v="2"/>
    <x v="3"/>
    <x v="1"/>
    <x v="716"/>
    <x v="715"/>
    <n v="314870"/>
    <x v="9"/>
    <x v="14"/>
    <n v="125196"/>
    <n v="1.0298218312319369"/>
    <x v="716"/>
  </r>
  <r>
    <x v="449"/>
    <x v="2"/>
    <x v="1"/>
    <x v="0"/>
    <x v="717"/>
    <x v="716"/>
    <n v="442506"/>
    <x v="8"/>
    <x v="6"/>
    <n v="222367"/>
    <n v="1.0868756581831658"/>
    <x v="717"/>
  </r>
  <r>
    <x v="219"/>
    <x v="2"/>
    <x v="3"/>
    <x v="1"/>
    <x v="718"/>
    <x v="717"/>
    <n v="495323"/>
    <x v="6"/>
    <x v="11"/>
    <n v="216804"/>
    <n v="0.8986580473751471"/>
    <x v="718"/>
  </r>
  <r>
    <x v="450"/>
    <x v="1"/>
    <x v="0"/>
    <x v="2"/>
    <x v="719"/>
    <x v="718"/>
    <n v="423437"/>
    <x v="9"/>
    <x v="1"/>
    <n v="334637"/>
    <n v="1.1519848289119752"/>
    <x v="719"/>
  </r>
  <r>
    <x v="231"/>
    <x v="2"/>
    <x v="2"/>
    <x v="0"/>
    <x v="720"/>
    <x v="719"/>
    <n v="467438"/>
    <x v="0"/>
    <x v="0"/>
    <n v="189923"/>
    <n v="0.9611028628395637"/>
    <x v="720"/>
  </r>
  <r>
    <x v="451"/>
    <x v="1"/>
    <x v="2"/>
    <x v="1"/>
    <x v="721"/>
    <x v="720"/>
    <n v="65874"/>
    <x v="5"/>
    <x v="12"/>
    <n v="48603"/>
    <n v="1.1291860217991925"/>
    <x v="721"/>
  </r>
  <r>
    <x v="265"/>
    <x v="3"/>
    <x v="0"/>
    <x v="0"/>
    <x v="722"/>
    <x v="721"/>
    <n v="273166"/>
    <x v="12"/>
    <x v="6"/>
    <n v="107240"/>
    <n v="0.99647833185681967"/>
    <x v="722"/>
  </r>
  <r>
    <x v="257"/>
    <x v="0"/>
    <x v="3"/>
    <x v="1"/>
    <x v="723"/>
    <x v="722"/>
    <n v="184114"/>
    <x v="9"/>
    <x v="10"/>
    <n v="130828"/>
    <n v="1.0991885462267943"/>
    <x v="723"/>
  </r>
  <r>
    <x v="452"/>
    <x v="2"/>
    <x v="0"/>
    <x v="2"/>
    <x v="724"/>
    <x v="723"/>
    <n v="80712"/>
    <x v="3"/>
    <x v="3"/>
    <n v="53876"/>
    <n v="1.1009887005649717"/>
    <x v="724"/>
  </r>
  <r>
    <x v="453"/>
    <x v="2"/>
    <x v="2"/>
    <x v="1"/>
    <x v="725"/>
    <x v="724"/>
    <n v="108655"/>
    <x v="2"/>
    <x v="5"/>
    <n v="66480"/>
    <n v="1.1412544291565045"/>
    <x v="725"/>
  </r>
  <r>
    <x v="360"/>
    <x v="3"/>
    <x v="3"/>
    <x v="0"/>
    <x v="726"/>
    <x v="725"/>
    <n v="315461"/>
    <x v="10"/>
    <x v="15"/>
    <n v="184013"/>
    <n v="0.88021340197361952"/>
    <x v="726"/>
  </r>
  <r>
    <x v="58"/>
    <x v="3"/>
    <x v="3"/>
    <x v="0"/>
    <x v="727"/>
    <x v="726"/>
    <n v="130323"/>
    <x v="0"/>
    <x v="7"/>
    <n v="52461"/>
    <n v="0.92674355255787544"/>
    <x v="727"/>
  </r>
  <r>
    <x v="409"/>
    <x v="2"/>
    <x v="3"/>
    <x v="2"/>
    <x v="728"/>
    <x v="727"/>
    <n v="52893"/>
    <x v="3"/>
    <x v="5"/>
    <n v="28511"/>
    <n v="0.96156391204885339"/>
    <x v="728"/>
  </r>
  <r>
    <x v="344"/>
    <x v="1"/>
    <x v="3"/>
    <x v="0"/>
    <x v="729"/>
    <x v="728"/>
    <n v="75110"/>
    <x v="12"/>
    <x v="2"/>
    <n v="38579"/>
    <n v="0.88713886300093192"/>
    <x v="729"/>
  </r>
  <r>
    <x v="253"/>
    <x v="2"/>
    <x v="1"/>
    <x v="2"/>
    <x v="730"/>
    <x v="729"/>
    <n v="14416"/>
    <x v="2"/>
    <x v="4"/>
    <n v="7390"/>
    <n v="0.9138457269700333"/>
    <x v="730"/>
  </r>
  <r>
    <x v="394"/>
    <x v="3"/>
    <x v="2"/>
    <x v="0"/>
    <x v="731"/>
    <x v="730"/>
    <n v="263710"/>
    <x v="7"/>
    <x v="5"/>
    <n v="116822"/>
    <n v="0.95892457623905047"/>
    <x v="731"/>
  </r>
  <r>
    <x v="186"/>
    <x v="0"/>
    <x v="3"/>
    <x v="2"/>
    <x v="732"/>
    <x v="731"/>
    <n v="107957"/>
    <x v="12"/>
    <x v="9"/>
    <n v="47863"/>
    <n v="1.0093833655992663"/>
    <x v="732"/>
  </r>
  <r>
    <x v="167"/>
    <x v="1"/>
    <x v="1"/>
    <x v="2"/>
    <x v="733"/>
    <x v="732"/>
    <n v="87474"/>
    <x v="14"/>
    <x v="15"/>
    <n v="39701"/>
    <n v="0.94773304067494346"/>
    <x v="733"/>
  </r>
  <r>
    <x v="454"/>
    <x v="2"/>
    <x v="0"/>
    <x v="0"/>
    <x v="734"/>
    <x v="733"/>
    <n v="328262"/>
    <x v="8"/>
    <x v="2"/>
    <n v="150274"/>
    <n v="1.0351517994772468"/>
    <x v="734"/>
  </r>
  <r>
    <x v="455"/>
    <x v="2"/>
    <x v="1"/>
    <x v="1"/>
    <x v="735"/>
    <x v="734"/>
    <n v="171613"/>
    <x v="0"/>
    <x v="14"/>
    <n v="66533"/>
    <n v="1.0048655987600006"/>
    <x v="735"/>
  </r>
  <r>
    <x v="260"/>
    <x v="0"/>
    <x v="0"/>
    <x v="1"/>
    <x v="736"/>
    <x v="735"/>
    <n v="296778"/>
    <x v="15"/>
    <x v="13"/>
    <n v="223869"/>
    <n v="1.0968063670487704"/>
    <x v="736"/>
  </r>
  <r>
    <x v="233"/>
    <x v="2"/>
    <x v="3"/>
    <x v="1"/>
    <x v="737"/>
    <x v="736"/>
    <n v="156569"/>
    <x v="6"/>
    <x v="1"/>
    <n v="79799"/>
    <n v="1.1112736237697118"/>
    <x v="737"/>
  </r>
  <r>
    <x v="298"/>
    <x v="3"/>
    <x v="0"/>
    <x v="2"/>
    <x v="738"/>
    <x v="737"/>
    <n v="294425"/>
    <x v="15"/>
    <x v="15"/>
    <n v="123837"/>
    <n v="0.88057739662053158"/>
    <x v="738"/>
  </r>
  <r>
    <x v="347"/>
    <x v="1"/>
    <x v="1"/>
    <x v="1"/>
    <x v="739"/>
    <x v="738"/>
    <n v="319461"/>
    <x v="13"/>
    <x v="5"/>
    <n v="182172"/>
    <n v="1.0929284012758991"/>
    <x v="739"/>
  </r>
  <r>
    <x v="456"/>
    <x v="3"/>
    <x v="2"/>
    <x v="2"/>
    <x v="740"/>
    <x v="739"/>
    <n v="163641"/>
    <x v="5"/>
    <x v="9"/>
    <n v="84184"/>
    <n v="0.91007143686484437"/>
    <x v="740"/>
  </r>
  <r>
    <x v="231"/>
    <x v="0"/>
    <x v="0"/>
    <x v="1"/>
    <x v="741"/>
    <x v="740"/>
    <n v="282596"/>
    <x v="12"/>
    <x v="5"/>
    <n v="153000"/>
    <n v="0.9183675635890105"/>
    <x v="741"/>
  </r>
  <r>
    <x v="420"/>
    <x v="0"/>
    <x v="1"/>
    <x v="1"/>
    <x v="742"/>
    <x v="741"/>
    <n v="355365"/>
    <x v="8"/>
    <x v="8"/>
    <n v="171749"/>
    <n v="0.98679948785051985"/>
    <x v="742"/>
  </r>
  <r>
    <x v="371"/>
    <x v="3"/>
    <x v="0"/>
    <x v="2"/>
    <x v="743"/>
    <x v="742"/>
    <n v="40809"/>
    <x v="3"/>
    <x v="2"/>
    <n v="19359"/>
    <n v="0.97559361905462028"/>
    <x v="743"/>
  </r>
  <r>
    <x v="457"/>
    <x v="0"/>
    <x v="1"/>
    <x v="0"/>
    <x v="744"/>
    <x v="743"/>
    <n v="407752"/>
    <x v="9"/>
    <x v="11"/>
    <n v="240614"/>
    <n v="1.0974317722537228"/>
    <x v="744"/>
  </r>
  <r>
    <x v="456"/>
    <x v="3"/>
    <x v="0"/>
    <x v="0"/>
    <x v="745"/>
    <x v="744"/>
    <n v="203063"/>
    <x v="7"/>
    <x v="12"/>
    <n v="116005"/>
    <n v="1.0322806222699359"/>
    <x v="745"/>
  </r>
  <r>
    <x v="143"/>
    <x v="2"/>
    <x v="0"/>
    <x v="2"/>
    <x v="746"/>
    <x v="745"/>
    <n v="115180"/>
    <x v="0"/>
    <x v="11"/>
    <n v="52633"/>
    <n v="1.0162441396075708"/>
    <x v="746"/>
  </r>
  <r>
    <x v="458"/>
    <x v="2"/>
    <x v="0"/>
    <x v="0"/>
    <x v="747"/>
    <x v="746"/>
    <n v="202550"/>
    <x v="0"/>
    <x v="1"/>
    <n v="130032"/>
    <n v="0.98503085657862255"/>
    <x v="747"/>
  </r>
  <r>
    <x v="459"/>
    <x v="2"/>
    <x v="3"/>
    <x v="0"/>
    <x v="748"/>
    <x v="747"/>
    <n v="227139"/>
    <x v="10"/>
    <x v="2"/>
    <n v="147259"/>
    <n v="0.97840969626528251"/>
    <x v="748"/>
  </r>
  <r>
    <x v="203"/>
    <x v="2"/>
    <x v="2"/>
    <x v="1"/>
    <x v="749"/>
    <x v="748"/>
    <n v="285800"/>
    <x v="7"/>
    <x v="13"/>
    <n v="129584"/>
    <n v="0.91347445766270119"/>
    <x v="749"/>
  </r>
  <r>
    <x v="460"/>
    <x v="0"/>
    <x v="3"/>
    <x v="0"/>
    <x v="750"/>
    <x v="749"/>
    <n v="153935"/>
    <x v="12"/>
    <x v="12"/>
    <n v="115024"/>
    <n v="1.1409815831357391"/>
    <x v="750"/>
  </r>
  <r>
    <x v="288"/>
    <x v="3"/>
    <x v="3"/>
    <x v="0"/>
    <x v="751"/>
    <x v="750"/>
    <n v="232666"/>
    <x v="11"/>
    <x v="3"/>
    <n v="97637"/>
    <n v="0.94163736858844871"/>
    <x v="751"/>
  </r>
  <r>
    <x v="170"/>
    <x v="1"/>
    <x v="0"/>
    <x v="2"/>
    <x v="752"/>
    <x v="751"/>
    <n v="318215"/>
    <x v="11"/>
    <x v="4"/>
    <n v="132599"/>
    <n v="1.0563926904765646"/>
    <x v="752"/>
  </r>
  <r>
    <x v="248"/>
    <x v="0"/>
    <x v="0"/>
    <x v="0"/>
    <x v="753"/>
    <x v="752"/>
    <n v="268906"/>
    <x v="8"/>
    <x v="11"/>
    <n v="172642"/>
    <n v="1.1014927149264055"/>
    <x v="753"/>
  </r>
  <r>
    <x v="461"/>
    <x v="3"/>
    <x v="2"/>
    <x v="2"/>
    <x v="754"/>
    <x v="753"/>
    <n v="299698"/>
    <x v="3"/>
    <x v="1"/>
    <n v="174745"/>
    <n v="0.91452061742153767"/>
    <x v="754"/>
  </r>
  <r>
    <x v="166"/>
    <x v="2"/>
    <x v="0"/>
    <x v="2"/>
    <x v="755"/>
    <x v="754"/>
    <n v="463681"/>
    <x v="6"/>
    <x v="14"/>
    <n v="292955"/>
    <n v="0.93607674241558314"/>
    <x v="755"/>
  </r>
  <r>
    <x v="139"/>
    <x v="2"/>
    <x v="2"/>
    <x v="2"/>
    <x v="756"/>
    <x v="755"/>
    <n v="40263"/>
    <x v="3"/>
    <x v="10"/>
    <n v="22150"/>
    <n v="0.97019596155279042"/>
    <x v="756"/>
  </r>
  <r>
    <x v="185"/>
    <x v="2"/>
    <x v="3"/>
    <x v="1"/>
    <x v="757"/>
    <x v="756"/>
    <n v="508142"/>
    <x v="2"/>
    <x v="12"/>
    <n v="221245"/>
    <n v="0.9239366161427317"/>
    <x v="757"/>
  </r>
  <r>
    <x v="462"/>
    <x v="2"/>
    <x v="1"/>
    <x v="2"/>
    <x v="758"/>
    <x v="757"/>
    <n v="292071"/>
    <x v="13"/>
    <x v="7"/>
    <n v="145230"/>
    <n v="1.1482173854987314"/>
    <x v="758"/>
  </r>
  <r>
    <x v="463"/>
    <x v="3"/>
    <x v="0"/>
    <x v="2"/>
    <x v="759"/>
    <x v="758"/>
    <n v="316233"/>
    <x v="10"/>
    <x v="6"/>
    <n v="127782"/>
    <n v="1.0076272874747416"/>
    <x v="759"/>
  </r>
  <r>
    <x v="401"/>
    <x v="2"/>
    <x v="2"/>
    <x v="2"/>
    <x v="760"/>
    <x v="759"/>
    <n v="311496"/>
    <x v="1"/>
    <x v="6"/>
    <n v="190503"/>
    <n v="1.1420499781698641"/>
    <x v="760"/>
  </r>
  <r>
    <x v="354"/>
    <x v="2"/>
    <x v="0"/>
    <x v="1"/>
    <x v="761"/>
    <x v="760"/>
    <n v="149322"/>
    <x v="0"/>
    <x v="1"/>
    <n v="90495"/>
    <n v="1.1461740399941067"/>
    <x v="761"/>
  </r>
  <r>
    <x v="228"/>
    <x v="0"/>
    <x v="1"/>
    <x v="2"/>
    <x v="762"/>
    <x v="761"/>
    <n v="79726"/>
    <x v="8"/>
    <x v="4"/>
    <n v="39359"/>
    <n v="0.92539447608057601"/>
    <x v="762"/>
  </r>
  <r>
    <x v="422"/>
    <x v="1"/>
    <x v="3"/>
    <x v="2"/>
    <x v="763"/>
    <x v="762"/>
    <n v="363414"/>
    <x v="15"/>
    <x v="12"/>
    <n v="196417"/>
    <n v="1.0364157682422801"/>
    <x v="763"/>
  </r>
  <r>
    <x v="131"/>
    <x v="0"/>
    <x v="0"/>
    <x v="1"/>
    <x v="764"/>
    <x v="763"/>
    <n v="158610"/>
    <x v="7"/>
    <x v="13"/>
    <n v="70159"/>
    <n v="1.0330811424248156"/>
    <x v="764"/>
  </r>
  <r>
    <x v="464"/>
    <x v="2"/>
    <x v="0"/>
    <x v="2"/>
    <x v="765"/>
    <x v="764"/>
    <n v="491331"/>
    <x v="5"/>
    <x v="0"/>
    <n v="251588"/>
    <n v="0.89650561434145215"/>
    <x v="765"/>
  </r>
  <r>
    <x v="282"/>
    <x v="0"/>
    <x v="0"/>
    <x v="0"/>
    <x v="766"/>
    <x v="765"/>
    <n v="150604"/>
    <x v="9"/>
    <x v="4"/>
    <n v="82630"/>
    <n v="0.99503997237789166"/>
    <x v="766"/>
  </r>
  <r>
    <x v="197"/>
    <x v="0"/>
    <x v="2"/>
    <x v="0"/>
    <x v="767"/>
    <x v="766"/>
    <n v="395480"/>
    <x v="9"/>
    <x v="11"/>
    <n v="190376"/>
    <n v="0.92821887326792762"/>
    <x v="767"/>
  </r>
  <r>
    <x v="465"/>
    <x v="0"/>
    <x v="2"/>
    <x v="1"/>
    <x v="768"/>
    <x v="767"/>
    <n v="90101"/>
    <x v="0"/>
    <x v="0"/>
    <n v="38875"/>
    <n v="0.9860045948435644"/>
    <x v="768"/>
  </r>
  <r>
    <x v="246"/>
    <x v="3"/>
    <x v="3"/>
    <x v="1"/>
    <x v="769"/>
    <x v="768"/>
    <n v="403141"/>
    <x v="15"/>
    <x v="4"/>
    <n v="245623"/>
    <n v="1.1354488876100421"/>
    <x v="769"/>
  </r>
  <r>
    <x v="137"/>
    <x v="0"/>
    <x v="2"/>
    <x v="1"/>
    <x v="770"/>
    <x v="769"/>
    <n v="272784"/>
    <x v="2"/>
    <x v="6"/>
    <n v="191352"/>
    <n v="1.1721068684380316"/>
    <x v="770"/>
  </r>
  <r>
    <x v="175"/>
    <x v="0"/>
    <x v="1"/>
    <x v="0"/>
    <x v="771"/>
    <x v="770"/>
    <n v="245507"/>
    <x v="13"/>
    <x v="11"/>
    <n v="152546"/>
    <n v="1.0288871600402432"/>
    <x v="771"/>
  </r>
  <r>
    <x v="466"/>
    <x v="1"/>
    <x v="2"/>
    <x v="1"/>
    <x v="772"/>
    <x v="771"/>
    <n v="324223"/>
    <x v="3"/>
    <x v="7"/>
    <n v="143049"/>
    <n v="0.90621578358105381"/>
    <x v="772"/>
  </r>
  <r>
    <x v="154"/>
    <x v="0"/>
    <x v="1"/>
    <x v="0"/>
    <x v="773"/>
    <x v="772"/>
    <n v="302177"/>
    <x v="3"/>
    <x v="5"/>
    <n v="119872"/>
    <n v="0.92856173699520483"/>
    <x v="773"/>
  </r>
  <r>
    <x v="467"/>
    <x v="0"/>
    <x v="2"/>
    <x v="1"/>
    <x v="774"/>
    <x v="773"/>
    <n v="225361"/>
    <x v="0"/>
    <x v="8"/>
    <n v="110536"/>
    <n v="1.0095269367814306"/>
    <x v="774"/>
  </r>
  <r>
    <x v="265"/>
    <x v="1"/>
    <x v="1"/>
    <x v="1"/>
    <x v="775"/>
    <x v="774"/>
    <n v="494024"/>
    <x v="2"/>
    <x v="10"/>
    <n v="201621"/>
    <n v="0.92531132090748625"/>
    <x v="775"/>
  </r>
  <r>
    <x v="216"/>
    <x v="1"/>
    <x v="0"/>
    <x v="2"/>
    <x v="776"/>
    <x v="775"/>
    <n v="55387"/>
    <x v="13"/>
    <x v="9"/>
    <n v="25886"/>
    <n v="0.9132467907631755"/>
    <x v="776"/>
  </r>
  <r>
    <x v="172"/>
    <x v="0"/>
    <x v="0"/>
    <x v="2"/>
    <x v="777"/>
    <x v="776"/>
    <n v="142025"/>
    <x v="1"/>
    <x v="6"/>
    <n v="92367"/>
    <n v="1.128385847562049"/>
    <x v="777"/>
  </r>
  <r>
    <x v="468"/>
    <x v="3"/>
    <x v="3"/>
    <x v="2"/>
    <x v="778"/>
    <x v="777"/>
    <n v="312715"/>
    <x v="2"/>
    <x v="2"/>
    <n v="218219"/>
    <n v="1.1366643749100618"/>
    <x v="778"/>
  </r>
  <r>
    <x v="469"/>
    <x v="3"/>
    <x v="3"/>
    <x v="1"/>
    <x v="779"/>
    <x v="778"/>
    <n v="234224"/>
    <x v="12"/>
    <x v="7"/>
    <n v="172390"/>
    <n v="1.0971676685565954"/>
    <x v="779"/>
  </r>
  <r>
    <x v="374"/>
    <x v="1"/>
    <x v="0"/>
    <x v="1"/>
    <x v="780"/>
    <x v="779"/>
    <n v="74556"/>
    <x v="1"/>
    <x v="6"/>
    <n v="37608"/>
    <n v="1.0623155748698965"/>
    <x v="780"/>
  </r>
  <r>
    <x v="235"/>
    <x v="1"/>
    <x v="1"/>
    <x v="2"/>
    <x v="781"/>
    <x v="780"/>
    <n v="404018"/>
    <x v="5"/>
    <x v="7"/>
    <n v="189982"/>
    <n v="0.90020494136399865"/>
    <x v="781"/>
  </r>
  <r>
    <x v="224"/>
    <x v="1"/>
    <x v="0"/>
    <x v="0"/>
    <x v="782"/>
    <x v="781"/>
    <n v="279654"/>
    <x v="0"/>
    <x v="14"/>
    <n v="157652"/>
    <n v="1.0032432934983944"/>
    <x v="782"/>
  </r>
  <r>
    <x v="470"/>
    <x v="1"/>
    <x v="1"/>
    <x v="2"/>
    <x v="783"/>
    <x v="782"/>
    <n v="471818"/>
    <x v="5"/>
    <x v="12"/>
    <n v="230124"/>
    <n v="1.0077678257294127"/>
    <x v="783"/>
  </r>
  <r>
    <x v="471"/>
    <x v="3"/>
    <x v="1"/>
    <x v="0"/>
    <x v="784"/>
    <x v="783"/>
    <n v="121429"/>
    <x v="0"/>
    <x v="0"/>
    <n v="61079"/>
    <n v="0.89662271780217251"/>
    <x v="784"/>
  </r>
  <r>
    <x v="3"/>
    <x v="2"/>
    <x v="2"/>
    <x v="0"/>
    <x v="785"/>
    <x v="784"/>
    <n v="109629"/>
    <x v="14"/>
    <x v="10"/>
    <n v="55091"/>
    <n v="0.99861350555053863"/>
    <x v="785"/>
  </r>
  <r>
    <x v="472"/>
    <x v="0"/>
    <x v="3"/>
    <x v="2"/>
    <x v="786"/>
    <x v="785"/>
    <n v="359232"/>
    <x v="2"/>
    <x v="5"/>
    <n v="151543"/>
    <n v="0.87434861036878675"/>
    <x v="786"/>
  </r>
  <r>
    <x v="24"/>
    <x v="1"/>
    <x v="1"/>
    <x v="1"/>
    <x v="787"/>
    <x v="786"/>
    <n v="473117"/>
    <x v="13"/>
    <x v="4"/>
    <n v="241749"/>
    <n v="0.91798646000883499"/>
    <x v="787"/>
  </r>
  <r>
    <x v="353"/>
    <x v="0"/>
    <x v="1"/>
    <x v="2"/>
    <x v="788"/>
    <x v="787"/>
    <n v="304487"/>
    <x v="8"/>
    <x v="11"/>
    <n v="190893"/>
    <n v="0.94415525129151656"/>
    <x v="788"/>
  </r>
  <r>
    <x v="13"/>
    <x v="0"/>
    <x v="0"/>
    <x v="0"/>
    <x v="789"/>
    <x v="788"/>
    <n v="108448"/>
    <x v="5"/>
    <x v="0"/>
    <n v="58901"/>
    <n v="0.89912215992918265"/>
    <x v="789"/>
  </r>
  <r>
    <x v="473"/>
    <x v="3"/>
    <x v="1"/>
    <x v="0"/>
    <x v="790"/>
    <x v="789"/>
    <n v="306003"/>
    <x v="11"/>
    <x v="9"/>
    <n v="148638"/>
    <n v="1.0303885909615265"/>
    <x v="790"/>
  </r>
  <r>
    <x v="474"/>
    <x v="3"/>
    <x v="3"/>
    <x v="2"/>
    <x v="791"/>
    <x v="790"/>
    <n v="330835"/>
    <x v="15"/>
    <x v="13"/>
    <n v="148521"/>
    <n v="0.99606148079858536"/>
    <x v="791"/>
  </r>
  <r>
    <x v="242"/>
    <x v="3"/>
    <x v="1"/>
    <x v="0"/>
    <x v="792"/>
    <x v="791"/>
    <n v="100072"/>
    <x v="12"/>
    <x v="9"/>
    <n v="41639"/>
    <n v="1.0386921416580062"/>
    <x v="792"/>
  </r>
  <r>
    <x v="240"/>
    <x v="2"/>
    <x v="1"/>
    <x v="2"/>
    <x v="793"/>
    <x v="792"/>
    <n v="37049"/>
    <x v="10"/>
    <x v="7"/>
    <n v="21079"/>
    <n v="1.0794353423844099"/>
    <x v="793"/>
  </r>
  <r>
    <x v="475"/>
    <x v="1"/>
    <x v="0"/>
    <x v="1"/>
    <x v="794"/>
    <x v="793"/>
    <n v="524780"/>
    <x v="8"/>
    <x v="8"/>
    <n v="281294"/>
    <n v="0.92613285567285342"/>
    <x v="794"/>
  </r>
  <r>
    <x v="476"/>
    <x v="3"/>
    <x v="2"/>
    <x v="1"/>
    <x v="795"/>
    <x v="794"/>
    <n v="367426"/>
    <x v="3"/>
    <x v="5"/>
    <n v="161276"/>
    <n v="0.8843712747600877"/>
    <x v="795"/>
  </r>
  <r>
    <x v="423"/>
    <x v="0"/>
    <x v="2"/>
    <x v="1"/>
    <x v="796"/>
    <x v="795"/>
    <n v="216317"/>
    <x v="11"/>
    <x v="0"/>
    <n v="144379"/>
    <n v="1.0205624153441477"/>
    <x v="796"/>
  </r>
  <r>
    <x v="112"/>
    <x v="0"/>
    <x v="2"/>
    <x v="0"/>
    <x v="797"/>
    <x v="796"/>
    <n v="399180"/>
    <x v="7"/>
    <x v="14"/>
    <n v="273825"/>
    <n v="1.0518087078510947"/>
    <x v="797"/>
  </r>
  <r>
    <x v="46"/>
    <x v="0"/>
    <x v="1"/>
    <x v="2"/>
    <x v="798"/>
    <x v="797"/>
    <n v="201455"/>
    <x v="6"/>
    <x v="12"/>
    <n v="114332"/>
    <n v="1.0711176193194509"/>
    <x v="798"/>
  </r>
  <r>
    <x v="306"/>
    <x v="3"/>
    <x v="2"/>
    <x v="0"/>
    <x v="799"/>
    <x v="798"/>
    <n v="341674"/>
    <x v="1"/>
    <x v="14"/>
    <n v="164492"/>
    <n v="1.0293466871930554"/>
    <x v="799"/>
  </r>
  <r>
    <x v="351"/>
    <x v="2"/>
    <x v="0"/>
    <x v="0"/>
    <x v="800"/>
    <x v="799"/>
    <n v="236764"/>
    <x v="9"/>
    <x v="14"/>
    <n v="121758"/>
    <n v="0.99687452484330386"/>
    <x v="800"/>
  </r>
  <r>
    <x v="227"/>
    <x v="0"/>
    <x v="0"/>
    <x v="2"/>
    <x v="801"/>
    <x v="800"/>
    <n v="252675"/>
    <x v="9"/>
    <x v="8"/>
    <n v="157125"/>
    <n v="1.0331967943009794"/>
    <x v="801"/>
  </r>
  <r>
    <x v="477"/>
    <x v="1"/>
    <x v="0"/>
    <x v="1"/>
    <x v="802"/>
    <x v="801"/>
    <n v="436281"/>
    <x v="7"/>
    <x v="13"/>
    <n v="281203"/>
    <n v="0.94884718793621547"/>
    <x v="802"/>
  </r>
  <r>
    <x v="292"/>
    <x v="2"/>
    <x v="3"/>
    <x v="1"/>
    <x v="803"/>
    <x v="802"/>
    <n v="526955"/>
    <x v="5"/>
    <x v="5"/>
    <n v="283680"/>
    <n v="0.93057092161569777"/>
    <x v="803"/>
  </r>
  <r>
    <x v="429"/>
    <x v="3"/>
    <x v="2"/>
    <x v="0"/>
    <x v="804"/>
    <x v="803"/>
    <n v="87956"/>
    <x v="8"/>
    <x v="1"/>
    <n v="66515"/>
    <n v="1.1375460457501478"/>
    <x v="804"/>
  </r>
  <r>
    <x v="426"/>
    <x v="2"/>
    <x v="1"/>
    <x v="1"/>
    <x v="805"/>
    <x v="804"/>
    <n v="468711"/>
    <x v="1"/>
    <x v="0"/>
    <n v="277383"/>
    <n v="0.99547055648363281"/>
    <x v="805"/>
  </r>
  <r>
    <x v="164"/>
    <x v="3"/>
    <x v="2"/>
    <x v="0"/>
    <x v="806"/>
    <x v="805"/>
    <n v="224082"/>
    <x v="2"/>
    <x v="8"/>
    <n v="118221"/>
    <n v="1.0481252398675485"/>
    <x v="806"/>
  </r>
  <r>
    <x v="170"/>
    <x v="0"/>
    <x v="1"/>
    <x v="1"/>
    <x v="807"/>
    <x v="806"/>
    <n v="306076"/>
    <x v="15"/>
    <x v="6"/>
    <n v="202357"/>
    <n v="1.0510918856754532"/>
    <x v="807"/>
  </r>
  <r>
    <x v="9"/>
    <x v="3"/>
    <x v="0"/>
    <x v="1"/>
    <x v="808"/>
    <x v="807"/>
    <n v="172793"/>
    <x v="5"/>
    <x v="5"/>
    <n v="79195"/>
    <n v="1.1042171847239182"/>
    <x v="808"/>
  </r>
  <r>
    <x v="478"/>
    <x v="0"/>
    <x v="2"/>
    <x v="0"/>
    <x v="809"/>
    <x v="808"/>
    <n v="236202"/>
    <x v="9"/>
    <x v="13"/>
    <n v="126266"/>
    <n v="0.89948010601095674"/>
    <x v="809"/>
  </r>
  <r>
    <x v="479"/>
    <x v="2"/>
    <x v="3"/>
    <x v="2"/>
    <x v="810"/>
    <x v="809"/>
    <n v="333740"/>
    <x v="7"/>
    <x v="13"/>
    <n v="157187"/>
    <n v="1.0767213998921317"/>
    <x v="810"/>
  </r>
  <r>
    <x v="480"/>
    <x v="2"/>
    <x v="1"/>
    <x v="0"/>
    <x v="811"/>
    <x v="810"/>
    <n v="611696"/>
    <x v="13"/>
    <x v="7"/>
    <n v="316073"/>
    <n v="0.94604182469723519"/>
    <x v="811"/>
  </r>
  <r>
    <x v="481"/>
    <x v="0"/>
    <x v="1"/>
    <x v="2"/>
    <x v="812"/>
    <x v="811"/>
    <n v="381758"/>
    <x v="15"/>
    <x v="11"/>
    <n v="237700"/>
    <n v="1.072915302364325"/>
    <x v="812"/>
  </r>
  <r>
    <x v="374"/>
    <x v="1"/>
    <x v="1"/>
    <x v="0"/>
    <x v="813"/>
    <x v="812"/>
    <n v="241696"/>
    <x v="3"/>
    <x v="14"/>
    <n v="125376"/>
    <n v="1.0585487554614061"/>
    <x v="813"/>
  </r>
  <r>
    <x v="188"/>
    <x v="0"/>
    <x v="2"/>
    <x v="2"/>
    <x v="814"/>
    <x v="813"/>
    <n v="98786"/>
    <x v="3"/>
    <x v="9"/>
    <n v="68049"/>
    <n v="1.0274026683943069"/>
    <x v="814"/>
  </r>
  <r>
    <x v="137"/>
    <x v="2"/>
    <x v="0"/>
    <x v="0"/>
    <x v="815"/>
    <x v="814"/>
    <n v="536564"/>
    <x v="14"/>
    <x v="9"/>
    <n v="264447"/>
    <n v="1.0011890473457035"/>
    <x v="815"/>
  </r>
  <r>
    <x v="482"/>
    <x v="2"/>
    <x v="0"/>
    <x v="2"/>
    <x v="816"/>
    <x v="815"/>
    <n v="337264"/>
    <x v="2"/>
    <x v="9"/>
    <n v="180015"/>
    <n v="0.91371151382892923"/>
    <x v="816"/>
  </r>
  <r>
    <x v="145"/>
    <x v="1"/>
    <x v="3"/>
    <x v="2"/>
    <x v="817"/>
    <x v="816"/>
    <n v="87016"/>
    <x v="3"/>
    <x v="4"/>
    <n v="41746"/>
    <n v="1.1485359014434127"/>
    <x v="817"/>
  </r>
  <r>
    <x v="395"/>
    <x v="1"/>
    <x v="0"/>
    <x v="2"/>
    <x v="818"/>
    <x v="817"/>
    <n v="140399"/>
    <x v="5"/>
    <x v="4"/>
    <n v="71435"/>
    <n v="1.0850433407645355"/>
    <x v="818"/>
  </r>
  <r>
    <x v="445"/>
    <x v="0"/>
    <x v="2"/>
    <x v="1"/>
    <x v="819"/>
    <x v="818"/>
    <n v="199562"/>
    <x v="1"/>
    <x v="15"/>
    <n v="100270"/>
    <n v="1.033834096671711"/>
    <x v="819"/>
  </r>
  <r>
    <x v="221"/>
    <x v="1"/>
    <x v="1"/>
    <x v="1"/>
    <x v="820"/>
    <x v="819"/>
    <n v="257513"/>
    <x v="9"/>
    <x v="0"/>
    <n v="161614"/>
    <n v="1.0442812595868947"/>
    <x v="820"/>
  </r>
  <r>
    <x v="198"/>
    <x v="0"/>
    <x v="0"/>
    <x v="2"/>
    <x v="821"/>
    <x v="820"/>
    <n v="80671"/>
    <x v="10"/>
    <x v="15"/>
    <n v="36961"/>
    <n v="0.94682103853925204"/>
    <x v="821"/>
  </r>
  <r>
    <x v="483"/>
    <x v="3"/>
    <x v="0"/>
    <x v="2"/>
    <x v="822"/>
    <x v="821"/>
    <n v="314219"/>
    <x v="4"/>
    <x v="15"/>
    <n v="165174"/>
    <n v="1.0539496338540955"/>
    <x v="822"/>
  </r>
  <r>
    <x v="484"/>
    <x v="2"/>
    <x v="3"/>
    <x v="0"/>
    <x v="823"/>
    <x v="822"/>
    <n v="485832"/>
    <x v="4"/>
    <x v="9"/>
    <n v="232839"/>
    <n v="0.93623721780368518"/>
    <x v="823"/>
  </r>
  <r>
    <x v="341"/>
    <x v="3"/>
    <x v="0"/>
    <x v="1"/>
    <x v="824"/>
    <x v="823"/>
    <n v="428873"/>
    <x v="0"/>
    <x v="15"/>
    <n v="213156"/>
    <n v="0.88926092339690299"/>
    <x v="824"/>
  </r>
  <r>
    <x v="154"/>
    <x v="2"/>
    <x v="1"/>
    <x v="1"/>
    <x v="825"/>
    <x v="824"/>
    <n v="16710"/>
    <x v="5"/>
    <x v="7"/>
    <n v="8577"/>
    <n v="0.93752244165170562"/>
    <x v="825"/>
  </r>
  <r>
    <x v="177"/>
    <x v="2"/>
    <x v="3"/>
    <x v="0"/>
    <x v="826"/>
    <x v="825"/>
    <n v="282815"/>
    <x v="11"/>
    <x v="15"/>
    <n v="146663"/>
    <n v="1.1055495642027473"/>
    <x v="826"/>
  </r>
  <r>
    <x v="413"/>
    <x v="2"/>
    <x v="2"/>
    <x v="1"/>
    <x v="827"/>
    <x v="826"/>
    <n v="103251"/>
    <x v="10"/>
    <x v="1"/>
    <n v="61616"/>
    <n v="1.1122700990789436"/>
    <x v="827"/>
  </r>
  <r>
    <x v="238"/>
    <x v="2"/>
    <x v="2"/>
    <x v="2"/>
    <x v="828"/>
    <x v="827"/>
    <n v="486945"/>
    <x v="15"/>
    <x v="9"/>
    <n v="189753"/>
    <n v="1.0001355389212334"/>
    <x v="828"/>
  </r>
  <r>
    <x v="157"/>
    <x v="2"/>
    <x v="2"/>
    <x v="0"/>
    <x v="829"/>
    <x v="828"/>
    <n v="409489"/>
    <x v="9"/>
    <x v="7"/>
    <n v="266993"/>
    <n v="1.00024420680409"/>
    <x v="829"/>
  </r>
  <r>
    <x v="171"/>
    <x v="2"/>
    <x v="3"/>
    <x v="2"/>
    <x v="830"/>
    <x v="829"/>
    <n v="491718"/>
    <x v="11"/>
    <x v="6"/>
    <n v="279031"/>
    <n v="1.0034491314127203"/>
    <x v="830"/>
  </r>
  <r>
    <x v="344"/>
    <x v="0"/>
    <x v="3"/>
    <x v="1"/>
    <x v="831"/>
    <x v="830"/>
    <n v="104755"/>
    <x v="7"/>
    <x v="9"/>
    <n v="60882"/>
    <n v="0.91037181996086103"/>
    <x v="831"/>
  </r>
  <r>
    <x v="485"/>
    <x v="3"/>
    <x v="3"/>
    <x v="2"/>
    <x v="832"/>
    <x v="831"/>
    <n v="140537"/>
    <x v="2"/>
    <x v="8"/>
    <n v="64922"/>
    <n v="1.0775738773419099"/>
    <x v="832"/>
  </r>
  <r>
    <x v="208"/>
    <x v="0"/>
    <x v="2"/>
    <x v="1"/>
    <x v="833"/>
    <x v="832"/>
    <n v="57604"/>
    <x v="15"/>
    <x v="2"/>
    <n v="38008"/>
    <n v="1.131553364349698"/>
    <x v="833"/>
  </r>
  <r>
    <x v="37"/>
    <x v="2"/>
    <x v="0"/>
    <x v="2"/>
    <x v="834"/>
    <x v="833"/>
    <n v="105489"/>
    <x v="6"/>
    <x v="11"/>
    <n v="51186"/>
    <n v="1.0709647451393036"/>
    <x v="834"/>
  </r>
  <r>
    <x v="486"/>
    <x v="2"/>
    <x v="2"/>
    <x v="0"/>
    <x v="835"/>
    <x v="834"/>
    <n v="534932"/>
    <x v="8"/>
    <x v="8"/>
    <n v="318490"/>
    <n v="0.8751355312450928"/>
    <x v="835"/>
  </r>
  <r>
    <x v="84"/>
    <x v="2"/>
    <x v="3"/>
    <x v="1"/>
    <x v="836"/>
    <x v="835"/>
    <n v="321047"/>
    <x v="15"/>
    <x v="5"/>
    <n v="133288"/>
    <n v="0.92561525259541433"/>
    <x v="836"/>
  </r>
  <r>
    <x v="487"/>
    <x v="1"/>
    <x v="3"/>
    <x v="0"/>
    <x v="837"/>
    <x v="836"/>
    <n v="426928"/>
    <x v="12"/>
    <x v="13"/>
    <n v="173326"/>
    <n v="0.97294391560169391"/>
    <x v="837"/>
  </r>
  <r>
    <x v="160"/>
    <x v="2"/>
    <x v="1"/>
    <x v="2"/>
    <x v="838"/>
    <x v="837"/>
    <n v="394086"/>
    <x v="8"/>
    <x v="13"/>
    <n v="192232"/>
    <n v="0.99246357394071349"/>
    <x v="838"/>
  </r>
  <r>
    <x v="488"/>
    <x v="1"/>
    <x v="2"/>
    <x v="1"/>
    <x v="839"/>
    <x v="838"/>
    <n v="277852"/>
    <x v="15"/>
    <x v="4"/>
    <n v="155465"/>
    <n v="0.95359040064494771"/>
    <x v="839"/>
  </r>
  <r>
    <x v="315"/>
    <x v="2"/>
    <x v="1"/>
    <x v="1"/>
    <x v="840"/>
    <x v="839"/>
    <n v="41646"/>
    <x v="13"/>
    <x v="2"/>
    <n v="15454"/>
    <n v="0.97154588675983289"/>
    <x v="840"/>
  </r>
  <r>
    <x v="17"/>
    <x v="0"/>
    <x v="1"/>
    <x v="0"/>
    <x v="841"/>
    <x v="840"/>
    <n v="390986"/>
    <x v="11"/>
    <x v="7"/>
    <n v="238307"/>
    <n v="0.93366514402050205"/>
    <x v="841"/>
  </r>
  <r>
    <x v="489"/>
    <x v="2"/>
    <x v="0"/>
    <x v="0"/>
    <x v="355"/>
    <x v="841"/>
    <n v="16590"/>
    <x v="9"/>
    <x v="7"/>
    <n v="10364"/>
    <n v="1.0525015069318866"/>
    <x v="842"/>
  </r>
  <r>
    <x v="397"/>
    <x v="0"/>
    <x v="1"/>
    <x v="2"/>
    <x v="842"/>
    <x v="842"/>
    <n v="186909"/>
    <x v="7"/>
    <x v="5"/>
    <n v="104117"/>
    <n v="0.99195330347923316"/>
    <x v="843"/>
  </r>
  <r>
    <x v="490"/>
    <x v="2"/>
    <x v="2"/>
    <x v="1"/>
    <x v="843"/>
    <x v="843"/>
    <n v="157247"/>
    <x v="6"/>
    <x v="12"/>
    <n v="73059"/>
    <n v="1.0305633811773833"/>
    <x v="844"/>
  </r>
  <r>
    <x v="491"/>
    <x v="0"/>
    <x v="0"/>
    <x v="2"/>
    <x v="844"/>
    <x v="844"/>
    <n v="267258"/>
    <x v="10"/>
    <x v="2"/>
    <n v="132144"/>
    <n v="0.91253769765544901"/>
    <x v="845"/>
  </r>
  <r>
    <x v="492"/>
    <x v="3"/>
    <x v="3"/>
    <x v="0"/>
    <x v="845"/>
    <x v="845"/>
    <n v="208263"/>
    <x v="7"/>
    <x v="15"/>
    <n v="74699"/>
    <n v="0.93408334653779113"/>
    <x v="846"/>
  </r>
  <r>
    <x v="195"/>
    <x v="0"/>
    <x v="3"/>
    <x v="1"/>
    <x v="846"/>
    <x v="846"/>
    <n v="255577"/>
    <x v="0"/>
    <x v="4"/>
    <n v="118668"/>
    <n v="1.0463069838052721"/>
    <x v="847"/>
  </r>
  <r>
    <x v="180"/>
    <x v="3"/>
    <x v="0"/>
    <x v="0"/>
    <x v="847"/>
    <x v="847"/>
    <n v="343799"/>
    <x v="0"/>
    <x v="8"/>
    <n v="218952"/>
    <n v="1.1046919857242168"/>
    <x v="848"/>
  </r>
  <r>
    <x v="493"/>
    <x v="2"/>
    <x v="0"/>
    <x v="2"/>
    <x v="848"/>
    <x v="848"/>
    <n v="190581"/>
    <x v="4"/>
    <x v="4"/>
    <n v="101175"/>
    <n v="0.91511745661949517"/>
    <x v="849"/>
  </r>
  <r>
    <x v="332"/>
    <x v="1"/>
    <x v="1"/>
    <x v="1"/>
    <x v="849"/>
    <x v="849"/>
    <n v="19110"/>
    <x v="6"/>
    <x v="1"/>
    <n v="11770"/>
    <n v="1.1629513343799058"/>
    <x v="850"/>
  </r>
  <r>
    <x v="388"/>
    <x v="1"/>
    <x v="3"/>
    <x v="2"/>
    <x v="850"/>
    <x v="850"/>
    <n v="170401"/>
    <x v="8"/>
    <x v="10"/>
    <n v="73221"/>
    <n v="0.96491217774543581"/>
    <x v="851"/>
  </r>
  <r>
    <x v="211"/>
    <x v="0"/>
    <x v="3"/>
    <x v="2"/>
    <x v="851"/>
    <x v="851"/>
    <n v="328236"/>
    <x v="0"/>
    <x v="0"/>
    <n v="156645"/>
    <n v="0.89004862355134717"/>
    <x v="852"/>
  </r>
  <r>
    <x v="494"/>
    <x v="2"/>
    <x v="3"/>
    <x v="0"/>
    <x v="852"/>
    <x v="852"/>
    <n v="332610"/>
    <x v="3"/>
    <x v="1"/>
    <n v="220996"/>
    <n v="1.0606295661585641"/>
    <x v="853"/>
  </r>
  <r>
    <x v="221"/>
    <x v="3"/>
    <x v="2"/>
    <x v="0"/>
    <x v="853"/>
    <x v="853"/>
    <n v="61422"/>
    <x v="11"/>
    <x v="13"/>
    <n v="31242"/>
    <n v="1.0456351144541043"/>
    <x v="854"/>
  </r>
  <r>
    <x v="495"/>
    <x v="1"/>
    <x v="3"/>
    <x v="0"/>
    <x v="854"/>
    <x v="854"/>
    <n v="422535"/>
    <x v="5"/>
    <x v="4"/>
    <n v="164292"/>
    <n v="0.88168790751062043"/>
    <x v="855"/>
  </r>
  <r>
    <x v="131"/>
    <x v="0"/>
    <x v="1"/>
    <x v="2"/>
    <x v="855"/>
    <x v="855"/>
    <n v="75610"/>
    <x v="3"/>
    <x v="12"/>
    <n v="33894"/>
    <n v="0.99378389101970643"/>
    <x v="856"/>
  </r>
  <r>
    <x v="496"/>
    <x v="0"/>
    <x v="2"/>
    <x v="2"/>
    <x v="856"/>
    <x v="856"/>
    <n v="489379"/>
    <x v="11"/>
    <x v="14"/>
    <n v="271077"/>
    <n v="0.9955862429732375"/>
    <x v="857"/>
  </r>
  <r>
    <x v="445"/>
    <x v="0"/>
    <x v="3"/>
    <x v="2"/>
    <x v="857"/>
    <x v="857"/>
    <n v="466588"/>
    <x v="11"/>
    <x v="10"/>
    <n v="254079"/>
    <n v="0.90743653930233958"/>
    <x v="858"/>
  </r>
  <r>
    <x v="497"/>
    <x v="0"/>
    <x v="1"/>
    <x v="1"/>
    <x v="858"/>
    <x v="858"/>
    <n v="79823"/>
    <x v="5"/>
    <x v="13"/>
    <n v="36211"/>
    <n v="1.0419177430064017"/>
    <x v="859"/>
  </r>
  <r>
    <x v="312"/>
    <x v="0"/>
    <x v="1"/>
    <x v="0"/>
    <x v="859"/>
    <x v="859"/>
    <n v="364989"/>
    <x v="2"/>
    <x v="8"/>
    <n v="169542"/>
    <n v="1.1090690404368351"/>
    <x v="860"/>
  </r>
  <r>
    <x v="305"/>
    <x v="1"/>
    <x v="3"/>
    <x v="1"/>
    <x v="860"/>
    <x v="860"/>
    <n v="400570"/>
    <x v="14"/>
    <x v="11"/>
    <n v="210913"/>
    <n v="1.1049404598447212"/>
    <x v="861"/>
  </r>
  <r>
    <x v="447"/>
    <x v="3"/>
    <x v="3"/>
    <x v="2"/>
    <x v="861"/>
    <x v="861"/>
    <n v="165812"/>
    <x v="0"/>
    <x v="4"/>
    <n v="69256"/>
    <n v="0.91779847055701635"/>
    <x v="862"/>
  </r>
  <r>
    <x v="498"/>
    <x v="1"/>
    <x v="0"/>
    <x v="2"/>
    <x v="862"/>
    <x v="862"/>
    <n v="97652"/>
    <x v="3"/>
    <x v="12"/>
    <n v="58170"/>
    <n v="1.0214127718838324"/>
    <x v="863"/>
  </r>
  <r>
    <x v="499"/>
    <x v="3"/>
    <x v="2"/>
    <x v="2"/>
    <x v="863"/>
    <x v="863"/>
    <n v="283561"/>
    <x v="9"/>
    <x v="4"/>
    <n v="165803"/>
    <n v="0.88039963182525105"/>
    <x v="864"/>
  </r>
  <r>
    <x v="500"/>
    <x v="3"/>
    <x v="1"/>
    <x v="2"/>
    <x v="864"/>
    <x v="864"/>
    <n v="246818"/>
    <x v="15"/>
    <x v="11"/>
    <n v="153714"/>
    <n v="0.96158302879044477"/>
    <x v="865"/>
  </r>
  <r>
    <x v="212"/>
    <x v="2"/>
    <x v="1"/>
    <x v="2"/>
    <x v="865"/>
    <x v="865"/>
    <n v="182981"/>
    <x v="12"/>
    <x v="12"/>
    <n v="119151"/>
    <n v="1.1187828244462539"/>
    <x v="866"/>
  </r>
  <r>
    <x v="501"/>
    <x v="1"/>
    <x v="2"/>
    <x v="0"/>
    <x v="866"/>
    <x v="866"/>
    <n v="218716"/>
    <x v="14"/>
    <x v="13"/>
    <n v="142999"/>
    <n v="1.1334881764479965"/>
    <x v="867"/>
  </r>
  <r>
    <x v="382"/>
    <x v="2"/>
    <x v="3"/>
    <x v="2"/>
    <x v="867"/>
    <x v="867"/>
    <n v="437947"/>
    <x v="4"/>
    <x v="6"/>
    <n v="185697"/>
    <n v="1.0265762752113841"/>
    <x v="868"/>
  </r>
  <r>
    <x v="358"/>
    <x v="3"/>
    <x v="1"/>
    <x v="2"/>
    <x v="868"/>
    <x v="868"/>
    <n v="337146"/>
    <x v="6"/>
    <x v="7"/>
    <n v="127614"/>
    <n v="0.87471599841018433"/>
    <x v="869"/>
  </r>
  <r>
    <x v="380"/>
    <x v="3"/>
    <x v="2"/>
    <x v="0"/>
    <x v="869"/>
    <x v="869"/>
    <n v="280594"/>
    <x v="2"/>
    <x v="13"/>
    <n v="122901"/>
    <n v="0.91342295273598151"/>
    <x v="870"/>
  </r>
  <r>
    <x v="22"/>
    <x v="2"/>
    <x v="3"/>
    <x v="2"/>
    <x v="870"/>
    <x v="870"/>
    <n v="144510"/>
    <x v="8"/>
    <x v="15"/>
    <n v="105034"/>
    <n v="1.1219361981869767"/>
    <x v="871"/>
  </r>
  <r>
    <x v="404"/>
    <x v="3"/>
    <x v="2"/>
    <x v="1"/>
    <x v="871"/>
    <x v="871"/>
    <n v="535916"/>
    <x v="9"/>
    <x v="2"/>
    <n v="290298"/>
    <n v="0.92085140208540139"/>
    <x v="872"/>
  </r>
  <r>
    <x v="502"/>
    <x v="3"/>
    <x v="2"/>
    <x v="2"/>
    <x v="872"/>
    <x v="872"/>
    <n v="347879"/>
    <x v="10"/>
    <x v="4"/>
    <n v="231960"/>
    <n v="1.1084170070628006"/>
    <x v="873"/>
  </r>
  <r>
    <x v="119"/>
    <x v="1"/>
    <x v="3"/>
    <x v="2"/>
    <x v="873"/>
    <x v="873"/>
    <n v="319465"/>
    <x v="4"/>
    <x v="8"/>
    <n v="177484"/>
    <n v="1.1623589438592647"/>
    <x v="874"/>
  </r>
  <r>
    <x v="40"/>
    <x v="3"/>
    <x v="2"/>
    <x v="0"/>
    <x v="874"/>
    <x v="874"/>
    <n v="183677"/>
    <x v="15"/>
    <x v="4"/>
    <n v="109008"/>
    <n v="0.91401209732301814"/>
    <x v="875"/>
  </r>
  <r>
    <x v="402"/>
    <x v="1"/>
    <x v="2"/>
    <x v="2"/>
    <x v="875"/>
    <x v="875"/>
    <n v="100113"/>
    <x v="13"/>
    <x v="12"/>
    <n v="49421"/>
    <n v="1.169598353860138"/>
    <x v="876"/>
  </r>
  <r>
    <x v="459"/>
    <x v="2"/>
    <x v="2"/>
    <x v="0"/>
    <x v="876"/>
    <x v="876"/>
    <n v="292675"/>
    <x v="6"/>
    <x v="11"/>
    <n v="171230"/>
    <n v="1.1126539677116256"/>
    <x v="877"/>
  </r>
  <r>
    <x v="503"/>
    <x v="0"/>
    <x v="0"/>
    <x v="0"/>
    <x v="877"/>
    <x v="877"/>
    <n v="144981"/>
    <x v="14"/>
    <x v="10"/>
    <n v="98808"/>
    <n v="1.119622571233472"/>
    <x v="878"/>
  </r>
  <r>
    <x v="504"/>
    <x v="0"/>
    <x v="2"/>
    <x v="0"/>
    <x v="878"/>
    <x v="878"/>
    <n v="274418"/>
    <x v="2"/>
    <x v="3"/>
    <n v="177551"/>
    <n v="1.1733814837219132"/>
    <x v="879"/>
  </r>
  <r>
    <x v="505"/>
    <x v="3"/>
    <x v="3"/>
    <x v="1"/>
    <x v="879"/>
    <x v="879"/>
    <n v="205803"/>
    <x v="7"/>
    <x v="1"/>
    <n v="88404"/>
    <n v="0.91412661623008407"/>
    <x v="880"/>
  </r>
  <r>
    <x v="506"/>
    <x v="0"/>
    <x v="0"/>
    <x v="2"/>
    <x v="880"/>
    <x v="880"/>
    <n v="431649"/>
    <x v="9"/>
    <x v="7"/>
    <n v="283865"/>
    <n v="1.0259701748411325"/>
    <x v="881"/>
  </r>
  <r>
    <x v="507"/>
    <x v="0"/>
    <x v="0"/>
    <x v="0"/>
    <x v="881"/>
    <x v="881"/>
    <n v="351364"/>
    <x v="7"/>
    <x v="1"/>
    <n v="210667"/>
    <n v="1.0973634179938754"/>
    <x v="882"/>
  </r>
  <r>
    <x v="254"/>
    <x v="3"/>
    <x v="3"/>
    <x v="1"/>
    <x v="882"/>
    <x v="882"/>
    <n v="364869"/>
    <x v="6"/>
    <x v="2"/>
    <n v="184542"/>
    <n v="0.98062866398625259"/>
    <x v="883"/>
  </r>
  <r>
    <x v="74"/>
    <x v="2"/>
    <x v="2"/>
    <x v="2"/>
    <x v="883"/>
    <x v="883"/>
    <n v="287186"/>
    <x v="3"/>
    <x v="14"/>
    <n v="168229"/>
    <n v="1.1016936758755649"/>
    <x v="884"/>
  </r>
  <r>
    <x v="508"/>
    <x v="2"/>
    <x v="2"/>
    <x v="2"/>
    <x v="884"/>
    <x v="884"/>
    <n v="299582"/>
    <x v="13"/>
    <x v="8"/>
    <n v="192351"/>
    <n v="0.96050163227430219"/>
    <x v="885"/>
  </r>
  <r>
    <x v="131"/>
    <x v="0"/>
    <x v="2"/>
    <x v="1"/>
    <x v="885"/>
    <x v="885"/>
    <n v="146886"/>
    <x v="5"/>
    <x v="7"/>
    <n v="71324"/>
    <n v="0.92302874337921925"/>
    <x v="886"/>
  </r>
  <r>
    <x v="509"/>
    <x v="0"/>
    <x v="2"/>
    <x v="1"/>
    <x v="886"/>
    <x v="886"/>
    <n v="310245"/>
    <x v="11"/>
    <x v="13"/>
    <n v="194327"/>
    <n v="1.0249319086528388"/>
    <x v="887"/>
  </r>
  <r>
    <x v="306"/>
    <x v="1"/>
    <x v="2"/>
    <x v="0"/>
    <x v="887"/>
    <x v="887"/>
    <n v="22769"/>
    <x v="6"/>
    <x v="2"/>
    <n v="14076"/>
    <n v="1.1327243181518731"/>
    <x v="888"/>
  </r>
  <r>
    <x v="441"/>
    <x v="0"/>
    <x v="0"/>
    <x v="0"/>
    <x v="888"/>
    <x v="888"/>
    <n v="444059"/>
    <x v="4"/>
    <x v="14"/>
    <n v="245707"/>
    <n v="0.92332325209037536"/>
    <x v="889"/>
  </r>
  <r>
    <x v="398"/>
    <x v="3"/>
    <x v="2"/>
    <x v="1"/>
    <x v="889"/>
    <x v="889"/>
    <n v="20957"/>
    <x v="5"/>
    <x v="13"/>
    <n v="8741"/>
    <n v="1.0287732022713174"/>
    <x v="890"/>
  </r>
  <r>
    <x v="134"/>
    <x v="0"/>
    <x v="3"/>
    <x v="0"/>
    <x v="890"/>
    <x v="890"/>
    <n v="190342"/>
    <x v="2"/>
    <x v="15"/>
    <n v="91201"/>
    <n v="1.0702262243750722"/>
    <x v="891"/>
  </r>
  <r>
    <x v="292"/>
    <x v="3"/>
    <x v="3"/>
    <x v="2"/>
    <x v="891"/>
    <x v="891"/>
    <n v="147086"/>
    <x v="14"/>
    <x v="2"/>
    <n v="73033"/>
    <n v="1.0509157907618671"/>
    <x v="892"/>
  </r>
  <r>
    <x v="510"/>
    <x v="1"/>
    <x v="3"/>
    <x v="2"/>
    <x v="892"/>
    <x v="892"/>
    <n v="179352"/>
    <x v="14"/>
    <x v="3"/>
    <n v="98828"/>
    <n v="0.93231187831749851"/>
    <x v="893"/>
  </r>
  <r>
    <x v="78"/>
    <x v="1"/>
    <x v="2"/>
    <x v="2"/>
    <x v="893"/>
    <x v="893"/>
    <n v="384371"/>
    <x v="0"/>
    <x v="14"/>
    <n v="246598"/>
    <n v="1.1233339664022519"/>
    <x v="894"/>
  </r>
  <r>
    <x v="109"/>
    <x v="2"/>
    <x v="3"/>
    <x v="2"/>
    <x v="894"/>
    <x v="894"/>
    <n v="418668"/>
    <x v="4"/>
    <x v="12"/>
    <n v="166480"/>
    <n v="0.95083932853717024"/>
    <x v="895"/>
  </r>
  <r>
    <x v="91"/>
    <x v="0"/>
    <x v="3"/>
    <x v="0"/>
    <x v="895"/>
    <x v="895"/>
    <n v="249772"/>
    <x v="13"/>
    <x v="13"/>
    <n v="104866"/>
    <n v="0.91614352289287826"/>
    <x v="896"/>
  </r>
  <r>
    <x v="15"/>
    <x v="3"/>
    <x v="3"/>
    <x v="1"/>
    <x v="896"/>
    <x v="896"/>
    <n v="250976"/>
    <x v="7"/>
    <x v="10"/>
    <n v="105469"/>
    <n v="0.98885152365166396"/>
    <x v="897"/>
  </r>
  <r>
    <x v="490"/>
    <x v="2"/>
    <x v="0"/>
    <x v="0"/>
    <x v="897"/>
    <x v="897"/>
    <n v="153930"/>
    <x v="7"/>
    <x v="10"/>
    <n v="76212"/>
    <n v="1.1706814785941662"/>
    <x v="898"/>
  </r>
  <r>
    <x v="511"/>
    <x v="1"/>
    <x v="0"/>
    <x v="1"/>
    <x v="898"/>
    <x v="898"/>
    <n v="423997"/>
    <x v="3"/>
    <x v="12"/>
    <n v="238897"/>
    <n v="1.0122807472694382"/>
    <x v="899"/>
  </r>
  <r>
    <x v="512"/>
    <x v="0"/>
    <x v="2"/>
    <x v="1"/>
    <x v="899"/>
    <x v="899"/>
    <n v="209138"/>
    <x v="0"/>
    <x v="14"/>
    <n v="128885"/>
    <n v="1.0044324799892894"/>
    <x v="900"/>
  </r>
  <r>
    <x v="513"/>
    <x v="1"/>
    <x v="0"/>
    <x v="1"/>
    <x v="900"/>
    <x v="900"/>
    <n v="93788"/>
    <x v="4"/>
    <x v="9"/>
    <n v="60051"/>
    <n v="1.1426834989550902"/>
    <x v="901"/>
  </r>
  <r>
    <x v="490"/>
    <x v="3"/>
    <x v="2"/>
    <x v="2"/>
    <x v="901"/>
    <x v="901"/>
    <n v="128948"/>
    <x v="1"/>
    <x v="14"/>
    <n v="73591"/>
    <n v="0.9129571610261501"/>
    <x v="902"/>
  </r>
  <r>
    <x v="514"/>
    <x v="3"/>
    <x v="1"/>
    <x v="2"/>
    <x v="902"/>
    <x v="902"/>
    <n v="116237"/>
    <x v="8"/>
    <x v="0"/>
    <n v="63065"/>
    <n v="0.98632105095623601"/>
    <x v="903"/>
  </r>
  <r>
    <x v="327"/>
    <x v="3"/>
    <x v="0"/>
    <x v="2"/>
    <x v="903"/>
    <x v="903"/>
    <n v="289514"/>
    <x v="9"/>
    <x v="14"/>
    <n v="136561"/>
    <n v="1.1399725056473953"/>
    <x v="904"/>
  </r>
  <r>
    <x v="36"/>
    <x v="3"/>
    <x v="1"/>
    <x v="2"/>
    <x v="904"/>
    <x v="904"/>
    <n v="261348"/>
    <x v="6"/>
    <x v="2"/>
    <n v="127399"/>
    <n v="0.8785450816535807"/>
    <x v="905"/>
  </r>
  <r>
    <x v="515"/>
    <x v="0"/>
    <x v="0"/>
    <x v="0"/>
    <x v="905"/>
    <x v="905"/>
    <n v="425878"/>
    <x v="0"/>
    <x v="2"/>
    <n v="223680"/>
    <n v="0.89919883159026759"/>
    <x v="906"/>
  </r>
  <r>
    <x v="166"/>
    <x v="2"/>
    <x v="0"/>
    <x v="0"/>
    <x v="906"/>
    <x v="906"/>
    <n v="249705"/>
    <x v="0"/>
    <x v="4"/>
    <n v="137198"/>
    <n v="0.92793896798221898"/>
    <x v="907"/>
  </r>
  <r>
    <x v="500"/>
    <x v="3"/>
    <x v="0"/>
    <x v="1"/>
    <x v="907"/>
    <x v="907"/>
    <n v="39700"/>
    <x v="11"/>
    <x v="8"/>
    <n v="18959"/>
    <n v="0.88100755667506292"/>
    <x v="908"/>
  </r>
  <r>
    <x v="213"/>
    <x v="1"/>
    <x v="0"/>
    <x v="0"/>
    <x v="908"/>
    <x v="908"/>
    <n v="108350"/>
    <x v="8"/>
    <x v="15"/>
    <n v="70327"/>
    <n v="1.0508814028610982"/>
    <x v="909"/>
  </r>
  <r>
    <x v="230"/>
    <x v="2"/>
    <x v="0"/>
    <x v="1"/>
    <x v="909"/>
    <x v="909"/>
    <n v="454801"/>
    <x v="7"/>
    <x v="1"/>
    <n v="273623"/>
    <n v="0.89086655482287858"/>
    <x v="910"/>
  </r>
  <r>
    <x v="461"/>
    <x v="0"/>
    <x v="0"/>
    <x v="2"/>
    <x v="910"/>
    <x v="910"/>
    <n v="315232"/>
    <x v="5"/>
    <x v="0"/>
    <n v="224585"/>
    <n v="1.0621034666531317"/>
    <x v="911"/>
  </r>
  <r>
    <x v="516"/>
    <x v="1"/>
    <x v="0"/>
    <x v="0"/>
    <x v="911"/>
    <x v="911"/>
    <n v="119618"/>
    <x v="10"/>
    <x v="3"/>
    <n v="65873"/>
    <n v="0.98472637897306425"/>
    <x v="912"/>
  </r>
  <r>
    <x v="168"/>
    <x v="2"/>
    <x v="3"/>
    <x v="1"/>
    <x v="912"/>
    <x v="912"/>
    <n v="511399"/>
    <x v="8"/>
    <x v="0"/>
    <n v="224199"/>
    <n v="0.93518954866943427"/>
    <x v="913"/>
  </r>
  <r>
    <x v="78"/>
    <x v="3"/>
    <x v="2"/>
    <x v="0"/>
    <x v="913"/>
    <x v="913"/>
    <n v="108939"/>
    <x v="6"/>
    <x v="6"/>
    <n v="48590"/>
    <n v="0.93735943968642998"/>
    <x v="914"/>
  </r>
  <r>
    <x v="468"/>
    <x v="1"/>
    <x v="3"/>
    <x v="1"/>
    <x v="914"/>
    <x v="914"/>
    <n v="28236"/>
    <x v="10"/>
    <x v="14"/>
    <n v="11258"/>
    <n v="0.89902960759314354"/>
    <x v="915"/>
  </r>
  <r>
    <x v="64"/>
    <x v="1"/>
    <x v="1"/>
    <x v="0"/>
    <x v="915"/>
    <x v="915"/>
    <n v="117258"/>
    <x v="3"/>
    <x v="15"/>
    <n v="53726"/>
    <n v="1.106738985826127"/>
    <x v="916"/>
  </r>
  <r>
    <x v="517"/>
    <x v="0"/>
    <x v="1"/>
    <x v="1"/>
    <x v="916"/>
    <x v="916"/>
    <n v="108015"/>
    <x v="8"/>
    <x v="6"/>
    <n v="69666"/>
    <n v="1.0565754756283849"/>
    <x v="917"/>
  </r>
  <r>
    <x v="474"/>
    <x v="2"/>
    <x v="0"/>
    <x v="0"/>
    <x v="917"/>
    <x v="917"/>
    <n v="358935"/>
    <x v="14"/>
    <x v="6"/>
    <n v="164674"/>
    <n v="1.1311045175310293"/>
    <x v="918"/>
  </r>
  <r>
    <x v="500"/>
    <x v="0"/>
    <x v="3"/>
    <x v="2"/>
    <x v="918"/>
    <x v="918"/>
    <n v="82710"/>
    <x v="2"/>
    <x v="3"/>
    <n v="39028"/>
    <n v="1.0690605730866884"/>
    <x v="919"/>
  </r>
  <r>
    <x v="518"/>
    <x v="3"/>
    <x v="2"/>
    <x v="0"/>
    <x v="919"/>
    <x v="919"/>
    <n v="353217"/>
    <x v="2"/>
    <x v="9"/>
    <n v="153772"/>
    <n v="1.1354634686325971"/>
    <x v="920"/>
  </r>
  <r>
    <x v="510"/>
    <x v="1"/>
    <x v="3"/>
    <x v="2"/>
    <x v="920"/>
    <x v="920"/>
    <n v="61667"/>
    <x v="15"/>
    <x v="10"/>
    <n v="28099"/>
    <n v="0.87388716817746936"/>
    <x v="921"/>
  </r>
  <r>
    <x v="294"/>
    <x v="3"/>
    <x v="2"/>
    <x v="0"/>
    <x v="921"/>
    <x v="921"/>
    <n v="151906"/>
    <x v="1"/>
    <x v="13"/>
    <n v="63548"/>
    <n v="1.0297749924295287"/>
    <x v="922"/>
  </r>
  <r>
    <x v="519"/>
    <x v="1"/>
    <x v="1"/>
    <x v="0"/>
    <x v="922"/>
    <x v="922"/>
    <n v="125683"/>
    <x v="14"/>
    <x v="8"/>
    <n v="56430"/>
    <n v="1.1035064408074282"/>
    <x v="923"/>
  </r>
  <r>
    <x v="168"/>
    <x v="2"/>
    <x v="3"/>
    <x v="0"/>
    <x v="923"/>
    <x v="923"/>
    <n v="291736"/>
    <x v="9"/>
    <x v="7"/>
    <n v="136022"/>
    <n v="1.0634340636740067"/>
    <x v="924"/>
  </r>
  <r>
    <x v="118"/>
    <x v="3"/>
    <x v="1"/>
    <x v="2"/>
    <x v="924"/>
    <x v="924"/>
    <n v="505203"/>
    <x v="4"/>
    <x v="14"/>
    <n v="220623"/>
    <n v="0.980435587278777"/>
    <x v="925"/>
  </r>
  <r>
    <x v="520"/>
    <x v="3"/>
    <x v="1"/>
    <x v="0"/>
    <x v="925"/>
    <x v="925"/>
    <n v="173308"/>
    <x v="13"/>
    <x v="2"/>
    <n v="92810"/>
    <n v="1.1137627807141044"/>
    <x v="926"/>
  </r>
  <r>
    <x v="61"/>
    <x v="1"/>
    <x v="1"/>
    <x v="1"/>
    <x v="926"/>
    <x v="926"/>
    <n v="442623"/>
    <x v="0"/>
    <x v="5"/>
    <n v="266654"/>
    <n v="1.0952481005279888"/>
    <x v="927"/>
  </r>
  <r>
    <x v="521"/>
    <x v="2"/>
    <x v="1"/>
    <x v="2"/>
    <x v="927"/>
    <x v="927"/>
    <n v="487755"/>
    <x v="4"/>
    <x v="0"/>
    <n v="232877"/>
    <n v="1.1189593135898146"/>
    <x v="928"/>
  </r>
  <r>
    <x v="408"/>
    <x v="2"/>
    <x v="2"/>
    <x v="0"/>
    <x v="928"/>
    <x v="928"/>
    <n v="538225"/>
    <x v="8"/>
    <x v="6"/>
    <n v="206639"/>
    <n v="0.88795206465697429"/>
    <x v="929"/>
  </r>
  <r>
    <x v="132"/>
    <x v="0"/>
    <x v="1"/>
    <x v="0"/>
    <x v="929"/>
    <x v="929"/>
    <n v="338592"/>
    <x v="8"/>
    <x v="7"/>
    <n v="216428"/>
    <n v="0.95686844343634814"/>
    <x v="930"/>
  </r>
  <r>
    <x v="272"/>
    <x v="2"/>
    <x v="1"/>
    <x v="0"/>
    <x v="930"/>
    <x v="930"/>
    <n v="242914"/>
    <x v="0"/>
    <x v="9"/>
    <n v="95655"/>
    <n v="1.0010497542340087"/>
    <x v="931"/>
  </r>
  <r>
    <x v="67"/>
    <x v="0"/>
    <x v="3"/>
    <x v="1"/>
    <x v="931"/>
    <x v="931"/>
    <n v="439623"/>
    <x v="11"/>
    <x v="1"/>
    <n v="209916"/>
    <n v="0.99397893194851039"/>
    <x v="932"/>
  </r>
  <r>
    <x v="76"/>
    <x v="3"/>
    <x v="0"/>
    <x v="2"/>
    <x v="932"/>
    <x v="932"/>
    <n v="175433"/>
    <x v="2"/>
    <x v="5"/>
    <n v="79292"/>
    <n v="0.91507299082840743"/>
    <x v="933"/>
  </r>
  <r>
    <x v="77"/>
    <x v="2"/>
    <x v="0"/>
    <x v="2"/>
    <x v="933"/>
    <x v="933"/>
    <n v="408185"/>
    <x v="3"/>
    <x v="13"/>
    <n v="205726"/>
    <n v="0.99904945061675465"/>
    <x v="934"/>
  </r>
  <r>
    <x v="392"/>
    <x v="1"/>
    <x v="1"/>
    <x v="0"/>
    <x v="934"/>
    <x v="934"/>
    <n v="415633"/>
    <x v="10"/>
    <x v="4"/>
    <n v="311871"/>
    <n v="1.1139009655152503"/>
    <x v="935"/>
  </r>
  <r>
    <x v="208"/>
    <x v="1"/>
    <x v="3"/>
    <x v="1"/>
    <x v="935"/>
    <x v="935"/>
    <n v="280398"/>
    <x v="11"/>
    <x v="11"/>
    <n v="115522"/>
    <n v="0.93566287919314683"/>
    <x v="936"/>
  </r>
  <r>
    <x v="127"/>
    <x v="2"/>
    <x v="0"/>
    <x v="1"/>
    <x v="936"/>
    <x v="936"/>
    <n v="419638"/>
    <x v="10"/>
    <x v="14"/>
    <n v="243331"/>
    <n v="1.1084101058531401"/>
    <x v="937"/>
  </r>
  <r>
    <x v="522"/>
    <x v="2"/>
    <x v="3"/>
    <x v="0"/>
    <x v="937"/>
    <x v="937"/>
    <n v="564950"/>
    <x v="13"/>
    <x v="7"/>
    <n v="292483"/>
    <n v="0.87167005929728292"/>
    <x v="938"/>
  </r>
  <r>
    <x v="345"/>
    <x v="2"/>
    <x v="2"/>
    <x v="0"/>
    <x v="938"/>
    <x v="938"/>
    <n v="118669"/>
    <x v="13"/>
    <x v="10"/>
    <n v="89273"/>
    <n v="1.1557357018260876"/>
    <x v="939"/>
  </r>
  <r>
    <x v="523"/>
    <x v="1"/>
    <x v="2"/>
    <x v="2"/>
    <x v="939"/>
    <x v="939"/>
    <n v="131415"/>
    <x v="7"/>
    <x v="5"/>
    <n v="50723"/>
    <n v="0.98539740516683783"/>
    <x v="940"/>
  </r>
  <r>
    <x v="279"/>
    <x v="0"/>
    <x v="0"/>
    <x v="2"/>
    <x v="940"/>
    <x v="940"/>
    <n v="260664"/>
    <x v="12"/>
    <x v="1"/>
    <n v="187391"/>
    <n v="1.1007388822392046"/>
    <x v="941"/>
  </r>
  <r>
    <x v="524"/>
    <x v="1"/>
    <x v="0"/>
    <x v="0"/>
    <x v="941"/>
    <x v="941"/>
    <n v="146455"/>
    <x v="0"/>
    <x v="1"/>
    <n v="87520"/>
    <n v="1.1204738656925335"/>
    <x v="942"/>
  </r>
  <r>
    <x v="349"/>
    <x v="2"/>
    <x v="2"/>
    <x v="1"/>
    <x v="942"/>
    <x v="942"/>
    <n v="356579"/>
    <x v="13"/>
    <x v="13"/>
    <n v="257661"/>
    <n v="1.0571766705274288"/>
    <x v="943"/>
  </r>
  <r>
    <x v="235"/>
    <x v="1"/>
    <x v="1"/>
    <x v="2"/>
    <x v="943"/>
    <x v="943"/>
    <n v="32551"/>
    <x v="12"/>
    <x v="11"/>
    <n v="20404"/>
    <n v="1.059936714693865"/>
    <x v="944"/>
  </r>
  <r>
    <x v="525"/>
    <x v="1"/>
    <x v="3"/>
    <x v="0"/>
    <x v="944"/>
    <x v="944"/>
    <n v="336495"/>
    <x v="2"/>
    <x v="11"/>
    <n v="167303"/>
    <n v="1.0173583559934025"/>
    <x v="945"/>
  </r>
  <r>
    <x v="461"/>
    <x v="0"/>
    <x v="3"/>
    <x v="0"/>
    <x v="369"/>
    <x v="945"/>
    <n v="344496"/>
    <x v="9"/>
    <x v="1"/>
    <n v="182627"/>
    <n v="0.95127955041567969"/>
    <x v="946"/>
  </r>
  <r>
    <x v="29"/>
    <x v="3"/>
    <x v="1"/>
    <x v="1"/>
    <x v="945"/>
    <x v="946"/>
    <n v="117343"/>
    <x v="14"/>
    <x v="15"/>
    <n v="61706"/>
    <n v="0.95756883665834347"/>
    <x v="947"/>
  </r>
  <r>
    <x v="127"/>
    <x v="3"/>
    <x v="0"/>
    <x v="1"/>
    <x v="946"/>
    <x v="947"/>
    <n v="276762"/>
    <x v="4"/>
    <x v="14"/>
    <n v="144166"/>
    <n v="1.0176071859576097"/>
    <x v="948"/>
  </r>
  <r>
    <x v="387"/>
    <x v="1"/>
    <x v="3"/>
    <x v="2"/>
    <x v="947"/>
    <x v="948"/>
    <n v="456644"/>
    <x v="11"/>
    <x v="1"/>
    <n v="176317"/>
    <n v="0.93883200042045878"/>
    <x v="949"/>
  </r>
  <r>
    <x v="341"/>
    <x v="3"/>
    <x v="2"/>
    <x v="2"/>
    <x v="948"/>
    <x v="949"/>
    <n v="453524"/>
    <x v="6"/>
    <x v="0"/>
    <n v="214555"/>
    <n v="0.92701378537850254"/>
    <x v="950"/>
  </r>
  <r>
    <x v="384"/>
    <x v="1"/>
    <x v="2"/>
    <x v="0"/>
    <x v="949"/>
    <x v="950"/>
    <n v="487365"/>
    <x v="2"/>
    <x v="12"/>
    <n v="281579"/>
    <n v="0.90052835144091181"/>
    <x v="951"/>
  </r>
  <r>
    <x v="526"/>
    <x v="3"/>
    <x v="2"/>
    <x v="1"/>
    <x v="950"/>
    <x v="951"/>
    <n v="260263"/>
    <x v="0"/>
    <x v="10"/>
    <n v="131988"/>
    <n v="1.1722872632683095"/>
    <x v="952"/>
  </r>
  <r>
    <x v="92"/>
    <x v="2"/>
    <x v="2"/>
    <x v="2"/>
    <x v="951"/>
    <x v="952"/>
    <n v="124961"/>
    <x v="8"/>
    <x v="13"/>
    <n v="80946"/>
    <n v="0.95049655492513663"/>
    <x v="953"/>
  </r>
  <r>
    <x v="94"/>
    <x v="0"/>
    <x v="0"/>
    <x v="2"/>
    <x v="952"/>
    <x v="953"/>
    <n v="352440"/>
    <x v="10"/>
    <x v="5"/>
    <n v="174954"/>
    <n v="0.97595051639995456"/>
    <x v="954"/>
  </r>
  <r>
    <x v="142"/>
    <x v="0"/>
    <x v="3"/>
    <x v="1"/>
    <x v="953"/>
    <x v="954"/>
    <n v="20494"/>
    <x v="6"/>
    <x v="4"/>
    <n v="12519"/>
    <n v="1.0509905338147751"/>
    <x v="955"/>
  </r>
  <r>
    <x v="267"/>
    <x v="1"/>
    <x v="0"/>
    <x v="1"/>
    <x v="954"/>
    <x v="955"/>
    <n v="421360"/>
    <x v="8"/>
    <x v="7"/>
    <n v="210410"/>
    <n v="0.88157869755078788"/>
    <x v="956"/>
  </r>
  <r>
    <x v="499"/>
    <x v="3"/>
    <x v="1"/>
    <x v="0"/>
    <x v="955"/>
    <x v="956"/>
    <n v="48153"/>
    <x v="7"/>
    <x v="3"/>
    <n v="22910"/>
    <n v="1.0122733786056943"/>
    <x v="957"/>
  </r>
  <r>
    <x v="527"/>
    <x v="2"/>
    <x v="0"/>
    <x v="0"/>
    <x v="956"/>
    <x v="957"/>
    <n v="444177"/>
    <x v="15"/>
    <x v="6"/>
    <n v="189893"/>
    <n v="1.0265907509844048"/>
    <x v="958"/>
  </r>
  <r>
    <x v="528"/>
    <x v="2"/>
    <x v="1"/>
    <x v="2"/>
    <x v="957"/>
    <x v="958"/>
    <n v="129423"/>
    <x v="4"/>
    <x v="0"/>
    <n v="60578"/>
    <n v="0.90327839719369818"/>
    <x v="959"/>
  </r>
  <r>
    <x v="418"/>
    <x v="2"/>
    <x v="0"/>
    <x v="2"/>
    <x v="958"/>
    <x v="959"/>
    <n v="295123"/>
    <x v="10"/>
    <x v="2"/>
    <n v="198025"/>
    <n v="1.0540520393191992"/>
    <x v="960"/>
  </r>
  <r>
    <x v="469"/>
    <x v="3"/>
    <x v="0"/>
    <x v="2"/>
    <x v="959"/>
    <x v="960"/>
    <n v="109270"/>
    <x v="0"/>
    <x v="9"/>
    <n v="52966"/>
    <n v="1.1027180378878008"/>
    <x v="961"/>
  </r>
  <r>
    <x v="529"/>
    <x v="0"/>
    <x v="1"/>
    <x v="1"/>
    <x v="960"/>
    <x v="961"/>
    <n v="96141"/>
    <x v="13"/>
    <x v="13"/>
    <n v="65814"/>
    <n v="1.0743179288752978"/>
    <x v="962"/>
  </r>
  <r>
    <x v="177"/>
    <x v="1"/>
    <x v="2"/>
    <x v="2"/>
    <x v="961"/>
    <x v="962"/>
    <n v="369741"/>
    <x v="2"/>
    <x v="6"/>
    <n v="145564"/>
    <n v="0.93541965862590304"/>
    <x v="963"/>
  </r>
  <r>
    <x v="122"/>
    <x v="2"/>
    <x v="2"/>
    <x v="2"/>
    <x v="962"/>
    <x v="963"/>
    <n v="85937"/>
    <x v="7"/>
    <x v="0"/>
    <n v="52513"/>
    <n v="1.1459324854253699"/>
    <x v="964"/>
  </r>
  <r>
    <x v="188"/>
    <x v="1"/>
    <x v="0"/>
    <x v="2"/>
    <x v="963"/>
    <x v="964"/>
    <n v="165294"/>
    <x v="14"/>
    <x v="15"/>
    <n v="94997"/>
    <n v="1.0745096615727128"/>
    <x v="965"/>
  </r>
  <r>
    <x v="530"/>
    <x v="0"/>
    <x v="3"/>
    <x v="2"/>
    <x v="964"/>
    <x v="965"/>
    <n v="315134"/>
    <x v="3"/>
    <x v="7"/>
    <n v="152992"/>
    <n v="0.87670007044622289"/>
    <x v="966"/>
  </r>
  <r>
    <x v="418"/>
    <x v="2"/>
    <x v="1"/>
    <x v="2"/>
    <x v="965"/>
    <x v="966"/>
    <n v="151515"/>
    <x v="7"/>
    <x v="1"/>
    <n v="62116"/>
    <n v="1.0002508002508002"/>
    <x v="967"/>
  </r>
  <r>
    <x v="47"/>
    <x v="3"/>
    <x v="0"/>
    <x v="0"/>
    <x v="966"/>
    <x v="967"/>
    <n v="249362"/>
    <x v="4"/>
    <x v="6"/>
    <n v="129753"/>
    <n v="0.8736936662362349"/>
    <x v="968"/>
  </r>
  <r>
    <x v="213"/>
    <x v="3"/>
    <x v="3"/>
    <x v="2"/>
    <x v="967"/>
    <x v="968"/>
    <n v="280326"/>
    <x v="10"/>
    <x v="12"/>
    <n v="153324"/>
    <n v="0.90449690717236364"/>
    <x v="969"/>
  </r>
  <r>
    <x v="495"/>
    <x v="3"/>
    <x v="1"/>
    <x v="0"/>
    <x v="968"/>
    <x v="969"/>
    <n v="517255"/>
    <x v="1"/>
    <x v="2"/>
    <n v="305705"/>
    <n v="0.95762051599307885"/>
    <x v="970"/>
  </r>
  <r>
    <x v="266"/>
    <x v="1"/>
    <x v="2"/>
    <x v="1"/>
    <x v="969"/>
    <x v="970"/>
    <n v="350553"/>
    <x v="15"/>
    <x v="0"/>
    <n v="178728"/>
    <n v="0.93033293111170068"/>
    <x v="971"/>
  </r>
  <r>
    <x v="153"/>
    <x v="2"/>
    <x v="0"/>
    <x v="0"/>
    <x v="970"/>
    <x v="971"/>
    <n v="533399"/>
    <x v="2"/>
    <x v="2"/>
    <n v="243123"/>
    <n v="0.88094090915056089"/>
    <x v="972"/>
  </r>
  <r>
    <x v="531"/>
    <x v="0"/>
    <x v="0"/>
    <x v="1"/>
    <x v="971"/>
    <x v="972"/>
    <n v="147648"/>
    <x v="5"/>
    <x v="15"/>
    <n v="70647"/>
    <n v="1.0274910598179454"/>
    <x v="973"/>
  </r>
  <r>
    <x v="532"/>
    <x v="3"/>
    <x v="0"/>
    <x v="0"/>
    <x v="972"/>
    <x v="973"/>
    <n v="393317"/>
    <x v="5"/>
    <x v="8"/>
    <n v="164902"/>
    <n v="0.92239084504356539"/>
    <x v="974"/>
  </r>
  <r>
    <x v="321"/>
    <x v="1"/>
    <x v="2"/>
    <x v="0"/>
    <x v="973"/>
    <x v="974"/>
    <n v="319261"/>
    <x v="11"/>
    <x v="9"/>
    <n v="196299"/>
    <n v="1.0683422027745324"/>
    <x v="975"/>
  </r>
  <r>
    <x v="533"/>
    <x v="1"/>
    <x v="3"/>
    <x v="2"/>
    <x v="974"/>
    <x v="975"/>
    <n v="359887"/>
    <x v="14"/>
    <x v="8"/>
    <n v="145606"/>
    <n v="0.89909332651637874"/>
    <x v="976"/>
  </r>
  <r>
    <x v="407"/>
    <x v="3"/>
    <x v="1"/>
    <x v="2"/>
    <x v="975"/>
    <x v="976"/>
    <n v="200136"/>
    <x v="15"/>
    <x v="13"/>
    <n v="91213"/>
    <n v="0.98899748171243551"/>
    <x v="977"/>
  </r>
  <r>
    <x v="44"/>
    <x v="1"/>
    <x v="0"/>
    <x v="2"/>
    <x v="976"/>
    <x v="977"/>
    <n v="334161"/>
    <x v="15"/>
    <x v="2"/>
    <n v="170560"/>
    <n v="0.89100762805952816"/>
    <x v="978"/>
  </r>
  <r>
    <x v="534"/>
    <x v="1"/>
    <x v="3"/>
    <x v="2"/>
    <x v="977"/>
    <x v="978"/>
    <n v="363224"/>
    <x v="0"/>
    <x v="15"/>
    <n v="250176"/>
    <n v="1.0872161531176354"/>
    <x v="979"/>
  </r>
  <r>
    <x v="253"/>
    <x v="2"/>
    <x v="3"/>
    <x v="1"/>
    <x v="978"/>
    <x v="979"/>
    <n v="224217"/>
    <x v="7"/>
    <x v="15"/>
    <n v="83085"/>
    <n v="0.93952733289625678"/>
    <x v="980"/>
  </r>
  <r>
    <x v="535"/>
    <x v="3"/>
    <x v="0"/>
    <x v="1"/>
    <x v="979"/>
    <x v="980"/>
    <n v="453645"/>
    <x v="4"/>
    <x v="9"/>
    <n v="211679"/>
    <n v="0.8742959803370477"/>
    <x v="981"/>
  </r>
  <r>
    <x v="536"/>
    <x v="1"/>
    <x v="2"/>
    <x v="2"/>
    <x v="980"/>
    <x v="981"/>
    <n v="302725"/>
    <x v="3"/>
    <x v="9"/>
    <n v="193156"/>
    <n v="1.0579932281773887"/>
    <x v="982"/>
  </r>
  <r>
    <x v="358"/>
    <x v="1"/>
    <x v="2"/>
    <x v="1"/>
    <x v="981"/>
    <x v="982"/>
    <n v="14599"/>
    <x v="15"/>
    <x v="5"/>
    <n v="8126"/>
    <n v="1.1549421193232414"/>
    <x v="983"/>
  </r>
  <r>
    <x v="395"/>
    <x v="2"/>
    <x v="0"/>
    <x v="1"/>
    <x v="982"/>
    <x v="983"/>
    <n v="217951"/>
    <x v="0"/>
    <x v="7"/>
    <n v="89316"/>
    <n v="0.91272350207156649"/>
    <x v="984"/>
  </r>
  <r>
    <x v="47"/>
    <x v="3"/>
    <x v="3"/>
    <x v="1"/>
    <x v="983"/>
    <x v="984"/>
    <n v="333508"/>
    <x v="5"/>
    <x v="8"/>
    <n v="187081"/>
    <n v="1.0145034002182856"/>
    <x v="985"/>
  </r>
  <r>
    <x v="69"/>
    <x v="2"/>
    <x v="1"/>
    <x v="2"/>
    <x v="984"/>
    <x v="985"/>
    <n v="318121"/>
    <x v="4"/>
    <x v="9"/>
    <n v="208394"/>
    <n v="0.99908839718220421"/>
    <x v="986"/>
  </r>
  <r>
    <x v="537"/>
    <x v="1"/>
    <x v="2"/>
    <x v="2"/>
    <x v="985"/>
    <x v="986"/>
    <n v="379325"/>
    <x v="8"/>
    <x v="6"/>
    <n v="196355"/>
    <n v="1.0088683846305939"/>
    <x v="987"/>
  </r>
  <r>
    <x v="471"/>
    <x v="3"/>
    <x v="3"/>
    <x v="1"/>
    <x v="986"/>
    <x v="987"/>
    <n v="516094"/>
    <x v="13"/>
    <x v="11"/>
    <n v="248367"/>
    <n v="1.0360496343689327"/>
    <x v="988"/>
  </r>
  <r>
    <x v="490"/>
    <x v="1"/>
    <x v="1"/>
    <x v="0"/>
    <x v="987"/>
    <x v="988"/>
    <n v="350838"/>
    <x v="7"/>
    <x v="9"/>
    <n v="141304"/>
    <n v="0.88792263095787805"/>
    <x v="989"/>
  </r>
  <r>
    <x v="359"/>
    <x v="3"/>
    <x v="0"/>
    <x v="0"/>
    <x v="988"/>
    <x v="989"/>
    <n v="275933"/>
    <x v="0"/>
    <x v="2"/>
    <n v="167736"/>
    <n v="0.99306353353893884"/>
    <x v="990"/>
  </r>
  <r>
    <x v="132"/>
    <x v="0"/>
    <x v="2"/>
    <x v="0"/>
    <x v="989"/>
    <x v="990"/>
    <n v="259404"/>
    <x v="8"/>
    <x v="8"/>
    <n v="104107"/>
    <n v="0.9693374042034818"/>
    <x v="991"/>
  </r>
  <r>
    <x v="538"/>
    <x v="2"/>
    <x v="2"/>
    <x v="2"/>
    <x v="990"/>
    <x v="991"/>
    <n v="267158"/>
    <x v="10"/>
    <x v="15"/>
    <n v="147573"/>
    <n v="1.0985858555611285"/>
    <x v="992"/>
  </r>
  <r>
    <x v="462"/>
    <x v="2"/>
    <x v="2"/>
    <x v="0"/>
    <x v="991"/>
    <x v="992"/>
    <n v="271664"/>
    <x v="4"/>
    <x v="11"/>
    <n v="105822"/>
    <n v="0.91545806584604517"/>
    <x v="993"/>
  </r>
  <r>
    <x v="539"/>
    <x v="2"/>
    <x v="3"/>
    <x v="0"/>
    <x v="992"/>
    <x v="993"/>
    <n v="141739"/>
    <x v="4"/>
    <x v="5"/>
    <n v="80442"/>
    <n v="0.99265551471366387"/>
    <x v="994"/>
  </r>
  <r>
    <x v="94"/>
    <x v="3"/>
    <x v="1"/>
    <x v="0"/>
    <x v="993"/>
    <x v="994"/>
    <n v="388876"/>
    <x v="15"/>
    <x v="15"/>
    <n v="158569"/>
    <n v="1.0152902210473262"/>
    <x v="995"/>
  </r>
  <r>
    <x v="514"/>
    <x v="2"/>
    <x v="3"/>
    <x v="0"/>
    <x v="994"/>
    <x v="995"/>
    <n v="370489"/>
    <x v="13"/>
    <x v="12"/>
    <n v="249746"/>
    <n v="1.1026994053804566"/>
    <x v="996"/>
  </r>
  <r>
    <x v="364"/>
    <x v="1"/>
    <x v="2"/>
    <x v="2"/>
    <x v="995"/>
    <x v="996"/>
    <n v="259702"/>
    <x v="2"/>
    <x v="14"/>
    <n v="123258"/>
    <n v="1.084824144596499"/>
    <x v="997"/>
  </r>
  <r>
    <x v="90"/>
    <x v="1"/>
    <x v="2"/>
    <x v="2"/>
    <x v="996"/>
    <x v="997"/>
    <n v="408601"/>
    <x v="3"/>
    <x v="7"/>
    <n v="192308"/>
    <n v="0.97877636129133316"/>
    <x v="998"/>
  </r>
  <r>
    <x v="540"/>
    <x v="0"/>
    <x v="0"/>
    <x v="0"/>
    <x v="997"/>
    <x v="998"/>
    <n v="458031"/>
    <x v="2"/>
    <x v="0"/>
    <n v="165349"/>
    <n v="0.88511912949123528"/>
    <x v="999"/>
  </r>
  <r>
    <x v="136"/>
    <x v="2"/>
    <x v="2"/>
    <x v="1"/>
    <x v="998"/>
    <x v="999"/>
    <n v="24242"/>
    <x v="7"/>
    <x v="7"/>
    <n v="8922"/>
    <n v="0.90978467123174656"/>
    <x v="1000"/>
  </r>
  <r>
    <x v="209"/>
    <x v="0"/>
    <x v="0"/>
    <x v="2"/>
    <x v="999"/>
    <x v="1000"/>
    <n v="481358"/>
    <x v="15"/>
    <x v="2"/>
    <n v="193936"/>
    <n v="0.89869286477008792"/>
    <x v="1001"/>
  </r>
  <r>
    <x v="541"/>
    <x v="1"/>
    <x v="0"/>
    <x v="1"/>
    <x v="1000"/>
    <x v="1001"/>
    <n v="137140"/>
    <x v="4"/>
    <x v="4"/>
    <n v="73339"/>
    <n v="1.0647221817121191"/>
    <x v="1002"/>
  </r>
  <r>
    <x v="351"/>
    <x v="0"/>
    <x v="2"/>
    <x v="0"/>
    <x v="1001"/>
    <x v="1002"/>
    <n v="244875"/>
    <x v="9"/>
    <x v="11"/>
    <n v="130569"/>
    <n v="1.0694476773864217"/>
    <x v="1003"/>
  </r>
  <r>
    <x v="448"/>
    <x v="0"/>
    <x v="2"/>
    <x v="0"/>
    <x v="1002"/>
    <x v="1003"/>
    <n v="440741"/>
    <x v="10"/>
    <x v="0"/>
    <n v="259953"/>
    <n v="1.0365452726204278"/>
    <x v="1004"/>
  </r>
  <r>
    <x v="269"/>
    <x v="1"/>
    <x v="3"/>
    <x v="0"/>
    <x v="1003"/>
    <x v="1004"/>
    <n v="167296"/>
    <x v="6"/>
    <x v="6"/>
    <n v="80611"/>
    <n v="0.91292081101759759"/>
    <x v="1005"/>
  </r>
  <r>
    <x v="542"/>
    <x v="1"/>
    <x v="1"/>
    <x v="1"/>
    <x v="1004"/>
    <x v="1005"/>
    <n v="175420"/>
    <x v="12"/>
    <x v="14"/>
    <n v="74882"/>
    <n v="0.94102724888838218"/>
    <x v="1006"/>
  </r>
  <r>
    <x v="543"/>
    <x v="1"/>
    <x v="0"/>
    <x v="2"/>
    <x v="1005"/>
    <x v="1006"/>
    <n v="429667"/>
    <x v="9"/>
    <x v="2"/>
    <n v="234337"/>
    <n v="1.0878796835689033"/>
    <x v="1007"/>
  </r>
  <r>
    <x v="184"/>
    <x v="3"/>
    <x v="3"/>
    <x v="0"/>
    <x v="1006"/>
    <x v="1007"/>
    <n v="37437"/>
    <x v="12"/>
    <x v="7"/>
    <n v="14739"/>
    <n v="0.97798968934476582"/>
    <x v="1008"/>
  </r>
  <r>
    <x v="544"/>
    <x v="3"/>
    <x v="0"/>
    <x v="1"/>
    <x v="1007"/>
    <x v="1008"/>
    <n v="367256"/>
    <x v="14"/>
    <x v="11"/>
    <n v="222724"/>
    <n v="1.1747690983945804"/>
    <x v="1009"/>
  </r>
  <r>
    <x v="8"/>
    <x v="0"/>
    <x v="1"/>
    <x v="1"/>
    <x v="1008"/>
    <x v="1009"/>
    <n v="206035"/>
    <x v="9"/>
    <x v="15"/>
    <n v="159555"/>
    <n v="1.1748829082437451"/>
    <x v="1010"/>
  </r>
  <r>
    <x v="545"/>
    <x v="0"/>
    <x v="0"/>
    <x v="2"/>
    <x v="1009"/>
    <x v="1010"/>
    <n v="494774"/>
    <x v="3"/>
    <x v="14"/>
    <n v="247736"/>
    <n v="0.90207852474058858"/>
    <x v="1011"/>
  </r>
  <r>
    <x v="129"/>
    <x v="3"/>
    <x v="0"/>
    <x v="0"/>
    <x v="1010"/>
    <x v="1011"/>
    <n v="147187"/>
    <x v="11"/>
    <x v="3"/>
    <n v="81495"/>
    <n v="1.0681242229272965"/>
    <x v="1012"/>
  </r>
  <r>
    <x v="186"/>
    <x v="1"/>
    <x v="3"/>
    <x v="0"/>
    <x v="1011"/>
    <x v="394"/>
    <n v="12944"/>
    <x v="6"/>
    <x v="14"/>
    <n v="6258"/>
    <n v="1.1071538936959209"/>
    <x v="1013"/>
  </r>
  <r>
    <x v="29"/>
    <x v="0"/>
    <x v="0"/>
    <x v="1"/>
    <x v="1012"/>
    <x v="1012"/>
    <n v="169126"/>
    <x v="1"/>
    <x v="3"/>
    <n v="112164"/>
    <n v="1.1502903160956919"/>
    <x v="1014"/>
  </r>
  <r>
    <x v="149"/>
    <x v="3"/>
    <x v="2"/>
    <x v="2"/>
    <x v="1013"/>
    <x v="1013"/>
    <n v="391984"/>
    <x v="9"/>
    <x v="12"/>
    <n v="243478"/>
    <n v="1.0760923915261846"/>
    <x v="1015"/>
  </r>
  <r>
    <x v="444"/>
    <x v="0"/>
    <x v="1"/>
    <x v="2"/>
    <x v="1014"/>
    <x v="1014"/>
    <n v="291825"/>
    <x v="0"/>
    <x v="6"/>
    <n v="152595"/>
    <n v="0.91572346440503727"/>
    <x v="1016"/>
  </r>
  <r>
    <x v="314"/>
    <x v="3"/>
    <x v="3"/>
    <x v="2"/>
    <x v="1015"/>
    <x v="1015"/>
    <n v="47336"/>
    <x v="11"/>
    <x v="4"/>
    <n v="20501"/>
    <n v="1.0226677370288997"/>
    <x v="1017"/>
  </r>
  <r>
    <x v="305"/>
    <x v="3"/>
    <x v="1"/>
    <x v="2"/>
    <x v="1016"/>
    <x v="1016"/>
    <n v="101143"/>
    <x v="11"/>
    <x v="14"/>
    <n v="60798"/>
    <n v="0.90206934735967892"/>
    <x v="1018"/>
  </r>
  <r>
    <x v="546"/>
    <x v="2"/>
    <x v="2"/>
    <x v="1"/>
    <x v="1017"/>
    <x v="1017"/>
    <n v="430764"/>
    <x v="1"/>
    <x v="2"/>
    <n v="208286"/>
    <n v="1.0794495361729393"/>
    <x v="1019"/>
  </r>
  <r>
    <x v="547"/>
    <x v="1"/>
    <x v="0"/>
    <x v="1"/>
    <x v="1018"/>
    <x v="1018"/>
    <n v="244140"/>
    <x v="10"/>
    <x v="15"/>
    <n v="129303"/>
    <n v="0.96305808142868843"/>
    <x v="1020"/>
  </r>
  <r>
    <x v="546"/>
    <x v="1"/>
    <x v="1"/>
    <x v="0"/>
    <x v="1019"/>
    <x v="1019"/>
    <n v="534103"/>
    <x v="11"/>
    <x v="5"/>
    <n v="320952"/>
    <n v="0.91134481551311264"/>
    <x v="1021"/>
  </r>
  <r>
    <x v="426"/>
    <x v="2"/>
    <x v="2"/>
    <x v="0"/>
    <x v="1020"/>
    <x v="1020"/>
    <n v="30220"/>
    <x v="9"/>
    <x v="2"/>
    <n v="17439"/>
    <n v="1.1245532759761747"/>
    <x v="1022"/>
  </r>
  <r>
    <x v="43"/>
    <x v="2"/>
    <x v="0"/>
    <x v="0"/>
    <x v="1021"/>
    <x v="1021"/>
    <n v="346345"/>
    <x v="6"/>
    <x v="9"/>
    <n v="161900"/>
    <n v="0.87521979529082272"/>
    <x v="1023"/>
  </r>
  <r>
    <x v="167"/>
    <x v="2"/>
    <x v="2"/>
    <x v="2"/>
    <x v="1022"/>
    <x v="1022"/>
    <n v="222697"/>
    <x v="2"/>
    <x v="7"/>
    <n v="96455"/>
    <n v="0.9042555580003323"/>
    <x v="1024"/>
  </r>
  <r>
    <x v="185"/>
    <x v="2"/>
    <x v="2"/>
    <x v="1"/>
    <x v="1023"/>
    <x v="1023"/>
    <n v="144226"/>
    <x v="1"/>
    <x v="6"/>
    <n v="92487"/>
    <n v="1.1138144301304898"/>
    <x v="1025"/>
  </r>
  <r>
    <x v="548"/>
    <x v="2"/>
    <x v="2"/>
    <x v="2"/>
    <x v="1024"/>
    <x v="1024"/>
    <n v="204385"/>
    <x v="11"/>
    <x v="3"/>
    <n v="140288"/>
    <n v="1.0604936761504025"/>
    <x v="1026"/>
  </r>
  <r>
    <x v="535"/>
    <x v="2"/>
    <x v="1"/>
    <x v="2"/>
    <x v="1025"/>
    <x v="1025"/>
    <n v="159769"/>
    <x v="0"/>
    <x v="1"/>
    <n v="94081"/>
    <n v="0.97018820922707161"/>
    <x v="1027"/>
  </r>
  <r>
    <x v="549"/>
    <x v="1"/>
    <x v="1"/>
    <x v="2"/>
    <x v="1026"/>
    <x v="1026"/>
    <n v="48138"/>
    <x v="5"/>
    <x v="0"/>
    <n v="28788"/>
    <n v="1.040508537953384"/>
    <x v="1028"/>
  </r>
  <r>
    <x v="158"/>
    <x v="1"/>
    <x v="3"/>
    <x v="2"/>
    <x v="1027"/>
    <x v="1027"/>
    <n v="210840"/>
    <x v="10"/>
    <x v="14"/>
    <n v="87976"/>
    <n v="0.93937583001328018"/>
    <x v="1029"/>
  </r>
  <r>
    <x v="545"/>
    <x v="0"/>
    <x v="0"/>
    <x v="1"/>
    <x v="1028"/>
    <x v="1028"/>
    <n v="123705"/>
    <x v="10"/>
    <x v="14"/>
    <n v="48823"/>
    <n v="0.96525605270603454"/>
    <x v="1030"/>
  </r>
  <r>
    <x v="67"/>
    <x v="1"/>
    <x v="0"/>
    <x v="2"/>
    <x v="1029"/>
    <x v="1029"/>
    <n v="442284"/>
    <x v="14"/>
    <x v="2"/>
    <n v="214918"/>
    <n v="0.94228369102205822"/>
    <x v="1031"/>
  </r>
  <r>
    <x v="550"/>
    <x v="3"/>
    <x v="2"/>
    <x v="0"/>
    <x v="1030"/>
    <x v="1030"/>
    <n v="78359"/>
    <x v="6"/>
    <x v="3"/>
    <n v="60034"/>
    <n v="1.1744534769458519"/>
    <x v="1032"/>
  </r>
  <r>
    <x v="125"/>
    <x v="3"/>
    <x v="0"/>
    <x v="0"/>
    <x v="1031"/>
    <x v="1031"/>
    <n v="479727"/>
    <x v="6"/>
    <x v="10"/>
    <n v="221904"/>
    <n v="0.89267645973647514"/>
    <x v="1033"/>
  </r>
  <r>
    <x v="551"/>
    <x v="2"/>
    <x v="2"/>
    <x v="1"/>
    <x v="1032"/>
    <x v="1032"/>
    <n v="285937"/>
    <x v="3"/>
    <x v="4"/>
    <n v="176430"/>
    <n v="0.99126031258633895"/>
    <x v="1034"/>
  </r>
  <r>
    <x v="462"/>
    <x v="1"/>
    <x v="1"/>
    <x v="0"/>
    <x v="1033"/>
    <x v="1033"/>
    <n v="134990"/>
    <x v="9"/>
    <x v="3"/>
    <n v="88254"/>
    <n v="1.0450700051855693"/>
    <x v="1035"/>
  </r>
  <r>
    <x v="552"/>
    <x v="1"/>
    <x v="0"/>
    <x v="2"/>
    <x v="1034"/>
    <x v="1034"/>
    <n v="67160"/>
    <x v="6"/>
    <x v="7"/>
    <n v="31968"/>
    <n v="1.1527843954734962"/>
    <x v="1036"/>
  </r>
  <r>
    <x v="553"/>
    <x v="1"/>
    <x v="2"/>
    <x v="0"/>
    <x v="1035"/>
    <x v="1035"/>
    <n v="250841"/>
    <x v="8"/>
    <x v="0"/>
    <n v="146052"/>
    <n v="0.99072719372032481"/>
    <x v="1037"/>
  </r>
  <r>
    <x v="554"/>
    <x v="0"/>
    <x v="1"/>
    <x v="0"/>
    <x v="1036"/>
    <x v="1036"/>
    <n v="326296"/>
    <x v="8"/>
    <x v="12"/>
    <n v="177792"/>
    <n v="0.96649667786304461"/>
    <x v="1038"/>
  </r>
  <r>
    <x v="492"/>
    <x v="0"/>
    <x v="1"/>
    <x v="1"/>
    <x v="1037"/>
    <x v="1037"/>
    <n v="304072"/>
    <x v="8"/>
    <x v="2"/>
    <n v="180432"/>
    <n v="1.0568944197426926"/>
    <x v="1039"/>
  </r>
  <r>
    <x v="243"/>
    <x v="2"/>
    <x v="3"/>
    <x v="0"/>
    <x v="1038"/>
    <x v="1038"/>
    <n v="63847"/>
    <x v="15"/>
    <x v="4"/>
    <n v="36583"/>
    <n v="1.036477829811894"/>
    <x v="1040"/>
  </r>
  <r>
    <x v="555"/>
    <x v="2"/>
    <x v="0"/>
    <x v="1"/>
    <x v="1039"/>
    <x v="1039"/>
    <n v="425951"/>
    <x v="13"/>
    <x v="12"/>
    <n v="188959"/>
    <n v="1.0671110057260107"/>
    <x v="1041"/>
  </r>
  <r>
    <x v="308"/>
    <x v="3"/>
    <x v="2"/>
    <x v="0"/>
    <x v="1040"/>
    <x v="1040"/>
    <n v="405476"/>
    <x v="6"/>
    <x v="2"/>
    <n v="266766"/>
    <n v="1.0835610492359598"/>
    <x v="1042"/>
  </r>
  <r>
    <x v="199"/>
    <x v="3"/>
    <x v="1"/>
    <x v="2"/>
    <x v="1041"/>
    <x v="1041"/>
    <n v="300442"/>
    <x v="11"/>
    <x v="7"/>
    <n v="149778"/>
    <n v="1.0389293108153987"/>
    <x v="1043"/>
  </r>
  <r>
    <x v="473"/>
    <x v="3"/>
    <x v="2"/>
    <x v="0"/>
    <x v="1042"/>
    <x v="1042"/>
    <n v="405083"/>
    <x v="4"/>
    <x v="5"/>
    <n v="262659"/>
    <n v="1.0240148315283535"/>
    <x v="1044"/>
  </r>
  <r>
    <x v="490"/>
    <x v="3"/>
    <x v="0"/>
    <x v="2"/>
    <x v="1043"/>
    <x v="1043"/>
    <n v="85088"/>
    <x v="7"/>
    <x v="8"/>
    <n v="41119"/>
    <n v="1.1458960135389245"/>
    <x v="1045"/>
  </r>
  <r>
    <x v="425"/>
    <x v="2"/>
    <x v="1"/>
    <x v="0"/>
    <x v="1044"/>
    <x v="1044"/>
    <n v="437250"/>
    <x v="4"/>
    <x v="14"/>
    <n v="240840"/>
    <n v="1.1239245283018868"/>
    <x v="1046"/>
  </r>
  <r>
    <x v="556"/>
    <x v="0"/>
    <x v="0"/>
    <x v="1"/>
    <x v="1045"/>
    <x v="1045"/>
    <n v="100127"/>
    <x v="8"/>
    <x v="13"/>
    <n v="48550"/>
    <n v="0.89829916006671529"/>
    <x v="1047"/>
  </r>
  <r>
    <x v="185"/>
    <x v="0"/>
    <x v="2"/>
    <x v="1"/>
    <x v="1046"/>
    <x v="1046"/>
    <n v="23015"/>
    <x v="8"/>
    <x v="15"/>
    <n v="11189"/>
    <n v="1.0846404518792092"/>
    <x v="1048"/>
  </r>
  <r>
    <x v="557"/>
    <x v="2"/>
    <x v="3"/>
    <x v="1"/>
    <x v="1047"/>
    <x v="1047"/>
    <n v="243384"/>
    <x v="4"/>
    <x v="1"/>
    <n v="170798"/>
    <n v="1.085893074318772"/>
    <x v="1049"/>
  </r>
  <r>
    <x v="390"/>
    <x v="3"/>
    <x v="3"/>
    <x v="0"/>
    <x v="1048"/>
    <x v="1048"/>
    <n v="256322"/>
    <x v="14"/>
    <x v="0"/>
    <n v="126642"/>
    <n v="0.9900359703810051"/>
    <x v="1050"/>
  </r>
  <r>
    <x v="558"/>
    <x v="2"/>
    <x v="1"/>
    <x v="1"/>
    <x v="1049"/>
    <x v="1049"/>
    <n v="68224"/>
    <x v="8"/>
    <x v="13"/>
    <n v="48659"/>
    <n v="1.1678001876172608"/>
    <x v="1051"/>
  </r>
  <r>
    <x v="559"/>
    <x v="0"/>
    <x v="3"/>
    <x v="0"/>
    <x v="1050"/>
    <x v="1050"/>
    <n v="89549"/>
    <x v="10"/>
    <x v="12"/>
    <n v="38631"/>
    <n v="0.93284123775809891"/>
    <x v="1052"/>
  </r>
  <r>
    <x v="460"/>
    <x v="3"/>
    <x v="0"/>
    <x v="0"/>
    <x v="1051"/>
    <x v="1051"/>
    <n v="284248"/>
    <x v="2"/>
    <x v="5"/>
    <n v="95310"/>
    <n v="0.87313894908671297"/>
    <x v="1053"/>
  </r>
  <r>
    <x v="183"/>
    <x v="1"/>
    <x v="1"/>
    <x v="1"/>
    <x v="1052"/>
    <x v="1052"/>
    <n v="488842"/>
    <x v="3"/>
    <x v="12"/>
    <n v="271445"/>
    <n v="0.97463188514898469"/>
    <x v="1054"/>
  </r>
  <r>
    <x v="453"/>
    <x v="2"/>
    <x v="2"/>
    <x v="2"/>
    <x v="1053"/>
    <x v="1053"/>
    <n v="123619"/>
    <x v="2"/>
    <x v="5"/>
    <n v="65056"/>
    <n v="0.92150074017748085"/>
    <x v="1055"/>
  </r>
  <r>
    <x v="560"/>
    <x v="3"/>
    <x v="2"/>
    <x v="2"/>
    <x v="1054"/>
    <x v="1054"/>
    <n v="152629"/>
    <x v="14"/>
    <x v="5"/>
    <n v="69531"/>
    <n v="0.93558235983987315"/>
    <x v="1056"/>
  </r>
  <r>
    <x v="169"/>
    <x v="3"/>
    <x v="0"/>
    <x v="0"/>
    <x v="1055"/>
    <x v="1055"/>
    <n v="392579"/>
    <x v="3"/>
    <x v="7"/>
    <n v="191316"/>
    <n v="0.88577076206317706"/>
    <x v="1057"/>
  </r>
  <r>
    <x v="561"/>
    <x v="2"/>
    <x v="2"/>
    <x v="1"/>
    <x v="1056"/>
    <x v="1056"/>
    <n v="205528"/>
    <x v="14"/>
    <x v="1"/>
    <n v="108417"/>
    <n v="1.0121102720797166"/>
    <x v="1058"/>
  </r>
  <r>
    <x v="36"/>
    <x v="0"/>
    <x v="2"/>
    <x v="1"/>
    <x v="1057"/>
    <x v="1057"/>
    <n v="131182"/>
    <x v="3"/>
    <x v="5"/>
    <n v="84217"/>
    <n v="1.1624079523105304"/>
    <x v="1059"/>
  </r>
  <r>
    <x v="109"/>
    <x v="2"/>
    <x v="3"/>
    <x v="0"/>
    <x v="1058"/>
    <x v="1058"/>
    <n v="512520"/>
    <x v="12"/>
    <x v="12"/>
    <n v="383586"/>
    <n v="1.0911847342542731"/>
    <x v="1060"/>
  </r>
  <r>
    <x v="562"/>
    <x v="0"/>
    <x v="3"/>
    <x v="1"/>
    <x v="1059"/>
    <x v="1059"/>
    <n v="289737"/>
    <x v="15"/>
    <x v="4"/>
    <n v="183925"/>
    <n v="1.0518780825369214"/>
    <x v="1061"/>
  </r>
  <r>
    <x v="563"/>
    <x v="3"/>
    <x v="1"/>
    <x v="2"/>
    <x v="1060"/>
    <x v="1060"/>
    <n v="178868"/>
    <x v="7"/>
    <x v="3"/>
    <n v="68646"/>
    <n v="0.95584453339893105"/>
    <x v="1062"/>
  </r>
  <r>
    <x v="325"/>
    <x v="2"/>
    <x v="0"/>
    <x v="0"/>
    <x v="1061"/>
    <x v="1061"/>
    <n v="203539"/>
    <x v="10"/>
    <x v="9"/>
    <n v="121162"/>
    <n v="1.1588147725988631"/>
    <x v="1063"/>
  </r>
  <r>
    <x v="564"/>
    <x v="2"/>
    <x v="0"/>
    <x v="2"/>
    <x v="1062"/>
    <x v="1062"/>
    <n v="233751"/>
    <x v="1"/>
    <x v="1"/>
    <n v="170492"/>
    <n v="1.0565687419519061"/>
    <x v="1064"/>
  </r>
  <r>
    <x v="401"/>
    <x v="2"/>
    <x v="2"/>
    <x v="0"/>
    <x v="1063"/>
    <x v="1063"/>
    <n v="473360"/>
    <x v="2"/>
    <x v="14"/>
    <n v="194291"/>
    <n v="0.89730860233226295"/>
    <x v="1065"/>
  </r>
  <r>
    <x v="213"/>
    <x v="3"/>
    <x v="3"/>
    <x v="0"/>
    <x v="1064"/>
    <x v="1064"/>
    <n v="361785"/>
    <x v="6"/>
    <x v="10"/>
    <n v="157431"/>
    <n v="0.99489199386375882"/>
    <x v="1066"/>
  </r>
  <r>
    <x v="15"/>
    <x v="1"/>
    <x v="2"/>
    <x v="1"/>
    <x v="1065"/>
    <x v="1065"/>
    <n v="483719"/>
    <x v="12"/>
    <x v="5"/>
    <n v="292815"/>
    <n v="1.0024456347590234"/>
    <x v="1067"/>
  </r>
  <r>
    <x v="464"/>
    <x v="2"/>
    <x v="2"/>
    <x v="2"/>
    <x v="1066"/>
    <x v="1066"/>
    <n v="114884"/>
    <x v="15"/>
    <x v="1"/>
    <n v="69261"/>
    <n v="1.109014310086696"/>
    <x v="1068"/>
  </r>
  <r>
    <x v="245"/>
    <x v="0"/>
    <x v="2"/>
    <x v="2"/>
    <x v="1067"/>
    <x v="1067"/>
    <n v="351255"/>
    <x v="13"/>
    <x v="8"/>
    <n v="175023"/>
    <n v="0.93321945595080502"/>
    <x v="1069"/>
  </r>
  <r>
    <x v="507"/>
    <x v="2"/>
    <x v="3"/>
    <x v="0"/>
    <x v="1068"/>
    <x v="1068"/>
    <n v="39037"/>
    <x v="15"/>
    <x v="5"/>
    <n v="15595"/>
    <n v="0.88490406537387611"/>
    <x v="1070"/>
  </r>
  <r>
    <x v="122"/>
    <x v="2"/>
    <x v="2"/>
    <x v="1"/>
    <x v="1069"/>
    <x v="1069"/>
    <n v="86414"/>
    <x v="13"/>
    <x v="3"/>
    <n v="32419"/>
    <n v="0.8781910338602541"/>
    <x v="1071"/>
  </r>
  <r>
    <x v="163"/>
    <x v="1"/>
    <x v="2"/>
    <x v="0"/>
    <x v="1070"/>
    <x v="1070"/>
    <n v="63695"/>
    <x v="7"/>
    <x v="11"/>
    <n v="34571"/>
    <n v="1.0589528220425466"/>
    <x v="1072"/>
  </r>
  <r>
    <x v="456"/>
    <x v="2"/>
    <x v="1"/>
    <x v="1"/>
    <x v="1071"/>
    <x v="1071"/>
    <n v="459201"/>
    <x v="3"/>
    <x v="2"/>
    <n v="159816"/>
    <n v="0.90258949784517017"/>
    <x v="1073"/>
  </r>
  <r>
    <x v="508"/>
    <x v="0"/>
    <x v="0"/>
    <x v="1"/>
    <x v="1072"/>
    <x v="1072"/>
    <n v="487745"/>
    <x v="10"/>
    <x v="9"/>
    <n v="215170"/>
    <n v="0.91548247547386441"/>
    <x v="1074"/>
  </r>
  <r>
    <x v="408"/>
    <x v="2"/>
    <x v="0"/>
    <x v="2"/>
    <x v="1073"/>
    <x v="1073"/>
    <n v="214938"/>
    <x v="2"/>
    <x v="12"/>
    <n v="127184"/>
    <n v="1.0868576054490131"/>
    <x v="1075"/>
  </r>
  <r>
    <x v="253"/>
    <x v="1"/>
    <x v="0"/>
    <x v="2"/>
    <x v="1074"/>
    <x v="1074"/>
    <n v="374533"/>
    <x v="0"/>
    <x v="5"/>
    <n v="213008"/>
    <n v="1.1077475149052287"/>
    <x v="1076"/>
  </r>
  <r>
    <x v="20"/>
    <x v="2"/>
    <x v="1"/>
    <x v="0"/>
    <x v="1075"/>
    <x v="1075"/>
    <n v="102457"/>
    <x v="13"/>
    <x v="6"/>
    <n v="57867"/>
    <n v="0.91497896678606638"/>
    <x v="1077"/>
  </r>
  <r>
    <x v="270"/>
    <x v="3"/>
    <x v="0"/>
    <x v="0"/>
    <x v="1076"/>
    <x v="1076"/>
    <n v="297267"/>
    <x v="4"/>
    <x v="0"/>
    <n v="129298"/>
    <n v="0.93432503439668713"/>
    <x v="1078"/>
  </r>
  <r>
    <x v="293"/>
    <x v="2"/>
    <x v="2"/>
    <x v="2"/>
    <x v="1077"/>
    <x v="1077"/>
    <n v="235730"/>
    <x v="15"/>
    <x v="11"/>
    <n v="125170"/>
    <n v="1.0187629915581387"/>
    <x v="1079"/>
  </r>
  <r>
    <x v="565"/>
    <x v="2"/>
    <x v="3"/>
    <x v="2"/>
    <x v="1078"/>
    <x v="1078"/>
    <n v="446638"/>
    <x v="7"/>
    <x v="15"/>
    <n v="264084"/>
    <n v="1.1182747549469594"/>
    <x v="1080"/>
  </r>
  <r>
    <x v="566"/>
    <x v="3"/>
    <x v="0"/>
    <x v="1"/>
    <x v="1079"/>
    <x v="1079"/>
    <n v="413331"/>
    <x v="9"/>
    <x v="8"/>
    <n v="241213"/>
    <n v="0.88197352726991196"/>
    <x v="1081"/>
  </r>
  <r>
    <x v="365"/>
    <x v="3"/>
    <x v="2"/>
    <x v="2"/>
    <x v="1080"/>
    <x v="1080"/>
    <n v="250846"/>
    <x v="7"/>
    <x v="0"/>
    <n v="159214"/>
    <n v="0.98627444727043689"/>
    <x v="1082"/>
  </r>
  <r>
    <x v="567"/>
    <x v="2"/>
    <x v="3"/>
    <x v="1"/>
    <x v="1081"/>
    <x v="1081"/>
    <n v="54182"/>
    <x v="3"/>
    <x v="4"/>
    <n v="31042"/>
    <n v="1.0509025137499539"/>
    <x v="1083"/>
  </r>
  <r>
    <x v="517"/>
    <x v="3"/>
    <x v="3"/>
    <x v="2"/>
    <x v="1082"/>
    <x v="1082"/>
    <n v="358601"/>
    <x v="11"/>
    <x v="11"/>
    <n v="261353"/>
    <n v="1.1287614925781022"/>
    <x v="1084"/>
  </r>
  <r>
    <x v="568"/>
    <x v="3"/>
    <x v="2"/>
    <x v="2"/>
    <x v="1083"/>
    <x v="1083"/>
    <n v="355156"/>
    <x v="12"/>
    <x v="8"/>
    <n v="255573"/>
    <n v="1.1125083062091026"/>
    <x v="1085"/>
  </r>
  <r>
    <x v="311"/>
    <x v="3"/>
    <x v="0"/>
    <x v="0"/>
    <x v="1084"/>
    <x v="1084"/>
    <n v="116330"/>
    <x v="11"/>
    <x v="11"/>
    <n v="79323"/>
    <n v="1.0568640935270353"/>
    <x v="1086"/>
  </r>
  <r>
    <x v="532"/>
    <x v="0"/>
    <x v="3"/>
    <x v="2"/>
    <x v="1085"/>
    <x v="1085"/>
    <n v="153758"/>
    <x v="5"/>
    <x v="7"/>
    <n v="87148"/>
    <n v="1.0788837003603065"/>
    <x v="1087"/>
  </r>
  <r>
    <x v="561"/>
    <x v="2"/>
    <x v="0"/>
    <x v="2"/>
    <x v="1086"/>
    <x v="1086"/>
    <n v="445389"/>
    <x v="3"/>
    <x v="7"/>
    <n v="207253"/>
    <n v="1.0353354034338522"/>
    <x v="1088"/>
  </r>
  <r>
    <x v="114"/>
    <x v="2"/>
    <x v="0"/>
    <x v="2"/>
    <x v="1087"/>
    <x v="1087"/>
    <n v="215096"/>
    <x v="13"/>
    <x v="2"/>
    <n v="82834"/>
    <n v="1.0213997470896716"/>
    <x v="1089"/>
  </r>
  <r>
    <x v="569"/>
    <x v="3"/>
    <x v="0"/>
    <x v="1"/>
    <x v="1088"/>
    <x v="1088"/>
    <n v="219939"/>
    <x v="0"/>
    <x v="1"/>
    <n v="145030"/>
    <n v="1.1546383315373807"/>
    <x v="1090"/>
  </r>
  <r>
    <x v="54"/>
    <x v="3"/>
    <x v="3"/>
    <x v="1"/>
    <x v="1089"/>
    <x v="1089"/>
    <n v="177058"/>
    <x v="6"/>
    <x v="14"/>
    <n v="103667"/>
    <n v="1.0694631137819246"/>
    <x v="1091"/>
  </r>
  <r>
    <x v="147"/>
    <x v="0"/>
    <x v="0"/>
    <x v="2"/>
    <x v="1090"/>
    <x v="1090"/>
    <n v="205432"/>
    <x v="1"/>
    <x v="1"/>
    <n v="125297"/>
    <n v="1.1133221698664277"/>
    <x v="1092"/>
  </r>
  <r>
    <x v="318"/>
    <x v="1"/>
    <x v="1"/>
    <x v="0"/>
    <x v="1091"/>
    <x v="1091"/>
    <n v="418771"/>
    <x v="2"/>
    <x v="13"/>
    <n v="277929"/>
    <n v="1.1252259588175877"/>
    <x v="1093"/>
  </r>
  <r>
    <x v="183"/>
    <x v="3"/>
    <x v="0"/>
    <x v="1"/>
    <x v="1092"/>
    <x v="1092"/>
    <n v="286742"/>
    <x v="9"/>
    <x v="9"/>
    <n v="170007"/>
    <n v="0.90917619323294108"/>
    <x v="1094"/>
  </r>
  <r>
    <x v="548"/>
    <x v="3"/>
    <x v="2"/>
    <x v="2"/>
    <x v="1093"/>
    <x v="1093"/>
    <n v="444777"/>
    <x v="8"/>
    <x v="1"/>
    <n v="227769"/>
    <n v="1.0429990759414269"/>
    <x v="1095"/>
  </r>
  <r>
    <x v="204"/>
    <x v="0"/>
    <x v="2"/>
    <x v="2"/>
    <x v="1094"/>
    <x v="1094"/>
    <n v="243856"/>
    <x v="5"/>
    <x v="1"/>
    <n v="108987"/>
    <n v="0.90066678695623648"/>
    <x v="1096"/>
  </r>
  <r>
    <x v="278"/>
    <x v="3"/>
    <x v="1"/>
    <x v="1"/>
    <x v="1095"/>
    <x v="1095"/>
    <n v="379597"/>
    <x v="4"/>
    <x v="11"/>
    <n v="218670"/>
    <n v="0.93209904187862391"/>
    <x v="1097"/>
  </r>
  <r>
    <x v="570"/>
    <x v="1"/>
    <x v="1"/>
    <x v="2"/>
    <x v="1096"/>
    <x v="1096"/>
    <n v="435517"/>
    <x v="8"/>
    <x v="2"/>
    <n v="257561"/>
    <n v="1.1031257103626264"/>
    <x v="1098"/>
  </r>
  <r>
    <x v="74"/>
    <x v="3"/>
    <x v="2"/>
    <x v="0"/>
    <x v="1097"/>
    <x v="1097"/>
    <n v="561203"/>
    <x v="0"/>
    <x v="10"/>
    <n v="216222"/>
    <n v="0.87860364253220313"/>
    <x v="1099"/>
  </r>
  <r>
    <x v="557"/>
    <x v="2"/>
    <x v="2"/>
    <x v="0"/>
    <x v="700"/>
    <x v="1098"/>
    <n v="285005"/>
    <x v="3"/>
    <x v="10"/>
    <n v="132995"/>
    <n v="1.0137015140085261"/>
    <x v="1100"/>
  </r>
  <r>
    <x v="277"/>
    <x v="0"/>
    <x v="3"/>
    <x v="0"/>
    <x v="1098"/>
    <x v="1099"/>
    <n v="428886"/>
    <x v="11"/>
    <x v="11"/>
    <n v="166018"/>
    <n v="1.0011145152791185"/>
    <x v="1101"/>
  </r>
  <r>
    <x v="423"/>
    <x v="2"/>
    <x v="0"/>
    <x v="1"/>
    <x v="1099"/>
    <x v="1100"/>
    <n v="184369"/>
    <x v="4"/>
    <x v="4"/>
    <n v="89574"/>
    <n v="1.074242416024386"/>
    <x v="1102"/>
  </r>
  <r>
    <x v="194"/>
    <x v="3"/>
    <x v="2"/>
    <x v="1"/>
    <x v="1100"/>
    <x v="1101"/>
    <n v="544447"/>
    <x v="11"/>
    <x v="6"/>
    <n v="214615"/>
    <n v="0.9035939219060809"/>
    <x v="1103"/>
  </r>
  <r>
    <x v="571"/>
    <x v="0"/>
    <x v="3"/>
    <x v="2"/>
    <x v="1101"/>
    <x v="1102"/>
    <n v="409855"/>
    <x v="0"/>
    <x v="0"/>
    <n v="165273"/>
    <n v="0.96969660001707925"/>
    <x v="1104"/>
  </r>
  <r>
    <x v="472"/>
    <x v="1"/>
    <x v="2"/>
    <x v="1"/>
    <x v="1102"/>
    <x v="1103"/>
    <n v="283825"/>
    <x v="5"/>
    <x v="8"/>
    <n v="120211"/>
    <n v="1.0211433101382894"/>
    <x v="1105"/>
  </r>
  <r>
    <x v="253"/>
    <x v="1"/>
    <x v="2"/>
    <x v="2"/>
    <x v="213"/>
    <x v="1104"/>
    <n v="196993"/>
    <x v="14"/>
    <x v="10"/>
    <n v="81877"/>
    <n v="0.89408760717385893"/>
    <x v="1106"/>
  </r>
  <r>
    <x v="572"/>
    <x v="1"/>
    <x v="1"/>
    <x v="0"/>
    <x v="1103"/>
    <x v="1105"/>
    <n v="179884"/>
    <x v="9"/>
    <x v="2"/>
    <n v="109087"/>
    <n v="0.98914856240688442"/>
    <x v="1107"/>
  </r>
  <r>
    <x v="573"/>
    <x v="0"/>
    <x v="3"/>
    <x v="1"/>
    <x v="1104"/>
    <x v="1106"/>
    <n v="66192"/>
    <x v="8"/>
    <x v="4"/>
    <n v="42065"/>
    <n v="1.0811276287164613"/>
    <x v="1108"/>
  </r>
  <r>
    <x v="406"/>
    <x v="0"/>
    <x v="3"/>
    <x v="2"/>
    <x v="1105"/>
    <x v="1107"/>
    <n v="404439"/>
    <x v="4"/>
    <x v="11"/>
    <n v="213518"/>
    <n v="1.09284465642532"/>
    <x v="1109"/>
  </r>
  <r>
    <x v="297"/>
    <x v="1"/>
    <x v="0"/>
    <x v="1"/>
    <x v="1106"/>
    <x v="1108"/>
    <n v="184847"/>
    <x v="11"/>
    <x v="4"/>
    <n v="98948"/>
    <n v="1.0452211829242564"/>
    <x v="1110"/>
  </r>
  <r>
    <x v="307"/>
    <x v="0"/>
    <x v="2"/>
    <x v="0"/>
    <x v="1107"/>
    <x v="1109"/>
    <n v="284902"/>
    <x v="15"/>
    <x v="3"/>
    <n v="146569"/>
    <n v="1.1418487760703682"/>
    <x v="1111"/>
  </r>
  <r>
    <x v="574"/>
    <x v="1"/>
    <x v="0"/>
    <x v="2"/>
    <x v="1108"/>
    <x v="1110"/>
    <n v="274523"/>
    <x v="11"/>
    <x v="7"/>
    <n v="117921"/>
    <n v="0.98397219905071709"/>
    <x v="1112"/>
  </r>
  <r>
    <x v="143"/>
    <x v="1"/>
    <x v="2"/>
    <x v="0"/>
    <x v="1109"/>
    <x v="1111"/>
    <n v="227400"/>
    <x v="5"/>
    <x v="0"/>
    <n v="148371"/>
    <n v="1.0930914687774846"/>
    <x v="1113"/>
  </r>
  <r>
    <x v="508"/>
    <x v="1"/>
    <x v="3"/>
    <x v="1"/>
    <x v="1110"/>
    <x v="1112"/>
    <n v="80294"/>
    <x v="9"/>
    <x v="3"/>
    <n v="40155"/>
    <n v="1.0890228410591078"/>
    <x v="1114"/>
  </r>
  <r>
    <x v="575"/>
    <x v="3"/>
    <x v="2"/>
    <x v="2"/>
    <x v="1111"/>
    <x v="1113"/>
    <n v="322831"/>
    <x v="10"/>
    <x v="1"/>
    <n v="136215"/>
    <n v="0.95838070073815707"/>
    <x v="1115"/>
  </r>
  <r>
    <x v="351"/>
    <x v="1"/>
    <x v="0"/>
    <x v="1"/>
    <x v="1112"/>
    <x v="1114"/>
    <n v="159850"/>
    <x v="11"/>
    <x v="12"/>
    <n v="106446"/>
    <n v="1.1300969659055364"/>
    <x v="1116"/>
  </r>
  <r>
    <x v="73"/>
    <x v="2"/>
    <x v="3"/>
    <x v="2"/>
    <x v="1113"/>
    <x v="1115"/>
    <n v="15170"/>
    <x v="2"/>
    <x v="15"/>
    <n v="9929"/>
    <n v="0.96868820039551751"/>
    <x v="1117"/>
  </r>
  <r>
    <x v="576"/>
    <x v="2"/>
    <x v="3"/>
    <x v="2"/>
    <x v="1114"/>
    <x v="1116"/>
    <n v="359668"/>
    <x v="2"/>
    <x v="1"/>
    <n v="252443"/>
    <n v="1.0411379383208959"/>
    <x v="1118"/>
  </r>
  <r>
    <x v="577"/>
    <x v="2"/>
    <x v="0"/>
    <x v="0"/>
    <x v="1115"/>
    <x v="1117"/>
    <n v="131105"/>
    <x v="13"/>
    <x v="1"/>
    <n v="98214"/>
    <n v="1.1607566454368636"/>
    <x v="1119"/>
  </r>
  <r>
    <x v="438"/>
    <x v="2"/>
    <x v="0"/>
    <x v="1"/>
    <x v="1116"/>
    <x v="1118"/>
    <n v="397426"/>
    <x v="8"/>
    <x v="4"/>
    <n v="254222"/>
    <n v="1.1731567637748914"/>
    <x v="1120"/>
  </r>
  <r>
    <x v="16"/>
    <x v="2"/>
    <x v="0"/>
    <x v="0"/>
    <x v="1117"/>
    <x v="1119"/>
    <n v="458211"/>
    <x v="6"/>
    <x v="15"/>
    <n v="272035"/>
    <n v="1.0243097612235412"/>
    <x v="1121"/>
  </r>
  <r>
    <x v="493"/>
    <x v="3"/>
    <x v="1"/>
    <x v="0"/>
    <x v="1118"/>
    <x v="1120"/>
    <n v="430126"/>
    <x v="7"/>
    <x v="5"/>
    <n v="222146"/>
    <n v="1.0514663145217913"/>
    <x v="1122"/>
  </r>
  <r>
    <x v="381"/>
    <x v="0"/>
    <x v="0"/>
    <x v="0"/>
    <x v="1119"/>
    <x v="1121"/>
    <n v="401092"/>
    <x v="2"/>
    <x v="7"/>
    <n v="230289"/>
    <n v="0.88043640860450967"/>
    <x v="1123"/>
  </r>
  <r>
    <x v="389"/>
    <x v="2"/>
    <x v="0"/>
    <x v="1"/>
    <x v="1120"/>
    <x v="1122"/>
    <n v="102739"/>
    <x v="10"/>
    <x v="4"/>
    <n v="70206"/>
    <n v="1.026173118290036"/>
    <x v="1124"/>
  </r>
  <r>
    <x v="484"/>
    <x v="3"/>
    <x v="0"/>
    <x v="1"/>
    <x v="1121"/>
    <x v="1123"/>
    <n v="357987"/>
    <x v="3"/>
    <x v="8"/>
    <n v="224048"/>
    <n v="0.92516208689142343"/>
    <x v="1125"/>
  </r>
  <r>
    <x v="126"/>
    <x v="2"/>
    <x v="1"/>
    <x v="1"/>
    <x v="1122"/>
    <x v="1124"/>
    <n v="485701"/>
    <x v="11"/>
    <x v="9"/>
    <n v="237006"/>
    <n v="0.99826230541011862"/>
    <x v="1126"/>
  </r>
  <r>
    <x v="472"/>
    <x v="2"/>
    <x v="2"/>
    <x v="1"/>
    <x v="1123"/>
    <x v="1125"/>
    <n v="70584"/>
    <x v="9"/>
    <x v="13"/>
    <n v="38084"/>
    <n v="0.95956590728777058"/>
    <x v="1127"/>
  </r>
  <r>
    <x v="578"/>
    <x v="3"/>
    <x v="3"/>
    <x v="1"/>
    <x v="1124"/>
    <x v="1126"/>
    <n v="461094"/>
    <x v="15"/>
    <x v="6"/>
    <n v="225943"/>
    <n v="0.90733342875856116"/>
    <x v="1128"/>
  </r>
  <r>
    <x v="579"/>
    <x v="0"/>
    <x v="1"/>
    <x v="2"/>
    <x v="1125"/>
    <x v="1127"/>
    <n v="388158"/>
    <x v="12"/>
    <x v="14"/>
    <n v="164593"/>
    <n v="0.8989019935181034"/>
    <x v="1129"/>
  </r>
  <r>
    <x v="151"/>
    <x v="2"/>
    <x v="0"/>
    <x v="2"/>
    <x v="1126"/>
    <x v="1128"/>
    <n v="518127"/>
    <x v="0"/>
    <x v="6"/>
    <n v="337946"/>
    <n v="0.9698162805644176"/>
    <x v="1130"/>
  </r>
  <r>
    <x v="310"/>
    <x v="0"/>
    <x v="1"/>
    <x v="1"/>
    <x v="1127"/>
    <x v="1129"/>
    <n v="381070"/>
    <x v="11"/>
    <x v="7"/>
    <n v="221466"/>
    <n v="1.1030361875770855"/>
    <x v="1131"/>
  </r>
  <r>
    <x v="116"/>
    <x v="2"/>
    <x v="1"/>
    <x v="2"/>
    <x v="1128"/>
    <x v="1130"/>
    <n v="419480"/>
    <x v="13"/>
    <x v="8"/>
    <n v="253421"/>
    <n v="0.99990941165252212"/>
    <x v="1132"/>
  </r>
  <r>
    <x v="580"/>
    <x v="0"/>
    <x v="1"/>
    <x v="1"/>
    <x v="1129"/>
    <x v="1131"/>
    <n v="431731"/>
    <x v="11"/>
    <x v="9"/>
    <n v="175053"/>
    <n v="1.0415050112222657"/>
    <x v="1133"/>
  </r>
  <r>
    <x v="581"/>
    <x v="2"/>
    <x v="1"/>
    <x v="2"/>
    <x v="1130"/>
    <x v="1132"/>
    <n v="115272"/>
    <x v="15"/>
    <x v="15"/>
    <n v="57954"/>
    <n v="0.96234124505517382"/>
    <x v="1134"/>
  </r>
  <r>
    <x v="233"/>
    <x v="2"/>
    <x v="0"/>
    <x v="1"/>
    <x v="1131"/>
    <x v="1133"/>
    <n v="185957"/>
    <x v="15"/>
    <x v="9"/>
    <n v="110698"/>
    <n v="1.0253983447786317"/>
    <x v="1135"/>
  </r>
  <r>
    <x v="582"/>
    <x v="3"/>
    <x v="0"/>
    <x v="2"/>
    <x v="1132"/>
    <x v="1134"/>
    <n v="135284"/>
    <x v="1"/>
    <x v="8"/>
    <n v="49258"/>
    <n v="0.90494071730581593"/>
    <x v="1136"/>
  </r>
  <r>
    <x v="345"/>
    <x v="2"/>
    <x v="0"/>
    <x v="0"/>
    <x v="1133"/>
    <x v="1135"/>
    <n v="536669"/>
    <x v="12"/>
    <x v="7"/>
    <n v="287337"/>
    <n v="1.1076510847468366"/>
    <x v="1137"/>
  </r>
  <r>
    <x v="80"/>
    <x v="3"/>
    <x v="3"/>
    <x v="2"/>
    <x v="1134"/>
    <x v="1136"/>
    <n v="273131"/>
    <x v="13"/>
    <x v="14"/>
    <n v="161205"/>
    <n v="0.92466984706972111"/>
    <x v="1138"/>
  </r>
  <r>
    <x v="491"/>
    <x v="1"/>
    <x v="2"/>
    <x v="0"/>
    <x v="1135"/>
    <x v="1137"/>
    <n v="230457"/>
    <x v="3"/>
    <x v="5"/>
    <n v="133498"/>
    <n v="0.90729290062788281"/>
    <x v="1139"/>
  </r>
  <r>
    <x v="416"/>
    <x v="0"/>
    <x v="1"/>
    <x v="1"/>
    <x v="1136"/>
    <x v="1138"/>
    <n v="49669"/>
    <x v="4"/>
    <x v="2"/>
    <n v="36067"/>
    <n v="1.1027401397249794"/>
    <x v="1140"/>
  </r>
  <r>
    <x v="583"/>
    <x v="3"/>
    <x v="3"/>
    <x v="0"/>
    <x v="1137"/>
    <x v="1139"/>
    <n v="43612"/>
    <x v="3"/>
    <x v="6"/>
    <n v="22851"/>
    <n v="0.89534990369623035"/>
    <x v="1141"/>
  </r>
  <r>
    <x v="225"/>
    <x v="1"/>
    <x v="3"/>
    <x v="1"/>
    <x v="1138"/>
    <x v="1140"/>
    <n v="369100"/>
    <x v="4"/>
    <x v="0"/>
    <n v="155906"/>
    <n v="0.87330262801408831"/>
    <x v="1142"/>
  </r>
  <r>
    <x v="313"/>
    <x v="1"/>
    <x v="2"/>
    <x v="2"/>
    <x v="1139"/>
    <x v="1141"/>
    <n v="94792"/>
    <x v="3"/>
    <x v="15"/>
    <n v="43451"/>
    <n v="1.1666385348974597"/>
    <x v="1143"/>
  </r>
  <r>
    <x v="186"/>
    <x v="2"/>
    <x v="3"/>
    <x v="1"/>
    <x v="1140"/>
    <x v="1142"/>
    <n v="184582"/>
    <x v="10"/>
    <x v="1"/>
    <n v="112443"/>
    <n v="1.0988503754428927"/>
    <x v="1144"/>
  </r>
  <r>
    <x v="160"/>
    <x v="0"/>
    <x v="1"/>
    <x v="2"/>
    <x v="1141"/>
    <x v="1143"/>
    <n v="427641"/>
    <x v="12"/>
    <x v="6"/>
    <n v="219295"/>
    <n v="0.91443523890365985"/>
    <x v="1145"/>
  </r>
  <r>
    <x v="417"/>
    <x v="3"/>
    <x v="0"/>
    <x v="0"/>
    <x v="1142"/>
    <x v="1144"/>
    <n v="242500"/>
    <x v="7"/>
    <x v="14"/>
    <n v="162328"/>
    <n v="1.1607587628865979"/>
    <x v="1146"/>
  </r>
  <r>
    <x v="100"/>
    <x v="3"/>
    <x v="0"/>
    <x v="2"/>
    <x v="1143"/>
    <x v="1145"/>
    <n v="420031"/>
    <x v="4"/>
    <x v="6"/>
    <n v="190605"/>
    <n v="0.95891969878413741"/>
    <x v="1147"/>
  </r>
  <r>
    <x v="584"/>
    <x v="1"/>
    <x v="0"/>
    <x v="1"/>
    <x v="1144"/>
    <x v="1146"/>
    <n v="258558"/>
    <x v="1"/>
    <x v="15"/>
    <n v="106992"/>
    <n v="0.87543607237060928"/>
    <x v="1148"/>
  </r>
  <r>
    <x v="183"/>
    <x v="2"/>
    <x v="2"/>
    <x v="0"/>
    <x v="1145"/>
    <x v="1147"/>
    <n v="135371"/>
    <x v="5"/>
    <x v="15"/>
    <n v="54692"/>
    <n v="0.88586181678498344"/>
    <x v="1149"/>
  </r>
  <r>
    <x v="541"/>
    <x v="1"/>
    <x v="1"/>
    <x v="0"/>
    <x v="1146"/>
    <x v="1148"/>
    <n v="146958"/>
    <x v="10"/>
    <x v="11"/>
    <n v="82693"/>
    <n v="0.93095986608418735"/>
    <x v="1150"/>
  </r>
  <r>
    <x v="585"/>
    <x v="0"/>
    <x v="0"/>
    <x v="1"/>
    <x v="1147"/>
    <x v="1149"/>
    <n v="374085"/>
    <x v="7"/>
    <x v="9"/>
    <n v="259210"/>
    <n v="1.0787521552588315"/>
    <x v="1151"/>
  </r>
  <r>
    <x v="212"/>
    <x v="3"/>
    <x v="0"/>
    <x v="0"/>
    <x v="1148"/>
    <x v="1150"/>
    <n v="14032"/>
    <x v="9"/>
    <x v="15"/>
    <n v="8581"/>
    <n v="1.0491733181299887"/>
    <x v="1152"/>
  </r>
  <r>
    <x v="176"/>
    <x v="3"/>
    <x v="0"/>
    <x v="2"/>
    <x v="1149"/>
    <x v="1151"/>
    <n v="256223"/>
    <x v="14"/>
    <x v="8"/>
    <n v="146546"/>
    <n v="1.1564067238304134"/>
    <x v="1153"/>
  </r>
  <r>
    <x v="4"/>
    <x v="2"/>
    <x v="1"/>
    <x v="2"/>
    <x v="1150"/>
    <x v="1152"/>
    <n v="411557"/>
    <x v="9"/>
    <x v="7"/>
    <n v="205541"/>
    <n v="1.0192124055720106"/>
    <x v="1154"/>
  </r>
  <r>
    <x v="586"/>
    <x v="1"/>
    <x v="0"/>
    <x v="0"/>
    <x v="1151"/>
    <x v="1153"/>
    <n v="475377"/>
    <x v="1"/>
    <x v="6"/>
    <n v="324137"/>
    <n v="1.0227377428861724"/>
    <x v="1155"/>
  </r>
  <r>
    <x v="82"/>
    <x v="0"/>
    <x v="3"/>
    <x v="1"/>
    <x v="1152"/>
    <x v="1154"/>
    <n v="492475"/>
    <x v="0"/>
    <x v="2"/>
    <n v="261182"/>
    <n v="0.89212853444337281"/>
    <x v="1156"/>
  </r>
  <r>
    <x v="88"/>
    <x v="1"/>
    <x v="3"/>
    <x v="1"/>
    <x v="1153"/>
    <x v="1155"/>
    <n v="378845"/>
    <x v="0"/>
    <x v="3"/>
    <n v="209938"/>
    <n v="0.99183043197085874"/>
    <x v="1157"/>
  </r>
  <r>
    <x v="67"/>
    <x v="3"/>
    <x v="2"/>
    <x v="2"/>
    <x v="1154"/>
    <x v="1156"/>
    <n v="253408"/>
    <x v="5"/>
    <x v="5"/>
    <n v="126696"/>
    <n v="0.8893760260133855"/>
    <x v="1158"/>
  </r>
  <r>
    <x v="273"/>
    <x v="0"/>
    <x v="2"/>
    <x v="1"/>
    <x v="1155"/>
    <x v="1157"/>
    <n v="238200"/>
    <x v="2"/>
    <x v="4"/>
    <n v="129547"/>
    <n v="0.87190176322418134"/>
    <x v="1159"/>
  </r>
  <r>
    <x v="329"/>
    <x v="3"/>
    <x v="1"/>
    <x v="1"/>
    <x v="1156"/>
    <x v="1158"/>
    <n v="117018"/>
    <x v="4"/>
    <x v="4"/>
    <n v="75717"/>
    <n v="1.1142302893571929"/>
    <x v="1160"/>
  </r>
  <r>
    <x v="587"/>
    <x v="0"/>
    <x v="2"/>
    <x v="1"/>
    <x v="1157"/>
    <x v="1159"/>
    <n v="456887"/>
    <x v="7"/>
    <x v="15"/>
    <n v="231534"/>
    <n v="0.87841632613753506"/>
    <x v="1161"/>
  </r>
  <r>
    <x v="263"/>
    <x v="0"/>
    <x v="1"/>
    <x v="0"/>
    <x v="1158"/>
    <x v="1160"/>
    <n v="113165"/>
    <x v="13"/>
    <x v="0"/>
    <n v="55954"/>
    <n v="0.88427517341934347"/>
    <x v="1162"/>
  </r>
  <r>
    <x v="588"/>
    <x v="3"/>
    <x v="2"/>
    <x v="2"/>
    <x v="1159"/>
    <x v="1161"/>
    <n v="536018"/>
    <x v="11"/>
    <x v="3"/>
    <n v="214710"/>
    <n v="0.93834535407393038"/>
    <x v="1163"/>
  </r>
  <r>
    <x v="416"/>
    <x v="2"/>
    <x v="0"/>
    <x v="1"/>
    <x v="1160"/>
    <x v="1162"/>
    <n v="407924"/>
    <x v="12"/>
    <x v="3"/>
    <n v="172936"/>
    <n v="1.0500755042605976"/>
    <x v="1164"/>
  </r>
  <r>
    <x v="372"/>
    <x v="3"/>
    <x v="0"/>
    <x v="2"/>
    <x v="1161"/>
    <x v="1163"/>
    <n v="285498"/>
    <x v="14"/>
    <x v="6"/>
    <n v="102342"/>
    <n v="0.89785917939880489"/>
    <x v="1165"/>
  </r>
  <r>
    <x v="154"/>
    <x v="1"/>
    <x v="2"/>
    <x v="0"/>
    <x v="1162"/>
    <x v="1164"/>
    <n v="65816"/>
    <x v="7"/>
    <x v="11"/>
    <n v="49998"/>
    <n v="1.1664336939346056"/>
    <x v="1166"/>
  </r>
  <r>
    <x v="589"/>
    <x v="0"/>
    <x v="0"/>
    <x v="2"/>
    <x v="1163"/>
    <x v="1165"/>
    <n v="163038"/>
    <x v="6"/>
    <x v="10"/>
    <n v="114701"/>
    <n v="1.1761797863074865"/>
    <x v="1167"/>
  </r>
  <r>
    <x v="352"/>
    <x v="3"/>
    <x v="1"/>
    <x v="0"/>
    <x v="1164"/>
    <x v="1166"/>
    <n v="183014"/>
    <x v="1"/>
    <x v="1"/>
    <n v="84881"/>
    <n v="1.1275039068049439"/>
    <x v="1168"/>
  </r>
  <r>
    <x v="362"/>
    <x v="0"/>
    <x v="0"/>
    <x v="1"/>
    <x v="1165"/>
    <x v="1167"/>
    <n v="491876"/>
    <x v="13"/>
    <x v="9"/>
    <n v="222039"/>
    <n v="0.9980686189202157"/>
    <x v="1169"/>
  </r>
  <r>
    <x v="590"/>
    <x v="1"/>
    <x v="0"/>
    <x v="0"/>
    <x v="1166"/>
    <x v="1168"/>
    <n v="14654"/>
    <x v="11"/>
    <x v="13"/>
    <n v="8412"/>
    <n v="1.088235294117647"/>
    <x v="1170"/>
  </r>
  <r>
    <x v="206"/>
    <x v="1"/>
    <x v="0"/>
    <x v="0"/>
    <x v="1167"/>
    <x v="1169"/>
    <n v="178777"/>
    <x v="2"/>
    <x v="5"/>
    <n v="88677"/>
    <n v="1.0369790297409622"/>
    <x v="1171"/>
  </r>
  <r>
    <x v="23"/>
    <x v="3"/>
    <x v="3"/>
    <x v="2"/>
    <x v="1168"/>
    <x v="1170"/>
    <n v="84224"/>
    <x v="2"/>
    <x v="3"/>
    <n v="38742"/>
    <n v="1.0193175341945289"/>
    <x v="1172"/>
  </r>
  <r>
    <x v="50"/>
    <x v="0"/>
    <x v="1"/>
    <x v="2"/>
    <x v="1169"/>
    <x v="1171"/>
    <n v="84144"/>
    <x v="4"/>
    <x v="12"/>
    <n v="33770"/>
    <n v="0.99160962160106481"/>
    <x v="1173"/>
  </r>
  <r>
    <x v="591"/>
    <x v="2"/>
    <x v="1"/>
    <x v="1"/>
    <x v="1170"/>
    <x v="1172"/>
    <n v="76776"/>
    <x v="0"/>
    <x v="11"/>
    <n v="31959"/>
    <n v="0.93546160258414091"/>
    <x v="1174"/>
  </r>
  <r>
    <x v="592"/>
    <x v="3"/>
    <x v="1"/>
    <x v="0"/>
    <x v="1171"/>
    <x v="1173"/>
    <n v="466874"/>
    <x v="0"/>
    <x v="2"/>
    <n v="157862"/>
    <n v="0.88980967027506352"/>
    <x v="1175"/>
  </r>
  <r>
    <x v="593"/>
    <x v="3"/>
    <x v="3"/>
    <x v="0"/>
    <x v="1172"/>
    <x v="1174"/>
    <n v="26285"/>
    <x v="7"/>
    <x v="0"/>
    <n v="15929"/>
    <n v="1.1228837740155984"/>
    <x v="1176"/>
  </r>
  <r>
    <x v="271"/>
    <x v="3"/>
    <x v="1"/>
    <x v="1"/>
    <x v="1173"/>
    <x v="1175"/>
    <n v="280394"/>
    <x v="14"/>
    <x v="10"/>
    <n v="150472"/>
    <n v="1.0672767605583571"/>
    <x v="1177"/>
  </r>
  <r>
    <x v="85"/>
    <x v="0"/>
    <x v="0"/>
    <x v="2"/>
    <x v="1174"/>
    <x v="1176"/>
    <n v="74666"/>
    <x v="1"/>
    <x v="2"/>
    <n v="32405"/>
    <n v="1.0214421557335334"/>
    <x v="1178"/>
  </r>
  <r>
    <x v="594"/>
    <x v="1"/>
    <x v="2"/>
    <x v="0"/>
    <x v="1175"/>
    <x v="1177"/>
    <n v="64960"/>
    <x v="13"/>
    <x v="14"/>
    <n v="30344"/>
    <n v="0.96782635467980294"/>
    <x v="1179"/>
  </r>
  <r>
    <x v="523"/>
    <x v="2"/>
    <x v="1"/>
    <x v="2"/>
    <x v="1176"/>
    <x v="1178"/>
    <n v="33124"/>
    <x v="11"/>
    <x v="6"/>
    <n v="13631"/>
    <n v="1.013011713561164"/>
    <x v="1180"/>
  </r>
  <r>
    <x v="595"/>
    <x v="1"/>
    <x v="3"/>
    <x v="1"/>
    <x v="1177"/>
    <x v="1179"/>
    <n v="76595"/>
    <x v="10"/>
    <x v="3"/>
    <n v="36313"/>
    <n v="1.0328219857693062"/>
    <x v="1181"/>
  </r>
  <r>
    <x v="596"/>
    <x v="3"/>
    <x v="3"/>
    <x v="0"/>
    <x v="1178"/>
    <x v="1180"/>
    <n v="38636"/>
    <x v="13"/>
    <x v="12"/>
    <n v="23547"/>
    <n v="1.0051247541153328"/>
    <x v="1182"/>
  </r>
  <r>
    <x v="307"/>
    <x v="0"/>
    <x v="3"/>
    <x v="2"/>
    <x v="1179"/>
    <x v="1181"/>
    <n v="432993"/>
    <x v="3"/>
    <x v="3"/>
    <n v="253323"/>
    <n v="0.92790414625640594"/>
    <x v="1183"/>
  </r>
  <r>
    <x v="550"/>
    <x v="1"/>
    <x v="0"/>
    <x v="1"/>
    <x v="1180"/>
    <x v="1182"/>
    <n v="306200"/>
    <x v="4"/>
    <x v="8"/>
    <n v="116196"/>
    <n v="0.91600261267145655"/>
    <x v="1184"/>
  </r>
  <r>
    <x v="294"/>
    <x v="1"/>
    <x v="3"/>
    <x v="1"/>
    <x v="1181"/>
    <x v="1183"/>
    <n v="188565"/>
    <x v="3"/>
    <x v="1"/>
    <n v="101675"/>
    <n v="0.92533609100310232"/>
    <x v="1185"/>
  </r>
  <r>
    <x v="284"/>
    <x v="1"/>
    <x v="0"/>
    <x v="2"/>
    <x v="1182"/>
    <x v="1184"/>
    <n v="47403"/>
    <x v="8"/>
    <x v="8"/>
    <n v="31564"/>
    <n v="1.1067653945952787"/>
    <x v="1186"/>
  </r>
  <r>
    <x v="460"/>
    <x v="3"/>
    <x v="1"/>
    <x v="0"/>
    <x v="1183"/>
    <x v="1185"/>
    <n v="359333"/>
    <x v="5"/>
    <x v="13"/>
    <n v="218256"/>
    <n v="0.92442386310191382"/>
    <x v="1187"/>
  </r>
  <r>
    <x v="251"/>
    <x v="0"/>
    <x v="0"/>
    <x v="0"/>
    <x v="1184"/>
    <x v="1186"/>
    <n v="182002"/>
    <x v="0"/>
    <x v="9"/>
    <n v="93899"/>
    <n v="1.0767134427094207"/>
    <x v="1188"/>
  </r>
  <r>
    <x v="46"/>
    <x v="3"/>
    <x v="0"/>
    <x v="1"/>
    <x v="1185"/>
    <x v="1187"/>
    <n v="364061"/>
    <x v="4"/>
    <x v="5"/>
    <n v="195348"/>
    <n v="1.0426961415806693"/>
    <x v="1189"/>
  </r>
  <r>
    <x v="388"/>
    <x v="3"/>
    <x v="0"/>
    <x v="1"/>
    <x v="1186"/>
    <x v="1188"/>
    <n v="282859"/>
    <x v="15"/>
    <x v="0"/>
    <n v="116761"/>
    <n v="0.96387245942324618"/>
    <x v="1190"/>
  </r>
  <r>
    <x v="597"/>
    <x v="1"/>
    <x v="0"/>
    <x v="2"/>
    <x v="1187"/>
    <x v="1189"/>
    <n v="80677"/>
    <x v="8"/>
    <x v="3"/>
    <n v="32476"/>
    <n v="0.97002863269581174"/>
    <x v="1191"/>
  </r>
  <r>
    <x v="598"/>
    <x v="2"/>
    <x v="3"/>
    <x v="2"/>
    <x v="1188"/>
    <x v="1190"/>
    <n v="227449"/>
    <x v="7"/>
    <x v="11"/>
    <n v="94273"/>
    <n v="0.92679237983020368"/>
    <x v="1192"/>
  </r>
  <r>
    <x v="338"/>
    <x v="0"/>
    <x v="3"/>
    <x v="1"/>
    <x v="1189"/>
    <x v="1191"/>
    <n v="453900"/>
    <x v="7"/>
    <x v="7"/>
    <n v="171786"/>
    <n v="0.94652346331791148"/>
    <x v="1193"/>
  </r>
  <r>
    <x v="498"/>
    <x v="2"/>
    <x v="0"/>
    <x v="0"/>
    <x v="1190"/>
    <x v="1192"/>
    <n v="146741"/>
    <x v="6"/>
    <x v="11"/>
    <n v="64727"/>
    <n v="1.1617543835737796"/>
    <x v="1194"/>
  </r>
  <r>
    <x v="3"/>
    <x v="3"/>
    <x v="0"/>
    <x v="1"/>
    <x v="1191"/>
    <x v="1193"/>
    <n v="297345"/>
    <x v="7"/>
    <x v="4"/>
    <n v="126183"/>
    <n v="0.91624207570330762"/>
    <x v="1195"/>
  </r>
  <r>
    <x v="599"/>
    <x v="1"/>
    <x v="1"/>
    <x v="2"/>
    <x v="1192"/>
    <x v="1194"/>
    <n v="303969"/>
    <x v="4"/>
    <x v="5"/>
    <n v="201834"/>
    <n v="1.0646217212939477"/>
    <x v="1196"/>
  </r>
  <r>
    <x v="80"/>
    <x v="3"/>
    <x v="2"/>
    <x v="2"/>
    <x v="1193"/>
    <x v="1195"/>
    <n v="411128"/>
    <x v="6"/>
    <x v="9"/>
    <n v="226403"/>
    <n v="0.98236072464050128"/>
    <x v="1197"/>
  </r>
  <r>
    <x v="216"/>
    <x v="1"/>
    <x v="1"/>
    <x v="0"/>
    <x v="1194"/>
    <x v="1196"/>
    <n v="630119"/>
    <x v="4"/>
    <x v="13"/>
    <n v="253769"/>
    <n v="0.93801646990489096"/>
    <x v="1198"/>
  </r>
  <r>
    <x v="523"/>
    <x v="3"/>
    <x v="2"/>
    <x v="1"/>
    <x v="1195"/>
    <x v="1197"/>
    <n v="500736"/>
    <x v="8"/>
    <x v="0"/>
    <n v="184860"/>
    <n v="0.91214132796523517"/>
    <x v="11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5A094F-C9C7-4390-A11A-2B19558F15B4}"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ales Channle">
  <location ref="A19:B23" firstHeaderRow="1" firstDataRow="1" firstDataCol="1"/>
  <pivotFields count="16">
    <pivotField numFmtId="14" showAll="0">
      <items count="601">
        <item x="79"/>
        <item x="511"/>
        <item x="199"/>
        <item x="86"/>
        <item x="123"/>
        <item x="525"/>
        <item x="29"/>
        <item x="99"/>
        <item x="467"/>
        <item x="346"/>
        <item x="559"/>
        <item x="325"/>
        <item x="52"/>
        <item x="138"/>
        <item x="242"/>
        <item x="151"/>
        <item x="168"/>
        <item x="300"/>
        <item x="313"/>
        <item x="442"/>
        <item x="422"/>
        <item x="187"/>
        <item x="225"/>
        <item x="159"/>
        <item x="380"/>
        <item x="165"/>
        <item x="431"/>
        <item x="474"/>
        <item x="512"/>
        <item x="144"/>
        <item x="154"/>
        <item x="73"/>
        <item x="129"/>
        <item x="360"/>
        <item x="108"/>
        <item x="88"/>
        <item x="318"/>
        <item x="460"/>
        <item x="358"/>
        <item x="553"/>
        <item x="43"/>
        <item x="240"/>
        <item x="424"/>
        <item x="207"/>
        <item x="447"/>
        <item x="569"/>
        <item x="576"/>
        <item x="149"/>
        <item x="173"/>
        <item x="222"/>
        <item x="537"/>
        <item x="493"/>
        <item x="497"/>
        <item x="49"/>
        <item x="238"/>
        <item x="364"/>
        <item x="492"/>
        <item x="304"/>
        <item x="558"/>
        <item x="290"/>
        <item x="87"/>
        <item x="509"/>
        <item x="139"/>
        <item x="298"/>
        <item x="219"/>
        <item x="117"/>
        <item x="428"/>
        <item x="591"/>
        <item x="175"/>
        <item x="102"/>
        <item x="323"/>
        <item x="599"/>
        <item x="595"/>
        <item x="375"/>
        <item x="554"/>
        <item x="80"/>
        <item x="122"/>
        <item x="486"/>
        <item x="51"/>
        <item x="314"/>
        <item x="205"/>
        <item x="0"/>
        <item x="39"/>
        <item x="388"/>
        <item x="434"/>
        <item x="189"/>
        <item x="137"/>
        <item x="93"/>
        <item x="84"/>
        <item x="438"/>
        <item x="120"/>
        <item x="127"/>
        <item x="177"/>
        <item x="295"/>
        <item x="47"/>
        <item x="152"/>
        <item x="403"/>
        <item x="232"/>
        <item x="582"/>
        <item x="289"/>
        <item x="46"/>
        <item x="475"/>
        <item x="371"/>
        <item x="167"/>
        <item x="261"/>
        <item x="389"/>
        <item x="188"/>
        <item x="457"/>
        <item x="463"/>
        <item x="367"/>
        <item x="355"/>
        <item x="294"/>
        <item x="465"/>
        <item x="118"/>
        <item x="251"/>
        <item x="212"/>
        <item x="254"/>
        <item x="476"/>
        <item x="478"/>
        <item x="423"/>
        <item x="69"/>
        <item x="27"/>
        <item x="437"/>
        <item x="31"/>
        <item x="310"/>
        <item x="377"/>
        <item x="521"/>
        <item x="311"/>
        <item x="213"/>
        <item x="107"/>
        <item x="32"/>
        <item x="452"/>
        <item x="541"/>
        <item x="223"/>
        <item x="291"/>
        <item x="510"/>
        <item x="579"/>
        <item x="427"/>
        <item x="505"/>
        <item x="539"/>
        <item x="383"/>
        <item x="36"/>
        <item x="317"/>
        <item x="362"/>
        <item x="155"/>
        <item x="359"/>
        <item x="548"/>
        <item x="384"/>
        <item x="469"/>
        <item x="246"/>
        <item x="279"/>
        <item x="296"/>
        <item x="191"/>
        <item x="508"/>
        <item x="148"/>
        <item x="305"/>
        <item x="575"/>
        <item x="19"/>
        <item x="373"/>
        <item x="163"/>
        <item x="536"/>
        <item x="285"/>
        <item x="44"/>
        <item x="392"/>
        <item x="104"/>
        <item x="264"/>
        <item x="8"/>
        <item x="566"/>
        <item x="301"/>
        <item x="363"/>
        <item x="190"/>
        <item x="81"/>
        <item x="209"/>
        <item x="394"/>
        <item x="164"/>
        <item x="498"/>
        <item x="540"/>
        <item x="255"/>
        <item x="297"/>
        <item x="265"/>
        <item x="195"/>
        <item x="523"/>
        <item x="516"/>
        <item x="142"/>
        <item x="162"/>
        <item x="321"/>
        <item x="468"/>
        <item x="239"/>
        <item x="564"/>
        <item x="439"/>
        <item x="92"/>
        <item x="574"/>
        <item x="387"/>
        <item x="237"/>
        <item x="128"/>
        <item x="315"/>
        <item x="385"/>
        <item x="258"/>
        <item x="551"/>
        <item x="281"/>
        <item x="596"/>
        <item x="75"/>
        <item x="494"/>
        <item x="115"/>
        <item x="146"/>
        <item x="473"/>
        <item x="48"/>
        <item x="354"/>
        <item x="425"/>
        <item x="249"/>
        <item x="462"/>
        <item x="106"/>
        <item x="587"/>
        <item x="366"/>
        <item x="169"/>
        <item x="160"/>
        <item x="259"/>
        <item x="417"/>
        <item x="275"/>
        <item x="446"/>
        <item x="215"/>
        <item x="583"/>
        <item x="507"/>
        <item x="267"/>
        <item x="170"/>
        <item x="231"/>
        <item x="5"/>
        <item x="503"/>
        <item x="57"/>
        <item x="334"/>
        <item x="59"/>
        <item x="408"/>
        <item x="235"/>
        <item x="76"/>
        <item x="109"/>
        <item x="268"/>
        <item x="119"/>
        <item x="410"/>
        <item x="405"/>
        <item x="157"/>
        <item x="276"/>
        <item x="557"/>
        <item x="584"/>
        <item x="531"/>
        <item x="101"/>
        <item x="593"/>
        <item x="543"/>
        <item x="370"/>
        <item x="156"/>
        <item x="236"/>
        <item x="89"/>
        <item x="200"/>
        <item x="252"/>
        <item x="82"/>
        <item x="181"/>
        <item x="150"/>
        <item x="597"/>
        <item x="182"/>
        <item x="485"/>
        <item x="495"/>
        <item x="546"/>
        <item x="350"/>
        <item x="241"/>
        <item x="560"/>
        <item x="538"/>
        <item x="95"/>
        <item x="153"/>
        <item x="562"/>
        <item x="445"/>
        <item x="535"/>
        <item x="65"/>
        <item x="544"/>
        <item x="299"/>
        <item x="1"/>
        <item x="327"/>
        <item x="577"/>
        <item x="443"/>
        <item x="83"/>
        <item x="216"/>
        <item x="528"/>
        <item x="263"/>
        <item x="345"/>
        <item x="340"/>
        <item x="282"/>
        <item x="580"/>
        <item x="158"/>
        <item x="110"/>
        <item x="415"/>
        <item x="37"/>
        <item x="228"/>
        <item x="206"/>
        <item x="309"/>
        <item x="483"/>
        <item x="339"/>
        <item x="489"/>
        <item x="293"/>
        <item x="229"/>
        <item x="274"/>
        <item x="132"/>
        <item x="262"/>
        <item x="34"/>
        <item x="433"/>
        <item x="6"/>
        <item x="337"/>
        <item x="184"/>
        <item x="441"/>
        <item x="202"/>
        <item x="21"/>
        <item x="401"/>
        <item x="269"/>
        <item x="590"/>
        <item x="112"/>
        <item x="530"/>
        <item x="365"/>
        <item x="589"/>
        <item x="278"/>
        <item x="572"/>
        <item x="22"/>
        <item x="351"/>
        <item x="7"/>
        <item x="499"/>
        <item x="328"/>
        <item x="141"/>
        <item x="287"/>
        <item x="15"/>
        <item x="519"/>
        <item x="125"/>
        <item x="60"/>
        <item x="63"/>
        <item x="214"/>
        <item x="41"/>
        <item x="33"/>
        <item x="70"/>
        <item x="348"/>
        <item x="332"/>
        <item x="113"/>
        <item x="134"/>
        <item x="386"/>
        <item x="40"/>
        <item x="481"/>
        <item x="97"/>
        <item x="450"/>
        <item x="247"/>
        <item x="514"/>
        <item x="145"/>
        <item x="54"/>
        <item x="283"/>
        <item x="183"/>
        <item x="286"/>
        <item x="455"/>
        <item x="491"/>
        <item x="448"/>
        <item x="194"/>
        <item x="178"/>
        <item x="284"/>
        <item x="114"/>
        <item x="50"/>
        <item x="500"/>
        <item x="470"/>
        <item x="464"/>
        <item x="227"/>
        <item x="78"/>
        <item x="376"/>
        <item x="352"/>
        <item x="526"/>
        <item x="413"/>
        <item x="517"/>
        <item x="288"/>
        <item x="308"/>
        <item x="454"/>
        <item x="397"/>
        <item x="211"/>
        <item x="329"/>
        <item x="353"/>
        <item x="400"/>
        <item x="131"/>
        <item x="67"/>
        <item x="594"/>
        <item x="121"/>
        <item x="111"/>
        <item x="324"/>
        <item x="336"/>
        <item x="518"/>
        <item x="571"/>
        <item x="429"/>
        <item x="218"/>
        <item x="62"/>
        <item x="208"/>
        <item x="472"/>
        <item x="198"/>
        <item x="484"/>
        <item x="243"/>
        <item x="549"/>
        <item x="105"/>
        <item x="524"/>
        <item x="35"/>
        <item x="451"/>
        <item x="221"/>
        <item x="440"/>
        <item x="369"/>
        <item x="585"/>
        <item x="230"/>
        <item x="26"/>
        <item x="12"/>
        <item x="2"/>
        <item x="10"/>
        <item x="477"/>
        <item x="482"/>
        <item x="55"/>
        <item x="126"/>
        <item x="320"/>
        <item x="13"/>
        <item x="567"/>
        <item x="244"/>
        <item x="91"/>
        <item x="135"/>
        <item x="68"/>
        <item x="203"/>
        <item x="224"/>
        <item x="77"/>
        <item x="133"/>
        <item x="513"/>
        <item x="124"/>
        <item x="179"/>
        <item x="166"/>
        <item x="466"/>
        <item x="185"/>
        <item x="172"/>
        <item x="402"/>
        <item x="506"/>
        <item x="17"/>
        <item x="515"/>
        <item x="316"/>
        <item x="379"/>
        <item x="217"/>
        <item x="307"/>
        <item x="338"/>
        <item x="180"/>
        <item x="456"/>
        <item x="273"/>
        <item x="416"/>
        <item x="435"/>
        <item x="570"/>
        <item x="174"/>
        <item x="581"/>
        <item x="461"/>
        <item x="496"/>
        <item x="58"/>
        <item x="302"/>
        <item x="98"/>
        <item x="341"/>
        <item x="504"/>
        <item x="186"/>
        <item x="292"/>
        <item x="277"/>
        <item x="280"/>
        <item x="74"/>
        <item x="347"/>
        <item x="342"/>
        <item x="3"/>
        <item x="234"/>
        <item x="343"/>
        <item x="16"/>
        <item x="542"/>
        <item x="23"/>
        <item x="331"/>
        <item x="349"/>
        <item x="396"/>
        <item x="140"/>
        <item x="28"/>
        <item x="253"/>
        <item x="96"/>
        <item x="398"/>
        <item x="147"/>
        <item x="458"/>
        <item x="527"/>
        <item x="100"/>
        <item x="326"/>
        <item x="479"/>
        <item x="257"/>
        <item x="335"/>
        <item x="430"/>
        <item x="171"/>
        <item x="436"/>
        <item x="330"/>
        <item x="196"/>
        <item x="487"/>
        <item x="444"/>
        <item x="409"/>
        <item x="197"/>
        <item x="245"/>
        <item x="319"/>
        <item x="272"/>
        <item x="490"/>
        <item x="406"/>
        <item x="381"/>
        <item x="220"/>
        <item x="24"/>
        <item x="312"/>
        <item x="14"/>
        <item x="393"/>
        <item x="522"/>
        <item x="56"/>
        <item x="248"/>
        <item x="573"/>
        <item x="143"/>
        <item x="547"/>
        <item x="502"/>
        <item x="592"/>
        <item x="586"/>
        <item x="390"/>
        <item x="38"/>
        <item x="414"/>
        <item x="30"/>
        <item x="130"/>
        <item x="561"/>
        <item x="378"/>
        <item x="306"/>
        <item x="210"/>
        <item x="64"/>
        <item x="418"/>
        <item x="534"/>
        <item x="204"/>
        <item x="192"/>
        <item x="578"/>
        <item x="116"/>
        <item x="136"/>
        <item x="404"/>
        <item x="598"/>
        <item x="419"/>
        <item x="322"/>
        <item x="18"/>
        <item x="11"/>
        <item x="260"/>
        <item x="399"/>
        <item x="453"/>
        <item x="533"/>
        <item x="552"/>
        <item x="71"/>
        <item x="395"/>
        <item x="520"/>
        <item x="25"/>
        <item x="233"/>
        <item x="556"/>
        <item x="391"/>
        <item x="94"/>
        <item x="103"/>
        <item x="90"/>
        <item x="568"/>
        <item x="72"/>
        <item x="193"/>
        <item x="45"/>
        <item x="407"/>
        <item x="250"/>
        <item x="176"/>
        <item x="361"/>
        <item x="372"/>
        <item x="532"/>
        <item x="374"/>
        <item x="412"/>
        <item x="256"/>
        <item x="344"/>
        <item x="421"/>
        <item x="333"/>
        <item x="356"/>
        <item x="4"/>
        <item x="529"/>
        <item x="488"/>
        <item x="53"/>
        <item x="449"/>
        <item x="565"/>
        <item x="357"/>
        <item x="271"/>
        <item x="85"/>
        <item x="42"/>
        <item x="459"/>
        <item x="161"/>
        <item x="266"/>
        <item x="303"/>
        <item x="550"/>
        <item x="545"/>
        <item x="270"/>
        <item x="426"/>
        <item x="20"/>
        <item x="588"/>
        <item x="420"/>
        <item x="480"/>
        <item x="66"/>
        <item x="201"/>
        <item x="555"/>
        <item x="61"/>
        <item x="563"/>
        <item x="501"/>
        <item x="368"/>
        <item x="382"/>
        <item x="432"/>
        <item x="411"/>
        <item x="9"/>
        <item x="226"/>
        <item x="471"/>
        <item t="default"/>
      </items>
    </pivotField>
    <pivotField showAll="0">
      <items count="5">
        <item x="1"/>
        <item x="2"/>
        <item x="0"/>
        <item x="3"/>
        <item t="default"/>
      </items>
    </pivotField>
    <pivotField showAll="0">
      <items count="5">
        <item x="2"/>
        <item x="1"/>
        <item x="0"/>
        <item x="3"/>
        <item t="default"/>
      </items>
    </pivotField>
    <pivotField axis="axisRow" showAll="0">
      <items count="4">
        <item x="1"/>
        <item x="0"/>
        <item x="2"/>
        <item t="default"/>
      </items>
    </pivotField>
    <pivotField showAll="0">
      <items count="1197">
        <item x="78"/>
        <item x="100"/>
        <item x="135"/>
        <item x="575"/>
        <item x="174"/>
        <item x="610"/>
        <item x="730"/>
        <item x="508"/>
        <item x="55"/>
        <item x="315"/>
        <item x="1011"/>
        <item x="1113"/>
        <item x="1148"/>
        <item x="577"/>
        <item x="825"/>
        <item x="219"/>
        <item x="1166"/>
        <item x="375"/>
        <item x="672"/>
        <item x="563"/>
        <item x="214"/>
        <item x="981"/>
        <item x="615"/>
        <item x="355"/>
        <item x="109"/>
        <item x="103"/>
        <item x="145"/>
        <item x="516"/>
        <item x="953"/>
        <item x="889"/>
        <item x="998"/>
        <item x="849"/>
        <item x="553"/>
        <item x="476"/>
        <item x="443"/>
        <item x="625"/>
        <item x="1046"/>
        <item x="30"/>
        <item x="395"/>
        <item x="914"/>
        <item x="887"/>
        <item x="144"/>
        <item x="237"/>
        <item x="40"/>
        <item x="400"/>
        <item x="413"/>
        <item x="392"/>
        <item x="1172"/>
        <item x="172"/>
        <item x="149"/>
        <item x="69"/>
        <item x="325"/>
        <item x="283"/>
        <item x="346"/>
        <item x="1176"/>
        <item x="92"/>
        <item x="1020"/>
        <item x="943"/>
        <item x="1068"/>
        <item x="179"/>
        <item x="907"/>
        <item x="388"/>
        <item x="86"/>
        <item x="98"/>
        <item x="604"/>
        <item x="1006"/>
        <item x="382"/>
        <item x="222"/>
        <item x="331"/>
        <item x="217"/>
        <item x="1178"/>
        <item x="439"/>
        <item x="1137"/>
        <item x="756"/>
        <item x="743"/>
        <item x="793"/>
        <item x="28"/>
        <item x="671"/>
        <item x="840"/>
        <item x="710"/>
        <item x="364"/>
        <item x="105"/>
        <item x="115"/>
        <item x="409"/>
        <item x="712"/>
        <item x="350"/>
        <item x="674"/>
        <item x="139"/>
        <item x="527"/>
        <item x="197"/>
        <item x="1015"/>
        <item x="955"/>
        <item x="59"/>
        <item x="158"/>
        <item x="1026"/>
        <item x="776"/>
        <item x="425"/>
        <item x="728"/>
        <item x="383"/>
        <item x="1182"/>
        <item x="920"/>
        <item x="347"/>
        <item x="1136"/>
        <item x="454"/>
        <item x="75"/>
        <item x="1081"/>
        <item x="681"/>
        <item x="97"/>
        <item x="99"/>
        <item x="646"/>
        <item x="379"/>
        <item x="327"/>
        <item x="661"/>
        <item x="142"/>
        <item x="494"/>
        <item x="1175"/>
        <item x="265"/>
        <item x="330"/>
        <item x="565"/>
        <item x="853"/>
        <item x="540"/>
        <item x="258"/>
        <item x="833"/>
        <item x="1038"/>
        <item x="630"/>
        <item x="729"/>
        <item x="1070"/>
        <item x="123"/>
        <item x="1123"/>
        <item x="587"/>
        <item x="146"/>
        <item x="582"/>
        <item x="120"/>
        <item x="623"/>
        <item x="1104"/>
        <item x="1170"/>
        <item x="444"/>
        <item x="304"/>
        <item x="762"/>
        <item x="603"/>
        <item x="190"/>
        <item x="93"/>
        <item x="721"/>
        <item x="855"/>
        <item x="529"/>
        <item x="1069"/>
        <item x="1174"/>
        <item x="821"/>
        <item x="430"/>
        <item x="1162"/>
        <item x="50"/>
        <item x="1034"/>
        <item x="288"/>
        <item x="1187"/>
        <item x="1177"/>
        <item x="780"/>
        <item x="308"/>
        <item x="493"/>
        <item x="406"/>
        <item x="1049"/>
        <item x="345"/>
        <item x="488"/>
        <item x="545"/>
        <item x="733"/>
        <item x="858"/>
        <item x="1169"/>
        <item x="1050"/>
        <item x="1168"/>
        <item x="284"/>
        <item x="1110"/>
        <item x="440"/>
        <item x="396"/>
        <item x="918"/>
        <item x="768"/>
        <item x="724"/>
        <item x="617"/>
        <item x="62"/>
        <item x="1045"/>
        <item x="1016"/>
        <item x="1030"/>
        <item x="465"/>
        <item x="704"/>
        <item x="37"/>
        <item x="608"/>
        <item x="148"/>
        <item x="1075"/>
        <item x="171"/>
        <item x="463"/>
        <item x="134"/>
        <item x="453"/>
        <item x="173"/>
        <item x="831"/>
        <item x="515"/>
        <item x="535"/>
        <item x="1043"/>
        <item x="789"/>
        <item x="422"/>
        <item x="136"/>
        <item x="962"/>
        <item x="475"/>
        <item x="578"/>
        <item x="862"/>
        <item x="817"/>
        <item x="804"/>
        <item x="1158"/>
        <item x="195"/>
        <item x="467"/>
        <item x="177"/>
        <item x="814"/>
        <item x="452"/>
        <item x="913"/>
        <item x="445"/>
        <item x="57"/>
        <item x="585"/>
        <item x="960"/>
        <item x="792"/>
        <item x="626"/>
        <item x="361"/>
        <item x="1120"/>
        <item x="697"/>
        <item x="320"/>
        <item x="683"/>
        <item x="335"/>
        <item x="900"/>
        <item x="206"/>
        <item x="784"/>
        <item x="732"/>
        <item x="785"/>
        <item x="260"/>
        <item x="309"/>
        <item x="1139"/>
        <item x="1130"/>
        <item x="9"/>
        <item x="945"/>
        <item x="245"/>
        <item x="834"/>
        <item x="622"/>
        <item x="650"/>
        <item x="908"/>
        <item x="1053"/>
        <item x="456"/>
        <item x="916"/>
        <item x="902"/>
        <item x="827"/>
        <item x="151"/>
        <item x="352"/>
        <item x="464"/>
        <item x="957"/>
        <item x="746"/>
        <item x="875"/>
        <item x="901"/>
        <item x="911"/>
        <item x="693"/>
        <item x="274"/>
        <item x="193"/>
        <item x="951"/>
        <item x="501"/>
        <item x="289"/>
        <item x="1028"/>
        <item x="1145"/>
        <item x="160"/>
        <item x="25"/>
        <item x="338"/>
        <item x="959"/>
        <item x="727"/>
        <item x="1132"/>
        <item x="1084"/>
        <item x="45"/>
        <item x="725"/>
        <item x="49"/>
        <item x="381"/>
        <item x="261"/>
        <item x="1066"/>
        <item x="21"/>
        <item x="614"/>
        <item x="32"/>
        <item x="939"/>
        <item x="915"/>
        <item x="24"/>
        <item x="1156"/>
        <item x="368"/>
        <item x="15"/>
        <item x="102"/>
        <item x="490"/>
        <item x="218"/>
        <item x="600"/>
        <item x="270"/>
        <item x="885"/>
        <item x="241"/>
        <item x="507"/>
        <item x="663"/>
        <item x="1146"/>
        <item x="938"/>
        <item x="108"/>
        <item x="711"/>
        <item x="922"/>
        <item x="474"/>
        <item x="992"/>
        <item x="1033"/>
        <item x="299"/>
        <item x="324"/>
        <item x="1054"/>
        <item x="613"/>
        <item x="1000"/>
        <item x="353"/>
        <item x="645"/>
        <item x="298"/>
        <item x="253"/>
        <item x="740"/>
        <item x="94"/>
        <item x="766"/>
        <item x="38"/>
        <item x="832"/>
        <item x="567"/>
        <item x="965"/>
        <item x="971"/>
        <item x="380"/>
        <item x="616"/>
        <item x="1115"/>
        <item x="861"/>
        <item x="818"/>
        <item x="555"/>
        <item x="1057"/>
        <item x="1003"/>
        <item x="473"/>
        <item x="891"/>
        <item x="581"/>
        <item x="207"/>
        <item x="1025"/>
        <item x="638"/>
        <item x="707"/>
        <item x="921"/>
        <item x="1010"/>
        <item x="460"/>
        <item x="269"/>
        <item x="434"/>
        <item x="612"/>
        <item x="520"/>
        <item x="129"/>
        <item x="397"/>
        <item x="777"/>
        <item x="932"/>
        <item x="1023"/>
        <item x="843"/>
        <item x="696"/>
        <item x="870"/>
        <item x="877"/>
        <item x="764"/>
        <item x="941"/>
        <item x="850"/>
        <item x="1004"/>
        <item x="1085"/>
        <item x="127"/>
        <item x="595"/>
        <item x="221"/>
        <item x="892"/>
        <item x="470"/>
        <item x="429"/>
        <item x="141"/>
        <item x="874"/>
        <item x="424"/>
        <item x="111"/>
        <item x="1190"/>
        <item x="372"/>
        <item x="1060"/>
        <item x="761"/>
        <item x="293"/>
        <item x="186"/>
        <item x="54"/>
        <item x="735"/>
        <item x="198"/>
        <item x="737"/>
        <item x="848"/>
        <item x="1181"/>
        <item x="607"/>
        <item x="236"/>
        <item x="232"/>
        <item x="750"/>
        <item x="39"/>
        <item x="294"/>
        <item x="213"/>
        <item x="285"/>
        <item x="96"/>
        <item x="963"/>
        <item x="1103"/>
        <item x="708"/>
        <item x="212"/>
        <item x="897"/>
        <item x="239"/>
        <item x="1112"/>
        <item x="665"/>
        <item x="34"/>
        <item x="639"/>
        <item x="566"/>
        <item x="228"/>
        <item x="629"/>
        <item x="229"/>
        <item x="1"/>
        <item x="1167"/>
        <item x="121"/>
        <item x="842"/>
        <item x="243"/>
        <item x="275"/>
        <item x="385"/>
        <item x="280"/>
        <item x="879"/>
        <item x="147"/>
        <item x="414"/>
        <item x="76"/>
        <item x="1089"/>
        <item x="279"/>
        <item x="1131"/>
        <item x="808"/>
        <item x="336"/>
        <item x="1163"/>
        <item x="548"/>
        <item x="403"/>
        <item x="925"/>
        <item x="1106"/>
        <item x="12"/>
        <item x="87"/>
        <item x="698"/>
        <item x="131"/>
        <item x="437"/>
        <item x="14"/>
        <item x="31"/>
        <item x="845"/>
        <item x="1012"/>
        <item x="649"/>
        <item x="1184"/>
        <item x="61"/>
        <item x="389"/>
        <item x="975"/>
        <item x="367"/>
        <item x="110"/>
        <item x="1099"/>
        <item x="1027"/>
        <item x="435"/>
        <item x="982"/>
        <item x="83"/>
        <item x="104"/>
        <item x="747"/>
        <item x="586"/>
        <item x="533"/>
        <item x="167"/>
        <item x="1022"/>
        <item x="466"/>
        <item x="723"/>
        <item x="72"/>
        <item x="489"/>
        <item x="1140"/>
        <item x="643"/>
        <item x="374"/>
        <item x="890"/>
        <item x="709"/>
        <item x="192"/>
        <item x="865"/>
        <item x="503"/>
        <item x="819"/>
        <item x="1164"/>
        <item x="53"/>
        <item x="1155"/>
        <item x="64"/>
        <item x="1056"/>
        <item x="318"/>
        <item x="1135"/>
        <item x="522"/>
        <item x="745"/>
        <item x="899"/>
        <item x="978"/>
        <item x="1188"/>
        <item x="257"/>
        <item x="809"/>
        <item x="557"/>
        <item x="233"/>
        <item x="116"/>
        <item x="544"/>
        <item x="618"/>
        <item x="5"/>
        <item x="36"/>
        <item x="798"/>
        <item x="1024"/>
        <item x="356"/>
        <item x="966"/>
        <item x="66"/>
        <item x="751"/>
        <item x="41"/>
        <item x="1094"/>
        <item x="1087"/>
        <item x="644"/>
        <item x="47"/>
        <item x="458"/>
        <item x="332"/>
        <item x="796"/>
        <item x="16"/>
        <item x="89"/>
        <item x="748"/>
        <item x="692"/>
        <item x="1154"/>
        <item x="1144"/>
        <item x="620"/>
        <item x="22"/>
        <item x="450"/>
        <item x="774"/>
        <item x="574"/>
        <item x="1090"/>
        <item x="895"/>
        <item x="904"/>
        <item x="584"/>
        <item x="498"/>
        <item x="68"/>
        <item x="362"/>
        <item x="715"/>
        <item x="703"/>
        <item x="199"/>
        <item x="354"/>
        <item x="322"/>
        <item x="249"/>
        <item x="906"/>
        <item x="316"/>
        <item x="598"/>
        <item x="481"/>
        <item x="1073"/>
        <item x="88"/>
        <item x="551"/>
        <item x="806"/>
        <item x="1018"/>
        <item x="1061"/>
        <item x="673"/>
        <item x="800"/>
        <item x="686"/>
        <item x="864"/>
        <item x="196"/>
        <item x="244"/>
        <item x="1077"/>
        <item x="185"/>
        <item x="1008"/>
        <item x="386"/>
        <item x="930"/>
        <item x="844"/>
        <item x="543"/>
        <item x="455"/>
        <item x="659"/>
        <item x="415"/>
        <item x="491"/>
        <item x="1062"/>
        <item x="628"/>
        <item x="1080"/>
        <item x="866"/>
        <item x="140"/>
        <item x="896"/>
        <item x="1051"/>
        <item x="302"/>
        <item x="1035"/>
        <item x="1109"/>
        <item x="991"/>
        <item x="547"/>
        <item x="358"/>
        <item x="863"/>
        <item x="224"/>
        <item x="7"/>
        <item x="689"/>
        <item x="408"/>
        <item x="589"/>
        <item x="676"/>
        <item x="989"/>
        <item x="666"/>
        <item x="1134"/>
        <item x="771"/>
        <item x="731"/>
        <item x="479"/>
        <item x="967"/>
        <item x="161"/>
        <item x="1048"/>
        <item x="1088"/>
        <item x="691"/>
        <item x="813"/>
        <item x="235"/>
        <item x="869"/>
        <item x="1161"/>
        <item x="621"/>
        <item x="779"/>
        <item x="107"/>
        <item x="637"/>
        <item x="42"/>
        <item x="427"/>
        <item x="268"/>
        <item x="647"/>
        <item x="738"/>
        <item x="741"/>
        <item x="119"/>
        <item x="256"/>
        <item x="1092"/>
        <item x="801"/>
        <item x="749"/>
        <item x="132"/>
        <item x="300"/>
        <item x="441"/>
        <item x="1001"/>
        <item x="303"/>
        <item x="534"/>
        <item x="935"/>
        <item x="188"/>
        <item x="461"/>
        <item x="248"/>
        <item x="590"/>
        <item x="189"/>
        <item x="1047"/>
        <item x="660"/>
        <item x="839"/>
        <item x="558"/>
        <item x="138"/>
        <item x="1014"/>
        <item x="321"/>
        <item x="583"/>
        <item x="410"/>
        <item x="846"/>
        <item x="180"/>
        <item x="176"/>
        <item x="820"/>
        <item x="0"/>
        <item x="150"/>
        <item x="1108"/>
        <item x="506"/>
        <item x="722"/>
        <item x="1191"/>
        <item x="1186"/>
        <item x="187"/>
        <item x="371"/>
        <item x="988"/>
        <item x="754"/>
        <item x="964"/>
        <item x="126"/>
        <item x="2"/>
        <item x="726"/>
        <item x="1076"/>
        <item x="495"/>
        <item x="79"/>
        <item x="412"/>
        <item x="376"/>
        <item x="486"/>
        <item x="1180"/>
        <item x="782"/>
        <item x="773"/>
        <item x="340"/>
        <item x="337"/>
        <item x="702"/>
        <item x="1142"/>
        <item x="580"/>
        <item x="946"/>
        <item x="995"/>
        <item x="114"/>
        <item x="81"/>
        <item x="1032"/>
        <item x="451"/>
        <item x="940"/>
        <item x="788"/>
        <item x="210"/>
        <item x="884"/>
        <item x="684"/>
        <item x="700"/>
        <item x="6"/>
        <item x="640"/>
        <item x="1102"/>
        <item x="306"/>
        <item x="154"/>
        <item x="423"/>
        <item x="851"/>
        <item x="699"/>
        <item x="588"/>
        <item x="117"/>
        <item x="264"/>
        <item x="990"/>
        <item x="772"/>
        <item x="517"/>
        <item x="576"/>
        <item x="44"/>
        <item x="868"/>
        <item x="552"/>
        <item x="579"/>
        <item x="753"/>
        <item x="153"/>
        <item x="1149"/>
        <item x="163"/>
        <item x="84"/>
        <item x="128"/>
        <item x="836"/>
        <item x="624"/>
        <item x="420"/>
        <item x="976"/>
        <item x="418"/>
        <item x="391"/>
        <item x="1173"/>
        <item x="469"/>
        <item x="291"/>
        <item x="635"/>
        <item x="311"/>
        <item x="1021"/>
        <item x="537"/>
        <item x="449"/>
        <item x="1059"/>
        <item x="950"/>
        <item x="714"/>
        <item x="227"/>
        <item x="143"/>
        <item x="816"/>
        <item x="234"/>
        <item x="519"/>
        <item x="1111"/>
        <item x="923"/>
        <item x="73"/>
        <item x="958"/>
        <item x="987"/>
        <item x="1041"/>
        <item x="826"/>
        <item x="446"/>
        <item x="786"/>
        <item x="70"/>
        <item x="296"/>
        <item x="656"/>
        <item x="790"/>
        <item x="1036"/>
        <item x="215"/>
        <item x="559"/>
        <item x="883"/>
        <item x="156"/>
        <item x="531"/>
        <item x="162"/>
        <item x="984"/>
        <item x="886"/>
        <item x="539"/>
        <item x="759"/>
        <item x="550"/>
        <item x="301"/>
        <item x="770"/>
        <item x="980"/>
        <item x="1037"/>
        <item x="477"/>
        <item x="807"/>
        <item x="878"/>
        <item x="169"/>
        <item x="1138"/>
        <item x="974"/>
        <item x="1192"/>
        <item x="929"/>
        <item x="716"/>
        <item x="668"/>
        <item x="795"/>
        <item x="407"/>
        <item x="504"/>
        <item x="1107"/>
        <item x="736"/>
        <item x="658"/>
        <item x="876"/>
        <item x="969"/>
        <item x="357"/>
        <item x="401"/>
        <item x="67"/>
        <item x="369"/>
        <item x="1067"/>
        <item x="23"/>
        <item x="238"/>
        <item x="482"/>
        <item x="52"/>
        <item x="259"/>
        <item x="82"/>
        <item x="791"/>
        <item x="653"/>
        <item x="194"/>
        <item x="903"/>
        <item x="822"/>
        <item x="1121"/>
        <item x="231"/>
        <item x="1183"/>
        <item x="657"/>
        <item x="394"/>
        <item x="910"/>
        <item x="758"/>
        <item x="419"/>
        <item x="178"/>
        <item x="752"/>
        <item x="226"/>
        <item x="168"/>
        <item x="983"/>
        <item x="682"/>
        <item x="4"/>
        <item x="560"/>
        <item x="416"/>
        <item x="734"/>
        <item x="973"/>
        <item x="944"/>
        <item x="611"/>
        <item x="619"/>
        <item x="365"/>
        <item x="952"/>
        <item x="694"/>
        <item x="133"/>
        <item x="961"/>
        <item x="225"/>
        <item x="652"/>
        <item x="1055"/>
        <item x="572"/>
        <item x="313"/>
        <item x="277"/>
        <item x="208"/>
        <item x="631"/>
        <item x="366"/>
        <item x="1125"/>
        <item x="739"/>
        <item x="411"/>
        <item x="605"/>
        <item x="742"/>
        <item x="74"/>
        <item x="562"/>
        <item x="799"/>
        <item x="852"/>
        <item x="384"/>
        <item x="1119"/>
        <item x="695"/>
        <item x="669"/>
        <item x="1095"/>
        <item x="680"/>
        <item x="286"/>
        <item x="113"/>
        <item x="778"/>
        <item x="760"/>
        <item x="571"/>
        <item x="591"/>
        <item x="342"/>
        <item x="882"/>
        <item x="593"/>
        <item x="810"/>
        <item x="1064"/>
        <item x="282"/>
        <item x="312"/>
        <item x="58"/>
        <item x="339"/>
        <item x="972"/>
        <item x="370"/>
        <item x="35"/>
        <item x="33"/>
        <item x="781"/>
        <item x="319"/>
        <item x="1079"/>
        <item x="841"/>
        <item x="17"/>
        <item x="767"/>
        <item x="442"/>
        <item x="344"/>
        <item x="310"/>
        <item x="223"/>
        <item x="471"/>
        <item x="181"/>
        <item x="873"/>
        <item x="954"/>
        <item x="641"/>
        <item x="854"/>
        <item x="606"/>
        <item x="27"/>
        <item x="448"/>
        <item x="1114"/>
        <item x="71"/>
        <item x="468"/>
        <item x="1153"/>
        <item x="29"/>
        <item x="763"/>
        <item x="942"/>
        <item x="271"/>
        <item x="426"/>
        <item x="170"/>
        <item x="601"/>
        <item x="1185"/>
        <item x="847"/>
        <item x="667"/>
        <item x="824"/>
        <item x="457"/>
        <item x="317"/>
        <item x="985"/>
        <item x="905"/>
        <item x="642"/>
        <item x="713"/>
        <item x="881"/>
        <item x="872"/>
        <item x="546"/>
        <item x="433"/>
        <item x="220"/>
        <item x="654"/>
        <item x="48"/>
        <item x="596"/>
        <item x="122"/>
        <item x="634"/>
        <item x="1141"/>
        <item x="838"/>
        <item x="510"/>
        <item x="556"/>
        <item x="246"/>
        <item x="3"/>
        <item x="993"/>
        <item x="977"/>
        <item x="1083"/>
        <item x="26"/>
        <item x="216"/>
        <item x="979"/>
        <item x="1101"/>
        <item x="894"/>
        <item x="118"/>
        <item x="599"/>
        <item x="307"/>
        <item x="532"/>
        <item x="996"/>
        <item x="333"/>
        <item x="204"/>
        <item x="602"/>
        <item x="919"/>
        <item x="254"/>
        <item x="1157"/>
        <item x="1179"/>
        <item x="497"/>
        <item x="1143"/>
        <item x="1147"/>
        <item x="1193"/>
        <item x="1082"/>
        <item x="859"/>
        <item x="909"/>
        <item x="997"/>
        <item x="106"/>
        <item x="917"/>
        <item x="670"/>
        <item x="933"/>
        <item x="95"/>
        <item x="242"/>
        <item x="994"/>
        <item x="77"/>
        <item x="829"/>
        <item x="812"/>
        <item x="888"/>
        <item x="343"/>
        <item x="314"/>
        <item x="561"/>
        <item x="541"/>
        <item x="431"/>
        <item x="679"/>
        <item x="542"/>
        <item x="326"/>
        <item x="159"/>
        <item x="802"/>
        <item x="480"/>
        <item x="1071"/>
        <item x="205"/>
        <item x="1042"/>
        <item x="1074"/>
        <item x="360"/>
        <item x="675"/>
        <item x="837"/>
        <item x="1171"/>
        <item x="428"/>
        <item x="1029"/>
        <item x="432"/>
        <item x="276"/>
        <item x="706"/>
        <item x="1124"/>
        <item x="305"/>
        <item x="247"/>
        <item x="292"/>
        <item x="1128"/>
        <item x="1150"/>
        <item x="797"/>
        <item x="1127"/>
        <item x="948"/>
        <item x="1013"/>
        <item x="421"/>
        <item x="184"/>
        <item x="857"/>
        <item x="266"/>
        <item x="334"/>
        <item x="1063"/>
        <item x="203"/>
        <item x="438"/>
        <item x="209"/>
        <item x="65"/>
        <item x="278"/>
        <item x="514"/>
        <item x="569"/>
        <item x="323"/>
        <item x="101"/>
        <item x="1031"/>
        <item x="1160"/>
        <item x="528"/>
        <item x="947"/>
        <item x="377"/>
        <item x="130"/>
        <item x="592"/>
        <item x="898"/>
        <item x="1098"/>
        <item x="1189"/>
        <item x="526"/>
        <item x="152"/>
        <item x="1007"/>
        <item x="536"/>
        <item x="505"/>
        <item x="893"/>
        <item x="183"/>
        <item x="43"/>
        <item x="472"/>
        <item x="80"/>
        <item x="999"/>
        <item x="570"/>
        <item x="525"/>
        <item x="755"/>
        <item x="484"/>
        <item x="787"/>
        <item x="8"/>
        <item x="513"/>
        <item x="90"/>
        <item x="509"/>
        <item x="511"/>
        <item x="931"/>
        <item x="164"/>
        <item x="568"/>
        <item x="499"/>
        <item x="60"/>
        <item x="949"/>
        <item x="1152"/>
        <item x="1040"/>
        <item x="91"/>
        <item x="351"/>
        <item x="378"/>
        <item x="765"/>
        <item x="85"/>
        <item x="1105"/>
        <item x="609"/>
        <item x="860"/>
        <item x="202"/>
        <item x="880"/>
        <item x="718"/>
        <item x="705"/>
        <item x="530"/>
        <item x="166"/>
        <item x="18"/>
        <item x="1009"/>
        <item x="393"/>
        <item x="1072"/>
        <item x="744"/>
        <item x="521"/>
        <item x="404"/>
        <item x="688"/>
        <item x="112"/>
        <item x="720"/>
        <item x="867"/>
        <item x="1129"/>
        <item x="1118"/>
        <item x="290"/>
        <item x="211"/>
        <item x="1039"/>
        <item x="678"/>
        <item x="823"/>
        <item x="191"/>
        <item x="956"/>
        <item x="1195"/>
        <item x="518"/>
        <item x="1002"/>
        <item x="775"/>
        <item x="769"/>
        <item x="348"/>
        <item x="662"/>
        <item x="402"/>
        <item x="251"/>
        <item x="502"/>
        <item x="297"/>
        <item x="1086"/>
        <item x="436"/>
        <item x="934"/>
        <item x="200"/>
        <item x="1093"/>
        <item x="633"/>
        <item x="10"/>
        <item x="273"/>
        <item x="1017"/>
        <item x="936"/>
        <item x="685"/>
        <item x="1116"/>
        <item x="805"/>
        <item x="252"/>
        <item x="349"/>
        <item x="1005"/>
        <item x="835"/>
        <item x="687"/>
        <item x="597"/>
        <item x="1117"/>
        <item x="564"/>
        <item x="757"/>
        <item x="20"/>
        <item x="970"/>
        <item x="19"/>
        <item x="459"/>
        <item x="1091"/>
        <item x="405"/>
        <item x="46"/>
        <item x="263"/>
        <item x="783"/>
        <item x="201"/>
        <item x="373"/>
        <item x="250"/>
        <item x="1052"/>
        <item x="124"/>
        <item x="701"/>
        <item x="496"/>
        <item x="240"/>
        <item x="928"/>
        <item x="912"/>
        <item x="523"/>
        <item x="1096"/>
        <item x="182"/>
        <item x="717"/>
        <item x="549"/>
        <item x="524"/>
        <item x="137"/>
        <item x="125"/>
        <item x="363"/>
        <item x="447"/>
        <item x="462"/>
        <item x="655"/>
        <item x="165"/>
        <item x="926"/>
        <item x="1122"/>
        <item x="1065"/>
        <item x="690"/>
        <item x="155"/>
        <item x="794"/>
        <item x="1151"/>
        <item x="255"/>
        <item x="328"/>
        <item x="1019"/>
        <item x="828"/>
        <item x="573"/>
        <item x="856"/>
        <item x="359"/>
        <item x="719"/>
        <item x="512"/>
        <item x="398"/>
        <item x="483"/>
        <item x="803"/>
        <item x="11"/>
        <item x="1165"/>
        <item x="1044"/>
        <item x="1100"/>
        <item x="230"/>
        <item x="937"/>
        <item x="387"/>
        <item x="56"/>
        <item x="1097"/>
        <item x="632"/>
        <item x="830"/>
        <item x="871"/>
        <item x="262"/>
        <item x="487"/>
        <item x="924"/>
        <item x="968"/>
        <item x="554"/>
        <item x="485"/>
        <item x="478"/>
        <item x="627"/>
        <item x="538"/>
        <item x="677"/>
        <item x="417"/>
        <item x="399"/>
        <item x="51"/>
        <item x="1078"/>
        <item x="13"/>
        <item x="1126"/>
        <item x="1159"/>
        <item x="281"/>
        <item x="664"/>
        <item x="636"/>
        <item x="287"/>
        <item x="651"/>
        <item x="986"/>
        <item x="815"/>
        <item x="927"/>
        <item x="594"/>
        <item x="63"/>
        <item x="1058"/>
        <item x="648"/>
        <item x="329"/>
        <item x="492"/>
        <item x="267"/>
        <item x="811"/>
        <item x="390"/>
        <item x="157"/>
        <item x="295"/>
        <item x="341"/>
        <item x="1194"/>
        <item x="175"/>
        <item x="500"/>
        <item x="1133"/>
        <item x="272"/>
        <item t="default"/>
      </items>
    </pivotField>
    <pivotField showAll="0">
      <items count="1199">
        <item x="78"/>
        <item x="100"/>
        <item x="1115"/>
        <item x="609"/>
        <item x="219"/>
        <item x="729"/>
        <item x="1150"/>
        <item x="614"/>
        <item x="55"/>
        <item x="671"/>
        <item x="574"/>
        <item x="109"/>
        <item x="174"/>
        <item x="135"/>
        <item x="824"/>
        <item x="841"/>
        <item x="374"/>
        <item x="1168"/>
        <item x="507"/>
        <item x="562"/>
        <item x="314"/>
        <item x="394"/>
        <item x="214"/>
        <item x="442"/>
        <item x="576"/>
        <item x="982"/>
        <item x="354"/>
        <item x="954"/>
        <item x="30"/>
        <item x="145"/>
        <item x="475"/>
        <item x="103"/>
        <item x="849"/>
        <item x="515"/>
        <item x="172"/>
        <item x="887"/>
        <item x="399"/>
        <item x="237"/>
        <item x="412"/>
        <item x="283"/>
        <item x="889"/>
        <item x="999"/>
        <item x="1174"/>
        <item x="217"/>
        <item x="144"/>
        <item x="1046"/>
        <item x="552"/>
        <item x="943"/>
        <item x="914"/>
        <item x="115"/>
        <item x="624"/>
        <item x="86"/>
        <item x="40"/>
        <item x="92"/>
        <item x="349"/>
        <item x="1180"/>
        <item x="69"/>
        <item x="424"/>
        <item x="526"/>
        <item x="391"/>
        <item x="98"/>
        <item x="907"/>
        <item x="709"/>
        <item x="1139"/>
        <item x="1020"/>
        <item x="324"/>
        <item x="28"/>
        <item x="438"/>
        <item x="755"/>
        <item x="673"/>
        <item x="387"/>
        <item x="149"/>
        <item x="330"/>
        <item x="346"/>
        <item x="139"/>
        <item x="1138"/>
        <item x="222"/>
        <item x="197"/>
        <item x="792"/>
        <item x="1068"/>
        <item x="603"/>
        <item x="645"/>
        <item x="345"/>
        <item x="1178"/>
        <item x="329"/>
        <item x="363"/>
        <item x="179"/>
        <item x="381"/>
        <item x="742"/>
        <item x="1184"/>
        <item x="670"/>
        <item x="1026"/>
        <item x="105"/>
        <item x="326"/>
        <item x="59"/>
        <item x="1007"/>
        <item x="727"/>
        <item x="453"/>
        <item x="382"/>
        <item x="142"/>
        <item x="493"/>
        <item x="660"/>
        <item x="528"/>
        <item x="303"/>
        <item x="775"/>
        <item x="123"/>
        <item x="839"/>
        <item x="720"/>
        <item x="920"/>
        <item x="97"/>
        <item x="956"/>
        <item x="1081"/>
        <item x="622"/>
        <item x="158"/>
        <item x="586"/>
        <item x="75"/>
        <item x="711"/>
        <item x="408"/>
        <item x="1164"/>
        <item x="99"/>
        <item x="832"/>
        <item x="629"/>
        <item x="429"/>
        <item x="544"/>
        <item x="120"/>
        <item x="1015"/>
        <item x="728"/>
        <item x="602"/>
        <item x="190"/>
        <item x="50"/>
        <item x="1106"/>
        <item x="443"/>
        <item x="1038"/>
        <item x="1125"/>
        <item x="344"/>
        <item x="62"/>
        <item x="1016"/>
        <item x="146"/>
        <item x="539"/>
        <item x="1049"/>
        <item x="680"/>
        <item x="37"/>
        <item x="1030"/>
        <item x="1177"/>
        <item x="451"/>
        <item x="395"/>
        <item x="1070"/>
        <item x="265"/>
        <item x="853"/>
        <item x="195"/>
        <item x="177"/>
        <item x="813"/>
        <item x="803"/>
        <item x="288"/>
        <item x="696"/>
        <item x="258"/>
        <item x="761"/>
        <item x="830"/>
        <item x="723"/>
        <item x="245"/>
        <item x="1122"/>
        <item x="1075"/>
        <item x="581"/>
        <item x="564"/>
        <item x="151"/>
        <item x="378"/>
        <item x="616"/>
        <item x="961"/>
        <item x="952"/>
        <item x="57"/>
        <item x="625"/>
        <item x="788"/>
        <item x="49"/>
        <item x="820"/>
        <item x="514"/>
        <item x="1172"/>
        <item x="405"/>
        <item x="492"/>
        <item x="351"/>
        <item x="462"/>
        <item x="692"/>
        <item x="855"/>
        <item x="466"/>
        <item x="1045"/>
        <item x="307"/>
        <item x="862"/>
        <item x="779"/>
        <item x="319"/>
        <item x="171"/>
        <item x="487"/>
        <item x="93"/>
        <item x="1179"/>
        <item x="260"/>
        <item x="732"/>
        <item x="1069"/>
        <item x="908"/>
        <item x="1084"/>
        <item x="284"/>
        <item x="1176"/>
        <item x="1160"/>
        <item x="901"/>
        <item x="160"/>
        <item x="916"/>
        <item x="1050"/>
        <item x="148"/>
        <item x="463"/>
        <item x="206"/>
        <item x="464"/>
        <item x="1034"/>
        <item x="274"/>
        <item x="444"/>
        <item x="1189"/>
        <item x="963"/>
        <item x="662"/>
        <item x="421"/>
        <item x="108"/>
        <item x="38"/>
        <item x="682"/>
        <item x="858"/>
        <item x="1170"/>
        <item x="900"/>
        <item x="439"/>
        <item x="1112"/>
        <item x="337"/>
        <item x="45"/>
        <item x="783"/>
        <item x="938"/>
        <item x="9"/>
        <item x="261"/>
        <item x="134"/>
        <item x="193"/>
        <item x="1053"/>
        <item x="297"/>
        <item x="380"/>
        <item x="918"/>
        <item x="577"/>
        <item x="703"/>
        <item x="1171"/>
        <item x="767"/>
        <item x="289"/>
        <item x="452"/>
        <item x="566"/>
        <item x="607"/>
        <item x="946"/>
        <item x="506"/>
        <item x="102"/>
        <item x="32"/>
        <item x="534"/>
        <item x="218"/>
        <item x="902"/>
        <item x="911"/>
        <item x="173"/>
        <item x="1033"/>
        <item x="1132"/>
        <item x="136"/>
        <item x="826"/>
        <item x="500"/>
        <item x="913"/>
        <item x="1117"/>
        <item x="1148"/>
        <item x="784"/>
        <item x="1158"/>
        <item x="253"/>
        <item x="584"/>
        <item x="644"/>
        <item x="637"/>
        <item x="958"/>
        <item x="706"/>
        <item x="1043"/>
        <item x="371"/>
        <item x="323"/>
        <item x="613"/>
        <item x="870"/>
        <item x="724"/>
        <item x="379"/>
        <item x="1066"/>
        <item x="816"/>
        <item x="94"/>
        <item x="54"/>
        <item x="360"/>
        <item x="129"/>
        <item x="241"/>
        <item x="474"/>
        <item x="874"/>
        <item x="212"/>
        <item x="39"/>
        <item x="993"/>
        <item x="749"/>
        <item x="308"/>
        <item x="1025"/>
        <item x="731"/>
        <item x="833"/>
        <item x="791"/>
        <item x="121"/>
        <item x="221"/>
        <item x="877"/>
        <item x="469"/>
        <item x="519"/>
        <item x="885"/>
        <item x="455"/>
        <item x="745"/>
        <item x="739"/>
        <item x="615"/>
        <item x="1147"/>
        <item x="606"/>
        <item x="428"/>
        <item x="621"/>
        <item x="334"/>
        <item x="25"/>
        <item x="489"/>
        <item x="1141"/>
        <item x="765"/>
        <item x="960"/>
        <item x="875"/>
        <item x="776"/>
        <item x="1023"/>
        <item x="459"/>
        <item x="1057"/>
        <item x="726"/>
        <item x="892"/>
        <item x="293"/>
        <item x="1105"/>
        <item x="12"/>
        <item x="649"/>
        <item x="746"/>
        <item x="270"/>
        <item x="1028"/>
        <item x="24"/>
        <item x="285"/>
        <item x="111"/>
        <item x="722"/>
        <item x="213"/>
        <item x="710"/>
        <item x="1004"/>
        <item x="1001"/>
        <item x="643"/>
        <item x="1183"/>
        <item x="186"/>
        <item x="335"/>
        <item x="1134"/>
        <item x="848"/>
        <item x="1054"/>
        <item x="1114"/>
        <item x="1"/>
        <item x="472"/>
        <item x="21"/>
        <item x="396"/>
        <item x="664"/>
        <item x="747"/>
        <item x="433"/>
        <item x="83"/>
        <item x="1137"/>
        <item x="232"/>
        <item x="1011"/>
        <item x="239"/>
        <item x="915"/>
        <item x="87"/>
        <item x="795"/>
        <item x="1024"/>
        <item x="1062"/>
        <item x="941"/>
        <item x="127"/>
        <item x="207"/>
        <item x="1165"/>
        <item x="367"/>
        <item x="269"/>
        <item x="298"/>
        <item x="15"/>
        <item x="619"/>
        <item x="1157"/>
        <item x="599"/>
        <item x="236"/>
        <item x="1085"/>
        <item x="565"/>
        <item x="939"/>
        <item x="554"/>
        <item x="702"/>
        <item x="1133"/>
        <item x="547"/>
        <item x="141"/>
        <item x="707"/>
        <item x="760"/>
        <item x="817"/>
        <item x="972"/>
        <item x="899"/>
        <item x="932"/>
        <item x="842"/>
        <item x="198"/>
        <item x="583"/>
        <item x="891"/>
        <item x="922"/>
        <item x="1012"/>
        <item x="1009"/>
        <item x="964"/>
        <item x="861"/>
        <item x="612"/>
        <item x="864"/>
        <item x="863"/>
        <item x="31"/>
        <item x="436"/>
        <item x="778"/>
        <item x="229"/>
        <item x="315"/>
        <item x="497"/>
        <item x="14"/>
        <item x="473"/>
        <item x="597"/>
        <item x="865"/>
        <item x="1089"/>
        <item x="352"/>
        <item x="228"/>
        <item x="808"/>
        <item x="61"/>
        <item x="580"/>
        <item x="385"/>
        <item x="831"/>
        <item x="167"/>
        <item x="104"/>
        <item x="47"/>
        <item x="695"/>
        <item x="967"/>
        <item x="76"/>
        <item x="1080"/>
        <item x="96"/>
        <item x="843"/>
        <item x="478"/>
        <item x="966"/>
        <item x="147"/>
        <item x="317"/>
        <item x="423"/>
        <item x="1005"/>
        <item x="1142"/>
        <item x="66"/>
        <item x="1092"/>
        <item x="611"/>
        <item x="494"/>
        <item x="850"/>
        <item x="150"/>
        <item x="1136"/>
        <item x="110"/>
        <item x="921"/>
        <item x="235"/>
        <item x="36"/>
        <item x="685"/>
        <item x="1047"/>
        <item x="744"/>
        <item x="275"/>
        <item x="725"/>
        <item x="763"/>
        <item x="138"/>
        <item x="736"/>
        <item x="1104"/>
        <item x="1108"/>
        <item x="906"/>
        <item x="388"/>
        <item x="336"/>
        <item x="320"/>
        <item x="16"/>
        <item x="884"/>
        <item x="355"/>
        <item x="280"/>
        <item x="465"/>
        <item x="34"/>
        <item x="53"/>
        <item x="787"/>
        <item x="1169"/>
        <item x="701"/>
        <item x="375"/>
        <item x="578"/>
        <item x="648"/>
        <item x="550"/>
        <item x="546"/>
        <item x="373"/>
        <item x="233"/>
        <item x="1156"/>
        <item x="753"/>
        <item x="521"/>
        <item x="940"/>
        <item x="1056"/>
        <item x="879"/>
        <item x="162"/>
        <item x="366"/>
        <item x="770"/>
        <item x="1111"/>
        <item x="925"/>
        <item x="968"/>
        <item x="457"/>
        <item x="797"/>
        <item x="667"/>
        <item x="620"/>
        <item x="268"/>
        <item x="735"/>
        <item x="41"/>
        <item x="1186"/>
        <item x="904"/>
        <item x="402"/>
        <item x="594"/>
        <item x="585"/>
        <item x="1060"/>
        <item x="1035"/>
        <item x="634"/>
        <item x="81"/>
        <item x="628"/>
        <item x="243"/>
        <item x="1090"/>
        <item x="116"/>
        <item x="800"/>
        <item x="897"/>
        <item x="384"/>
        <item x="426"/>
        <item x="294"/>
        <item x="866"/>
        <item x="1022"/>
        <item x="636"/>
        <item x="196"/>
        <item x="1192"/>
        <item x="1018"/>
        <item x="543"/>
        <item x="734"/>
        <item x="818"/>
        <item x="44"/>
        <item x="989"/>
        <item x="1073"/>
        <item x="740"/>
        <item x="976"/>
        <item x="1032"/>
        <item x="168"/>
        <item x="1123"/>
        <item x="819"/>
        <item x="210"/>
        <item x="929"/>
        <item x="698"/>
        <item x="530"/>
        <item x="279"/>
        <item x="413"/>
        <item x="390"/>
        <item x="1100"/>
        <item x="1088"/>
        <item x="119"/>
        <item x="659"/>
        <item x="638"/>
        <item x="985"/>
        <item x="838"/>
        <item x="983"/>
        <item x="587"/>
        <item x="488"/>
        <item x="1027"/>
        <item x="910"/>
        <item x="194"/>
        <item x="42"/>
        <item x="1094"/>
        <item x="646"/>
        <item x="368"/>
        <item x="68"/>
        <item x="807"/>
        <item x="708"/>
        <item x="642"/>
        <item x="844"/>
        <item x="490"/>
        <item x="657"/>
        <item x="890"/>
        <item x="257"/>
        <item x="89"/>
        <item x="542"/>
        <item x="485"/>
        <item x="959"/>
        <item x="5"/>
        <item x="556"/>
        <item x="1185"/>
        <item x="799"/>
        <item x="448"/>
        <item x="406"/>
        <item x="357"/>
        <item x="1014"/>
        <item x="1061"/>
        <item x="131"/>
        <item x="1077"/>
        <item x="502"/>
        <item x="440"/>
        <item x="248"/>
        <item x="226"/>
        <item x="651"/>
        <item x="532"/>
        <item x="445"/>
        <item x="480"/>
        <item x="610"/>
        <item x="1190"/>
        <item x="805"/>
        <item x="74"/>
        <item x="0"/>
        <item x="773"/>
        <item x="4"/>
        <item x="658"/>
        <item x="192"/>
        <item x="672"/>
        <item x="697"/>
        <item x="88"/>
        <item x="249"/>
        <item x="588"/>
        <item x="688"/>
        <item x="1144"/>
        <item x="942"/>
        <item x="806"/>
        <item x="82"/>
        <item x="1146"/>
        <item x="71"/>
        <item x="411"/>
        <item x="845"/>
        <item x="505"/>
        <item x="460"/>
        <item x="277"/>
        <item x="1059"/>
        <item x="64"/>
        <item x="67"/>
        <item x="561"/>
        <item x="750"/>
        <item x="1166"/>
        <item x="72"/>
        <item x="1194"/>
        <item x="1116"/>
        <item x="434"/>
        <item x="321"/>
        <item x="714"/>
        <item x="301"/>
        <item x="691"/>
        <item x="299"/>
        <item x="1121"/>
        <item x="409"/>
        <item x="781"/>
        <item x="965"/>
        <item x="1079"/>
        <item x="752"/>
        <item x="886"/>
        <item x="154"/>
        <item x="895"/>
        <item x="244"/>
        <item x="590"/>
        <item x="665"/>
        <item x="70"/>
        <item x="117"/>
        <item x="538"/>
        <item x="79"/>
        <item x="107"/>
        <item x="589"/>
        <item x="17"/>
        <item x="840"/>
        <item x="410"/>
        <item x="981"/>
        <item x="1048"/>
        <item x="977"/>
        <item x="476"/>
        <item x="331"/>
        <item x="979"/>
        <item x="316"/>
        <item x="454"/>
        <item x="815"/>
        <item x="769"/>
        <item x="259"/>
        <item x="140"/>
        <item x="305"/>
        <item x="630"/>
        <item x="573"/>
        <item x="518"/>
        <item x="812"/>
        <item x="23"/>
        <item x="1002"/>
        <item x="748"/>
        <item x="617"/>
        <item x="909"/>
        <item x="633"/>
        <item x="852"/>
        <item x="533"/>
        <item x="215"/>
        <item x="407"/>
        <item x="801"/>
        <item x="468"/>
        <item x="254"/>
        <item x="595"/>
        <item x="699"/>
        <item x="869"/>
        <item x="449"/>
        <item x="48"/>
        <item x="29"/>
        <item x="189"/>
        <item x="152"/>
        <item x="188"/>
        <item x="170"/>
        <item x="156"/>
        <item x="1095"/>
        <item x="737"/>
        <item x="851"/>
        <item x="730"/>
        <item x="582"/>
        <item x="185"/>
        <item x="22"/>
        <item x="1087"/>
        <item x="777"/>
        <item x="496"/>
        <item x="947"/>
        <item x="639"/>
        <item x="1036"/>
        <item x="199"/>
        <item x="558"/>
        <item x="560"/>
        <item x="513"/>
        <item x="365"/>
        <item x="447"/>
        <item x="246"/>
        <item x="693"/>
        <item x="516"/>
        <item x="1083"/>
        <item x="479"/>
        <item x="132"/>
        <item x="605"/>
        <item x="311"/>
        <item x="361"/>
        <item x="133"/>
        <item x="1037"/>
        <item x="754"/>
        <item x="2"/>
        <item x="1021"/>
        <item x="291"/>
        <item x="52"/>
        <item x="353"/>
        <item x="545"/>
        <item x="432"/>
        <item x="828"/>
        <item x="896"/>
        <item x="992"/>
        <item x="575"/>
        <item x="310"/>
        <item x="26"/>
        <item x="1082"/>
        <item x="627"/>
        <item x="264"/>
        <item x="470"/>
        <item x="1149"/>
        <item x="878"/>
        <item x="393"/>
        <item x="978"/>
        <item x="974"/>
        <item x="143"/>
        <item x="90"/>
        <item x="945"/>
        <item x="690"/>
        <item x="312"/>
        <item x="991"/>
        <item x="796"/>
        <item x="655"/>
        <item x="675"/>
        <item x="1193"/>
        <item x="302"/>
        <item x="338"/>
        <item x="935"/>
        <item x="990"/>
        <item x="970"/>
        <item x="930"/>
        <item x="33"/>
        <item x="114"/>
        <item x="84"/>
        <item x="161"/>
        <item x="883"/>
        <item x="414"/>
        <item x="509"/>
        <item x="1076"/>
        <item x="1181"/>
        <item x="846"/>
        <item x="1175"/>
        <item x="339"/>
        <item x="58"/>
        <item x="834"/>
        <item x="450"/>
        <item x="1151"/>
        <item x="290"/>
        <item x="7"/>
        <item x="771"/>
        <item x="557"/>
        <item x="934"/>
        <item x="984"/>
        <item x="296"/>
        <item x="417"/>
        <item x="511"/>
        <item x="203"/>
        <item x="1042"/>
        <item x="1110"/>
        <item x="266"/>
        <item x="256"/>
        <item x="73"/>
        <item x="579"/>
        <item x="419"/>
        <item x="1067"/>
        <item x="1051"/>
        <item x="300"/>
        <item x="718"/>
        <item x="666"/>
        <item x="224"/>
        <item x="872"/>
        <item x="1163"/>
        <item x="571"/>
        <item x="876"/>
        <item x="169"/>
        <item x="683"/>
        <item x="1188"/>
        <item x="1098"/>
        <item x="551"/>
        <item x="668"/>
        <item x="370"/>
        <item x="1055"/>
        <item x="950"/>
        <item x="77"/>
        <item x="996"/>
        <item x="383"/>
        <item x="995"/>
        <item x="880"/>
        <item x="905"/>
        <item x="531"/>
        <item x="178"/>
        <item x="559"/>
        <item x="306"/>
        <item x="176"/>
        <item x="772"/>
        <item x="847"/>
        <item x="225"/>
        <item x="955"/>
        <item x="369"/>
        <item x="231"/>
        <item x="1153"/>
        <item x="1041"/>
        <item x="282"/>
        <item x="604"/>
        <item x="785"/>
        <item x="653"/>
        <item x="600"/>
        <item x="262"/>
        <item x="80"/>
        <item x="669"/>
        <item x="794"/>
        <item x="835"/>
        <item x="427"/>
        <item x="1182"/>
        <item x="888"/>
        <item x="1128"/>
        <item x="721"/>
        <item x="204"/>
        <item x="759"/>
        <item x="180"/>
        <item x="1019"/>
        <item x="1155"/>
        <item x="821"/>
        <item x="825"/>
        <item x="1130"/>
        <item x="273"/>
        <item x="322"/>
        <item x="364"/>
        <item x="1140"/>
        <item x="6"/>
        <item x="789"/>
        <item x="738"/>
        <item x="238"/>
        <item x="868"/>
        <item x="128"/>
        <item x="187"/>
        <item x="623"/>
        <item x="181"/>
        <item x="823"/>
        <item x="208"/>
        <item x="953"/>
        <item x="517"/>
        <item x="857"/>
        <item x="510"/>
        <item x="227"/>
        <item x="1103"/>
        <item x="1159"/>
        <item x="679"/>
        <item x="126"/>
        <item x="988"/>
        <item x="304"/>
        <item x="689"/>
        <item x="705"/>
        <item x="549"/>
        <item x="536"/>
        <item x="1143"/>
        <item x="811"/>
        <item x="347"/>
        <item x="1040"/>
        <item x="398"/>
        <item x="182"/>
        <item x="641"/>
        <item x="951"/>
        <item x="1113"/>
        <item x="882"/>
        <item x="780"/>
        <item x="163"/>
        <item x="512"/>
        <item x="286"/>
        <item x="923"/>
        <item x="881"/>
        <item x="944"/>
        <item x="343"/>
        <item x="1058"/>
        <item x="153"/>
        <item x="425"/>
        <item x="766"/>
        <item x="422"/>
        <item x="608"/>
        <item x="498"/>
        <item x="278"/>
        <item x="681"/>
        <item x="1195"/>
        <item x="975"/>
        <item x="631"/>
        <item x="1154"/>
        <item x="1013"/>
        <item x="1109"/>
        <item x="741"/>
        <item x="486"/>
        <item x="431"/>
        <item x="313"/>
        <item x="762"/>
        <item x="35"/>
        <item x="234"/>
        <item x="790"/>
        <item x="591"/>
        <item x="404"/>
        <item x="503"/>
        <item x="446"/>
        <item x="678"/>
        <item x="456"/>
        <item x="481"/>
        <item x="1187"/>
        <item x="1127"/>
        <item x="401"/>
        <item x="341"/>
        <item x="980"/>
        <item x="230"/>
        <item x="418"/>
        <item x="893"/>
        <item x="201"/>
        <item x="652"/>
        <item x="359"/>
        <item x="350"/>
        <item x="713"/>
        <item x="986"/>
        <item x="520"/>
        <item x="798"/>
        <item x="572"/>
        <item x="95"/>
        <item x="46"/>
        <item x="20"/>
        <item x="541"/>
        <item x="694"/>
        <item x="415"/>
        <item x="632"/>
        <item x="764"/>
        <item x="804"/>
        <item x="333"/>
        <item x="687"/>
        <item x="656"/>
        <item x="400"/>
        <item x="733"/>
        <item x="969"/>
        <item x="11"/>
        <item x="416"/>
        <item x="757"/>
        <item x="482"/>
        <item x="898"/>
        <item x="758"/>
        <item x="430"/>
        <item x="65"/>
        <item x="661"/>
        <item x="1065"/>
        <item x="1126"/>
        <item x="786"/>
        <item x="175"/>
        <item x="8"/>
        <item x="1091"/>
        <item x="91"/>
        <item x="903"/>
        <item x="873"/>
        <item x="356"/>
        <item x="712"/>
        <item x="467"/>
        <item x="318"/>
        <item x="1003"/>
        <item x="112"/>
        <item x="1119"/>
        <item x="220"/>
        <item x="255"/>
        <item x="973"/>
        <item x="471"/>
        <item x="1010"/>
        <item x="377"/>
        <item x="1129"/>
        <item x="837"/>
        <item x="535"/>
        <item x="715"/>
        <item x="937"/>
        <item x="962"/>
        <item x="325"/>
        <item x="60"/>
        <item x="276"/>
        <item x="340"/>
        <item x="1029"/>
        <item x="1074"/>
        <item x="933"/>
        <item x="809"/>
        <item x="1064"/>
        <item x="700"/>
        <item x="166"/>
        <item x="165"/>
        <item x="871"/>
        <item x="43"/>
        <item x="751"/>
        <item x="242"/>
        <item x="555"/>
        <item x="793"/>
        <item x="106"/>
        <item x="1052"/>
        <item x="592"/>
        <item x="118"/>
        <item x="601"/>
        <item x="949"/>
        <item x="677"/>
        <item x="113"/>
        <item x="1031"/>
        <item x="802"/>
        <item x="743"/>
        <item x="309"/>
        <item x="676"/>
        <item x="51"/>
        <item x="997"/>
        <item x="332"/>
        <item x="441"/>
        <item x="570"/>
        <item x="854"/>
        <item x="618"/>
        <item x="122"/>
        <item x="598"/>
        <item x="1008"/>
        <item x="247"/>
        <item x="461"/>
        <item x="704"/>
        <item x="183"/>
        <item x="403"/>
        <item x="216"/>
        <item x="205"/>
        <item x="1118"/>
        <item x="768"/>
        <item x="1145"/>
        <item x="495"/>
        <item x="27"/>
        <item x="1152"/>
        <item x="3"/>
        <item x="130"/>
        <item x="829"/>
        <item x="13"/>
        <item x="101"/>
        <item x="856"/>
        <item x="155"/>
        <item x="926"/>
        <item x="640"/>
        <item x="124"/>
        <item x="567"/>
        <item x="501"/>
        <item x="392"/>
        <item x="936"/>
        <item x="822"/>
        <item x="1096"/>
        <item x="292"/>
        <item x="209"/>
        <item x="137"/>
        <item x="537"/>
        <item x="240"/>
        <item x="420"/>
        <item x="477"/>
        <item x="971"/>
        <item x="931"/>
        <item x="223"/>
        <item x="271"/>
        <item x="717"/>
        <item x="1107"/>
        <item x="263"/>
        <item x="1120"/>
        <item x="200"/>
        <item x="1063"/>
        <item x="483"/>
        <item x="1072"/>
        <item x="635"/>
        <item x="894"/>
        <item x="860"/>
        <item x="504"/>
        <item x="1102"/>
        <item x="686"/>
        <item x="508"/>
        <item x="1006"/>
        <item x="18"/>
        <item x="437"/>
        <item x="362"/>
        <item x="859"/>
        <item x="1078"/>
        <item x="524"/>
        <item x="1093"/>
        <item x="499"/>
        <item x="994"/>
        <item x="372"/>
        <item x="650"/>
        <item x="211"/>
        <item x="569"/>
        <item x="522"/>
        <item x="1000"/>
        <item x="540"/>
        <item x="376"/>
        <item x="998"/>
        <item x="252"/>
        <item x="917"/>
        <item x="836"/>
        <item x="327"/>
        <item x="397"/>
        <item x="159"/>
        <item x="674"/>
        <item x="85"/>
        <item x="782"/>
        <item x="348"/>
        <item x="251"/>
        <item x="358"/>
        <item x="919"/>
        <item x="1124"/>
        <item x="756"/>
        <item x="1044"/>
        <item x="548"/>
        <item x="184"/>
        <item x="948"/>
        <item x="527"/>
        <item x="525"/>
        <item x="1086"/>
        <item x="912"/>
        <item x="1071"/>
        <item x="342"/>
        <item x="1162"/>
        <item x="774"/>
        <item x="529"/>
        <item x="1017"/>
        <item x="1173"/>
        <item x="684"/>
        <item x="1191"/>
        <item x="568"/>
        <item x="716"/>
        <item x="719"/>
        <item x="491"/>
        <item x="563"/>
        <item x="810"/>
        <item x="596"/>
        <item x="1099"/>
        <item x="867"/>
        <item x="164"/>
        <item x="1039"/>
        <item x="957"/>
        <item x="523"/>
        <item x="125"/>
        <item x="1167"/>
        <item x="202"/>
        <item x="593"/>
        <item x="250"/>
        <item x="928"/>
        <item x="1197"/>
        <item x="814"/>
        <item x="1131"/>
        <item x="924"/>
        <item x="328"/>
        <item x="10"/>
        <item x="1097"/>
        <item x="458"/>
        <item x="1101"/>
        <item x="267"/>
        <item x="435"/>
        <item x="281"/>
        <item x="191"/>
        <item x="654"/>
        <item x="386"/>
        <item x="987"/>
        <item x="1161"/>
        <item x="626"/>
        <item x="663"/>
        <item x="389"/>
        <item x="19"/>
        <item x="484"/>
        <item x="827"/>
        <item x="56"/>
        <item x="553"/>
        <item x="1135"/>
        <item x="287"/>
        <item x="927"/>
        <item x="647"/>
        <item x="63"/>
        <item x="1196"/>
        <item x="295"/>
        <item x="157"/>
        <item x="272"/>
        <item t="default"/>
      </items>
    </pivotField>
    <pivotField showAll="0"/>
    <pivotField showAll="0">
      <items count="17">
        <item x="14"/>
        <item x="8"/>
        <item x="0"/>
        <item x="5"/>
        <item x="9"/>
        <item x="10"/>
        <item x="2"/>
        <item x="3"/>
        <item x="11"/>
        <item x="7"/>
        <item x="4"/>
        <item x="15"/>
        <item x="12"/>
        <item x="13"/>
        <item x="6"/>
        <item x="1"/>
        <item t="default"/>
      </items>
    </pivotField>
    <pivotField showAll="0">
      <items count="17">
        <item x="1"/>
        <item x="13"/>
        <item x="3"/>
        <item x="12"/>
        <item x="7"/>
        <item x="6"/>
        <item x="8"/>
        <item x="0"/>
        <item x="14"/>
        <item x="4"/>
        <item x="10"/>
        <item x="9"/>
        <item x="15"/>
        <item x="11"/>
        <item x="5"/>
        <item x="2"/>
        <item t="default"/>
      </items>
    </pivotField>
    <pivotField showAll="0"/>
    <pivotField numFmtId="10" showAll="0"/>
    <pivotField numFmtId="10" showAll="0">
      <items count="1201">
        <item x="19"/>
        <item x="191"/>
        <item x="379"/>
        <item x="1089"/>
        <item x="343"/>
        <item x="1194"/>
        <item x="1175"/>
        <item x="335"/>
        <item x="840"/>
        <item x="180"/>
        <item x="223"/>
        <item x="920"/>
        <item x="846"/>
        <item x="435"/>
        <item x="1053"/>
        <item x="595"/>
        <item x="187"/>
        <item x="354"/>
        <item x="1073"/>
        <item x="224"/>
        <item x="735"/>
        <item x="126"/>
        <item x="716"/>
        <item x="1101"/>
        <item x="618"/>
        <item x="1133"/>
        <item x="828"/>
        <item x="202"/>
        <item x="474"/>
        <item x="940"/>
        <item x="698"/>
        <item x="650"/>
        <item x="619"/>
        <item x="1143"/>
        <item x="714"/>
        <item x="436"/>
        <item x="931"/>
        <item x="346"/>
        <item x="362"/>
        <item x="423"/>
        <item x="722"/>
        <item x="980"/>
        <item x="752"/>
        <item x="554"/>
        <item x="409"/>
        <item x="569"/>
        <item x="553"/>
        <item x="164"/>
        <item x="271"/>
        <item x="56"/>
        <item x="415"/>
        <item x="63"/>
        <item x="22"/>
        <item x="712"/>
        <item x="1165"/>
        <item x="7"/>
        <item x="1193"/>
        <item x="72"/>
        <item x="639"/>
        <item x="792"/>
        <item x="287"/>
        <item x="759"/>
        <item x="272"/>
        <item x="1062"/>
        <item x="995"/>
        <item x="357"/>
        <item x="625"/>
        <item x="176"/>
        <item x="1136"/>
        <item x="1008"/>
        <item x="1164"/>
        <item x="294"/>
        <item x="199"/>
        <item x="157"/>
        <item x="1000"/>
        <item x="153"/>
        <item x="10"/>
        <item x="1173"/>
        <item x="1199"/>
        <item x="475"/>
        <item x="485"/>
        <item x="184"/>
        <item x="890"/>
        <item x="918"/>
        <item x="1180"/>
        <item x="922"/>
        <item x="923"/>
        <item x="131"/>
        <item x="999"/>
        <item x="295"/>
        <item x="1030"/>
        <item x="641"/>
        <item x="159"/>
        <item x="967"/>
        <item x="675"/>
        <item x="15"/>
        <item x="459"/>
        <item x="528"/>
        <item x="526"/>
        <item x="949"/>
        <item x="655"/>
        <item x="1168"/>
        <item x="234"/>
        <item x="1036"/>
        <item x="868"/>
        <item x="450"/>
        <item x="163"/>
        <item x="368"/>
        <item x="904"/>
        <item x="916"/>
        <item x="991"/>
        <item x="1184"/>
        <item x="1105"/>
        <item x="1191"/>
        <item x="808"/>
        <item x="571"/>
        <item x="256"/>
        <item x="1041"/>
        <item x="648"/>
        <item x="1104"/>
        <item x="627"/>
        <item x="958"/>
        <item x="353"/>
        <item x="161"/>
        <item x="541"/>
        <item x="837"/>
        <item x="676"/>
        <item x="622"/>
        <item x="817"/>
        <item x="628"/>
        <item x="64"/>
        <item x="895"/>
        <item x="860"/>
        <item x="179"/>
        <item x="21"/>
        <item x="401"/>
        <item x="113"/>
        <item x="600"/>
        <item x="963"/>
        <item x="387"/>
        <item x="1045"/>
        <item x="876"/>
        <item x="533"/>
        <item x="720"/>
        <item x="898"/>
        <item x="332"/>
        <item x="1017"/>
        <item x="613"/>
        <item x="6"/>
        <item x="135"/>
        <item x="1178"/>
        <item x="530"/>
        <item x="897"/>
        <item x="93"/>
        <item x="993"/>
        <item x="414"/>
        <item x="192"/>
        <item x="612"/>
        <item x="928"/>
        <item x="1163"/>
        <item x="1071"/>
        <item x="773"/>
        <item x="27"/>
        <item x="764"/>
        <item x="1190"/>
        <item x="593"/>
        <item x="832"/>
        <item x="574"/>
        <item x="149"/>
        <item x="371"/>
        <item x="1198"/>
        <item x="279"/>
        <item x="657"/>
        <item x="691"/>
        <item x="315"/>
        <item x="929"/>
        <item x="250"/>
        <item x="952"/>
        <item x="869"/>
        <item x="758"/>
        <item x="565"/>
        <item x="185"/>
        <item x="442"/>
        <item x="558"/>
        <item x="664"/>
        <item x="727"/>
        <item x="537"/>
        <item x="859"/>
        <item x="624"/>
        <item x="128"/>
        <item x="456"/>
        <item x="1103"/>
        <item x="1112"/>
        <item x="1013"/>
        <item x="1066"/>
        <item x="810"/>
        <item x="653"/>
        <item x="997"/>
        <item x="768"/>
        <item x="504"/>
        <item x="924"/>
        <item x="310"/>
        <item x="1099"/>
        <item x="629"/>
        <item x="732"/>
        <item x="597"/>
        <item x="961"/>
        <item x="377"/>
        <item x="1115"/>
        <item x="936"/>
        <item x="503"/>
        <item x="855"/>
        <item x="775"/>
        <item x="919"/>
        <item x="281"/>
        <item x="303"/>
        <item x="385"/>
        <item x="482"/>
        <item x="564"/>
        <item x="581"/>
        <item x="361"/>
        <item x="734"/>
        <item x="125"/>
        <item x="577"/>
        <item x="524"/>
        <item x="915"/>
        <item x="847"/>
        <item x="85"/>
        <item x="1029"/>
        <item x="243"/>
        <item x="1174"/>
        <item x="25"/>
        <item x="851"/>
        <item x="925"/>
        <item x="751"/>
        <item x="416"/>
        <item x="685"/>
        <item x="173"/>
        <item x="1192"/>
        <item x="309"/>
        <item x="891"/>
        <item x="1019"/>
        <item x="681"/>
        <item x="1048"/>
        <item x="1001"/>
        <item x="227"/>
        <item x="836"/>
        <item x="174"/>
        <item x="419"/>
        <item x="299"/>
        <item x="984"/>
        <item x="1088"/>
        <item x="643"/>
        <item x="746"/>
        <item x="570"/>
        <item x="976"/>
        <item x="438"/>
        <item x="1111"/>
        <item x="791"/>
        <item x="844"/>
        <item x="856"/>
        <item x="508"/>
        <item x="1172"/>
        <item x="1070"/>
        <item x="692"/>
        <item x="1102"/>
        <item x="1169"/>
        <item x="834"/>
        <item x="709"/>
        <item x="575"/>
        <item x="989"/>
        <item x="1006"/>
        <item x="974"/>
        <item x="862"/>
        <item x="1149"/>
        <item x="525"/>
        <item x="696"/>
        <item x="24"/>
        <item x="489"/>
        <item x="1065"/>
        <item x="580"/>
        <item x="3"/>
        <item x="136"/>
        <item x="382"/>
        <item x="608"/>
        <item x="896"/>
        <item x="737"/>
        <item x="1181"/>
        <item x="1114"/>
        <item x="1100"/>
        <item x="977"/>
        <item x="319"/>
        <item x="392"/>
        <item x="731"/>
        <item x="684"/>
        <item x="717"/>
        <item x="1052"/>
        <item x="550"/>
        <item x="421"/>
        <item x="1195"/>
        <item x="505"/>
        <item x="988"/>
        <item x="440"/>
        <item x="1106"/>
        <item x="251"/>
        <item x="132"/>
        <item x="585"/>
        <item x="122"/>
        <item x="557"/>
        <item x="1078"/>
        <item x="973"/>
        <item x="424"/>
        <item x="704"/>
        <item x="216"/>
        <item x="509"/>
        <item x="695"/>
        <item x="799"/>
        <item x="292"/>
        <item x="484"/>
        <item x="913"/>
        <item x="340"/>
        <item x="818"/>
        <item x="257"/>
        <item x="826"/>
        <item x="34"/>
        <item x="144"/>
        <item x="258"/>
        <item x="715"/>
        <item x="880"/>
        <item x="403"/>
        <item x="957"/>
        <item x="453"/>
        <item x="408"/>
        <item x="552"/>
        <item x="757"/>
        <item x="790"/>
        <item x="1129"/>
        <item x="325"/>
        <item x="322"/>
        <item x="451"/>
        <item x="892"/>
        <item x="1148"/>
        <item x="1147"/>
        <item x="5"/>
        <item x="40"/>
        <item x="780"/>
        <item x="211"/>
        <item x="349"/>
        <item x="604"/>
        <item x="209"/>
        <item x="914"/>
        <item x="535"/>
        <item x="599"/>
        <item x="861"/>
        <item x="682"/>
        <item x="488"/>
        <item x="308"/>
        <item x="18"/>
        <item x="455"/>
        <item x="114"/>
        <item x="549"/>
        <item x="738"/>
        <item x="582"/>
        <item x="874"/>
        <item x="711"/>
        <item x="1171"/>
        <item x="468"/>
        <item x="671"/>
        <item x="733"/>
        <item x="1024"/>
        <item x="1188"/>
        <item x="158"/>
        <item x="870"/>
        <item x="140"/>
        <item x="1043"/>
        <item x="932"/>
        <item x="265"/>
        <item x="926"/>
        <item x="998"/>
        <item x="333"/>
        <item x="555"/>
        <item x="1074"/>
        <item x="556"/>
        <item x="983"/>
        <item x="244"/>
        <item x="786"/>
        <item x="1179"/>
        <item x="1109"/>
        <item x="1137"/>
        <item x="342"/>
        <item x="1142"/>
        <item x="821"/>
        <item x="783"/>
        <item x="252"/>
        <item x="270"/>
        <item x="118"/>
        <item x="774"/>
        <item x="819"/>
        <item x="743"/>
        <item x="854"/>
        <item x="420"/>
        <item x="772"/>
        <item x="1056"/>
        <item x="718"/>
        <item x="586"/>
        <item x="602"/>
        <item x="188"/>
        <item x="220"/>
        <item x="945"/>
        <item x="280"/>
        <item x="1126"/>
        <item x="134"/>
        <item x="742"/>
        <item x="205"/>
        <item x="1154"/>
        <item x="813"/>
        <item x="1046"/>
        <item x="105"/>
        <item x="238"/>
        <item x="493"/>
        <item x="583"/>
        <item x="1095"/>
        <item x="249"/>
        <item x="1122"/>
        <item x="2"/>
        <item x="838"/>
        <item x="189"/>
        <item x="418"/>
        <item x="89"/>
        <item x="815"/>
        <item x="713"/>
        <item x="406"/>
        <item x="933"/>
        <item x="355"/>
        <item x="1153"/>
        <item x="106"/>
        <item x="367"/>
        <item x="101"/>
        <item x="534"/>
        <item x="390"/>
        <item x="359"/>
        <item x="1096"/>
        <item x="795"/>
        <item x="749"/>
        <item x="568"/>
        <item x="284"/>
        <item x="88"/>
        <item x="275"/>
        <item x="69"/>
        <item x="490"/>
        <item x="1003"/>
        <item x="822"/>
        <item x="1050"/>
        <item x="516"/>
        <item x="328"/>
        <item x="130"/>
        <item x="247"/>
        <item x="373"/>
        <item x="214"/>
        <item x="222"/>
        <item x="398"/>
        <item x="84"/>
        <item x="96"/>
        <item x="1007"/>
        <item x="242"/>
        <item x="1002"/>
        <item x="649"/>
        <item x="578"/>
        <item x="673"/>
        <item x="992"/>
        <item x="1177"/>
        <item x="200"/>
        <item x="523"/>
        <item x="35"/>
        <item x="393"/>
        <item x="785"/>
        <item x="806"/>
        <item x="481"/>
        <item x="687"/>
        <item x="934"/>
        <item x="207"/>
        <item x="666"/>
        <item x="302"/>
        <item x="544"/>
        <item x="269"/>
        <item x="73"/>
        <item x="954"/>
        <item x="264"/>
        <item x="286"/>
        <item x="465"/>
        <item x="950"/>
        <item x="776"/>
        <item x="948"/>
        <item x="823"/>
        <item x="231"/>
        <item x="1110"/>
        <item x="1072"/>
        <item x="388"/>
        <item x="987"/>
        <item x="1022"/>
        <item x="267"/>
        <item x="116"/>
        <item x="183"/>
        <item x="1076"/>
        <item x="107"/>
        <item x="363"/>
        <item x="1063"/>
        <item x="594"/>
        <item x="326"/>
        <item x="1189"/>
        <item x="576"/>
        <item x="365"/>
        <item x="1031"/>
        <item x="883"/>
        <item x="800"/>
        <item x="1009"/>
        <item x="473"/>
        <item x="263"/>
        <item x="68"/>
        <item x="208"/>
        <item x="972"/>
        <item x="374"/>
        <item x="329"/>
        <item x="1033"/>
        <item x="959"/>
        <item x="1012"/>
        <item x="389"/>
        <item x="767"/>
        <item x="276"/>
        <item x="148"/>
        <item x="680"/>
        <item x="502"/>
        <item x="169"/>
        <item x="457"/>
        <item x="590"/>
        <item x="1058"/>
        <item x="1079"/>
        <item x="364"/>
        <item x="301"/>
        <item x="921"/>
        <item x="659"/>
        <item x="763"/>
        <item x="141"/>
        <item x="739"/>
        <item x="781"/>
        <item x="1134"/>
        <item x="434"/>
        <item x="937"/>
        <item x="344"/>
        <item x="178"/>
        <item x="689"/>
        <item x="147"/>
        <item x="466"/>
        <item x="522"/>
        <item x="311"/>
        <item x="640"/>
        <item x="540"/>
        <item x="1087"/>
        <item x="422"/>
        <item x="877"/>
        <item x="886"/>
        <item x="517"/>
        <item x="240"/>
        <item x="1131"/>
        <item x="793"/>
        <item x="560"/>
        <item x="1170"/>
        <item x="1005"/>
        <item x="1080"/>
        <item x="761"/>
        <item x="705"/>
        <item x="103"/>
        <item x="198"/>
        <item x="589"/>
        <item x="43"/>
        <item x="850"/>
        <item x="143"/>
        <item x="798"/>
        <item x="291"/>
        <item x="300"/>
        <item x="404"/>
        <item x="296"/>
        <item x="110"/>
        <item x="228"/>
        <item x="884"/>
        <item x="563"/>
        <item x="53"/>
        <item x="76"/>
        <item x="75"/>
        <item x="964"/>
        <item x="426"/>
        <item x="397"/>
        <item x="942"/>
        <item x="762"/>
        <item x="981"/>
        <item x="1069"/>
        <item x="1023"/>
        <item x="225"/>
        <item x="965"/>
        <item x="431"/>
        <item x="99"/>
        <item x="760"/>
        <item x="137"/>
        <item x="41"/>
        <item x="1098"/>
        <item x="725"/>
        <item x="605"/>
        <item x="852"/>
        <item x="656"/>
        <item x="827"/>
        <item x="769"/>
        <item x="233"/>
        <item x="744"/>
        <item x="124"/>
        <item x="700"/>
        <item x="127"/>
        <item x="543"/>
        <item x="536"/>
        <item x="1176"/>
        <item x="55"/>
        <item x="331"/>
        <item x="1047"/>
        <item x="1128"/>
        <item x="410"/>
        <item x="229"/>
        <item x="472"/>
        <item x="95"/>
        <item x="358"/>
        <item x="461"/>
        <item x="845"/>
        <item x="908"/>
        <item x="60"/>
        <item x="478"/>
        <item x="458"/>
        <item x="492"/>
        <item x="1068"/>
        <item x="542"/>
        <item x="375"/>
        <item x="1075"/>
        <item x="491"/>
        <item x="538"/>
        <item x="1083"/>
        <item x="1120"/>
        <item x="166"/>
        <item x="888"/>
        <item x="181"/>
        <item x="811"/>
        <item x="882"/>
        <item x="678"/>
        <item x="1091"/>
        <item x="825"/>
        <item x="1092"/>
        <item x="708"/>
        <item x="971"/>
        <item x="378"/>
        <item x="642"/>
        <item x="947"/>
        <item x="282"/>
        <item x="1020"/>
        <item x="927"/>
        <item x="903"/>
        <item x="1057"/>
        <item x="384"/>
        <item x="79"/>
        <item x="155"/>
        <item x="383"/>
        <item x="501"/>
        <item x="766"/>
        <item x="879"/>
        <item x="65"/>
        <item x="636"/>
        <item x="236"/>
        <item x="1059"/>
        <item x="651"/>
        <item x="496"/>
        <item x="360"/>
        <item x="445"/>
        <item x="1040"/>
        <item x="985"/>
        <item x="171"/>
        <item x="745"/>
        <item x="966"/>
        <item x="334"/>
        <item x="97"/>
        <item x="1144"/>
        <item x="59"/>
        <item x="306"/>
        <item x="905"/>
        <item x="370"/>
        <item x="1011"/>
        <item x="679"/>
        <item x="145"/>
        <item x="146"/>
        <item x="469"/>
        <item x="857"/>
        <item x="899"/>
        <item x="787"/>
        <item x="8"/>
        <item x="946"/>
        <item x="572"/>
        <item x="669"/>
        <item x="506"/>
        <item x="1157"/>
        <item x="824"/>
        <item x="104"/>
        <item x="356"/>
        <item x="1162"/>
        <item x="912"/>
        <item x="196"/>
        <item x="441"/>
        <item x="61"/>
        <item x="91"/>
        <item x="901"/>
        <item x="92"/>
        <item x="14"/>
        <item x="614"/>
        <item x="1197"/>
        <item x="728"/>
        <item x="1145"/>
        <item x="730"/>
        <item x="784"/>
        <item x="112"/>
        <item x="314"/>
        <item x="683"/>
        <item x="1039"/>
        <item x="843"/>
        <item x="782"/>
        <item x="98"/>
        <item x="1158"/>
        <item x="248"/>
        <item x="1127"/>
        <item x="1038"/>
        <item x="437"/>
        <item x="559"/>
        <item x="740"/>
        <item x="830"/>
        <item x="0"/>
        <item x="462"/>
        <item x="463"/>
        <item x="956"/>
        <item x="460"/>
        <item x="756"/>
        <item x="439"/>
        <item x="36"/>
        <item x="394"/>
        <item x="241"/>
        <item x="9"/>
        <item x="167"/>
        <item x="232"/>
        <item x="31"/>
        <item x="566"/>
        <item x="288"/>
        <item x="432"/>
        <item x="318"/>
        <item x="52"/>
        <item x="1004"/>
        <item x="13"/>
        <item x="16"/>
        <item x="601"/>
        <item x="1054"/>
        <item x="412"/>
        <item x="1016"/>
        <item x="1055"/>
        <item x="1090"/>
        <item x="894"/>
        <item x="765"/>
        <item x="994"/>
        <item x="647"/>
        <item x="616"/>
        <item x="117"/>
        <item x="42"/>
        <item x="978"/>
        <item x="156"/>
        <item x="1028"/>
        <item x="237"/>
        <item x="701"/>
        <item x="154"/>
        <item x="975"/>
        <item x="1025"/>
        <item x="186"/>
        <item x="777"/>
        <item x="848"/>
        <item x="1014"/>
        <item x="1146"/>
        <item x="592"/>
        <item x="867"/>
        <item x="1161"/>
        <item x="1015"/>
        <item x="519"/>
        <item x="688"/>
        <item x="289"/>
        <item x="351"/>
        <item x="803"/>
        <item x="794"/>
        <item x="729"/>
        <item x="239"/>
        <item x="1121"/>
        <item x="654"/>
        <item x="215"/>
        <item x="849"/>
        <item x="812"/>
        <item x="1135"/>
        <item x="1160"/>
        <item x="165"/>
        <item x="955"/>
        <item x="617"/>
        <item x="119"/>
        <item x="400"/>
        <item x="662"/>
        <item x="548"/>
        <item x="866"/>
        <item x="313"/>
        <item x="551"/>
        <item x="1185"/>
        <item x="206"/>
        <item x="753"/>
        <item x="1152"/>
        <item x="521"/>
        <item x="833"/>
        <item x="863"/>
        <item x="111"/>
        <item x="677"/>
        <item x="906"/>
        <item x="816"/>
        <item x="66"/>
        <item x="413"/>
        <item x="278"/>
        <item x="51"/>
        <item x="1141"/>
        <item x="28"/>
        <item x="665"/>
        <item x="476"/>
        <item x="58"/>
        <item x="839"/>
        <item x="660"/>
        <item x="204"/>
        <item x="1037"/>
        <item x="1108"/>
        <item x="139"/>
        <item x="872"/>
        <item x="193"/>
        <item x="1116"/>
        <item x="741"/>
        <item x="444"/>
        <item x="630"/>
        <item x="1093"/>
        <item x="86"/>
        <item x="706"/>
        <item x="893"/>
        <item x="944"/>
        <item x="213"/>
        <item x="133"/>
        <item x="515"/>
        <item x="907"/>
        <item x="467"/>
        <item x="255"/>
        <item x="305"/>
        <item x="637"/>
        <item x="842"/>
        <item x="938"/>
        <item x="33"/>
        <item x="633"/>
        <item x="809"/>
        <item x="1156"/>
        <item x="805"/>
        <item x="694"/>
        <item x="339"/>
        <item x="427"/>
        <item x="454"/>
        <item x="499"/>
        <item x="968"/>
        <item x="672"/>
        <item x="1113"/>
        <item x="670"/>
        <item x="307"/>
        <item x="667"/>
        <item x="197"/>
        <item x="520"/>
        <item x="1167"/>
        <item x="486"/>
        <item x="293"/>
        <item x="402"/>
        <item x="1"/>
        <item x="770"/>
        <item x="285"/>
        <item x="889"/>
        <item x="661"/>
        <item x="20"/>
        <item x="532"/>
        <item x="858"/>
        <item x="609"/>
        <item x="23"/>
        <item x="500"/>
        <item x="820"/>
        <item x="47"/>
        <item x="513"/>
        <item x="873"/>
        <item x="1186"/>
        <item x="801"/>
        <item x="324"/>
        <item x="320"/>
        <item x="982"/>
        <item x="1061"/>
        <item x="46"/>
        <item x="1067"/>
        <item x="771"/>
        <item x="621"/>
        <item x="789"/>
        <item x="477"/>
        <item x="120"/>
        <item x="1132"/>
        <item x="70"/>
        <item x="1150"/>
        <item x="366"/>
        <item x="969"/>
        <item x="610"/>
        <item x="87"/>
        <item x="686"/>
        <item x="428"/>
        <item x="32"/>
        <item x="338"/>
        <item x="724"/>
        <item x="1182"/>
        <item x="539"/>
        <item x="547"/>
        <item x="494"/>
        <item x="1027"/>
        <item x="1042"/>
        <item x="429"/>
        <item x="268"/>
        <item x="260"/>
        <item x="878"/>
        <item x="471"/>
        <item x="259"/>
        <item x="142"/>
        <item x="94"/>
        <item x="283"/>
        <item x="201"/>
        <item x="917"/>
        <item x="1051"/>
        <item x="887"/>
        <item x="996"/>
        <item x="323"/>
        <item x="483"/>
        <item x="464"/>
        <item x="190"/>
        <item x="990"/>
        <item x="511"/>
        <item x="312"/>
        <item x="710"/>
        <item x="381"/>
        <item x="1107"/>
        <item x="11"/>
        <item x="274"/>
        <item x="900"/>
        <item x="77"/>
        <item x="778"/>
        <item x="405"/>
        <item x="573"/>
        <item x="45"/>
        <item x="102"/>
        <item x="970"/>
        <item x="1077"/>
        <item x="603"/>
        <item x="380"/>
        <item x="909"/>
        <item x="417"/>
        <item x="1097"/>
        <item x="218"/>
        <item x="587"/>
        <item x="109"/>
        <item x="470"/>
        <item x="336"/>
        <item x="261"/>
        <item x="447"/>
        <item x="221"/>
        <item x="83"/>
        <item x="80"/>
        <item x="510"/>
        <item x="1034"/>
        <item x="674"/>
        <item x="50"/>
        <item x="1196"/>
        <item x="1159"/>
        <item x="230"/>
        <item x="348"/>
        <item x="449"/>
        <item x="588"/>
        <item x="902"/>
        <item x="606"/>
        <item x="1035"/>
        <item x="607"/>
        <item x="507"/>
        <item x="853"/>
        <item x="210"/>
        <item x="645"/>
        <item x="631"/>
        <item x="396"/>
        <item x="448"/>
        <item x="67"/>
        <item x="807"/>
        <item x="345"/>
        <item x="57"/>
        <item x="498"/>
        <item x="518"/>
        <item x="160"/>
        <item x="123"/>
        <item x="1183"/>
        <item x="446"/>
        <item x="433"/>
        <item x="699"/>
        <item x="253"/>
        <item x="546"/>
        <item x="129"/>
        <item x="1044"/>
        <item x="598"/>
        <item x="78"/>
        <item x="979"/>
        <item x="316"/>
        <item x="623"/>
        <item x="626"/>
        <item x="411"/>
        <item x="960"/>
        <item x="235"/>
        <item x="81"/>
        <item x="487"/>
        <item x="962"/>
        <item x="82"/>
        <item x="754"/>
        <item x="391"/>
        <item x="707"/>
        <item x="1138"/>
        <item x="831"/>
        <item x="1139"/>
        <item x="26"/>
        <item x="632"/>
        <item x="638"/>
        <item x="615"/>
        <item x="30"/>
        <item x="44"/>
        <item x="172"/>
        <item x="182"/>
        <item x="266"/>
        <item x="881"/>
        <item x="951"/>
        <item x="203"/>
        <item x="1151"/>
        <item x="273"/>
        <item x="12"/>
        <item x="430"/>
        <item x="29"/>
        <item x="443"/>
        <item x="1082"/>
        <item x="321"/>
        <item x="170"/>
        <item x="386"/>
        <item x="1086"/>
        <item x="219"/>
        <item x="584"/>
        <item x="1119"/>
        <item x="217"/>
        <item x="327"/>
        <item x="1084"/>
        <item x="1049"/>
        <item x="723"/>
        <item x="1085"/>
        <item x="1026"/>
        <item x="246"/>
        <item x="865"/>
        <item x="871"/>
        <item x="407"/>
        <item x="479"/>
        <item x="138"/>
        <item x="690"/>
        <item x="100"/>
        <item x="875"/>
        <item x="693"/>
        <item x="352"/>
        <item x="939"/>
        <item x="1166"/>
        <item x="591"/>
        <item x="747"/>
        <item x="829"/>
        <item x="1094"/>
        <item x="1123"/>
        <item x="797"/>
        <item x="1032"/>
        <item x="841"/>
        <item x="941"/>
        <item x="721"/>
        <item x="277"/>
        <item x="4"/>
        <item x="796"/>
        <item x="399"/>
        <item x="376"/>
        <item x="17"/>
        <item x="658"/>
        <item x="562"/>
        <item x="750"/>
        <item x="115"/>
        <item x="620"/>
        <item x="986"/>
        <item x="702"/>
        <item x="48"/>
        <item x="703"/>
        <item x="226"/>
        <item x="1187"/>
        <item x="37"/>
        <item x="596"/>
        <item x="341"/>
        <item x="347"/>
        <item x="1140"/>
        <item x="497"/>
        <item x="663"/>
        <item x="1010"/>
        <item x="635"/>
        <item x="1021"/>
        <item x="545"/>
        <item x="531"/>
        <item x="369"/>
        <item x="54"/>
        <item x="304"/>
        <item x="611"/>
        <item x="150"/>
        <item x="108"/>
        <item x="121"/>
        <item x="1081"/>
        <item x="337"/>
        <item x="748"/>
        <item x="726"/>
        <item x="39"/>
        <item x="480"/>
        <item x="634"/>
        <item x="527"/>
        <item x="788"/>
        <item x="350"/>
        <item x="864"/>
        <item x="561"/>
        <item x="804"/>
        <item x="194"/>
        <item x="62"/>
        <item x="1124"/>
        <item x="1018"/>
        <item x="317"/>
        <item x="1155"/>
        <item x="567"/>
        <item x="74"/>
        <item x="652"/>
        <item x="254"/>
        <item x="90"/>
        <item x="930"/>
        <item x="885"/>
        <item x="290"/>
        <item x="262"/>
        <item x="372"/>
        <item x="579"/>
        <item x="644"/>
        <item x="195"/>
        <item x="814"/>
        <item x="911"/>
        <item x="297"/>
        <item x="779"/>
        <item x="298"/>
        <item x="177"/>
        <item x="212"/>
        <item x="1130"/>
        <item x="495"/>
        <item x="646"/>
        <item x="935"/>
        <item x="1118"/>
        <item x="529"/>
        <item x="175"/>
        <item x="755"/>
        <item x="910"/>
        <item x="1117"/>
        <item x="1125"/>
        <item x="514"/>
        <item x="802"/>
        <item x="697"/>
        <item x="835"/>
        <item x="452"/>
        <item x="71"/>
        <item x="953"/>
        <item x="395"/>
        <item x="168"/>
        <item x="943"/>
        <item x="151"/>
        <item x="162"/>
        <item x="1060"/>
        <item x="719"/>
        <item x="49"/>
        <item x="668"/>
        <item x="245"/>
        <item x="736"/>
        <item x="152"/>
        <item x="330"/>
        <item x="512"/>
        <item x="38"/>
        <item x="1064"/>
        <item x="42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ataField="1" dragToRow="0" dragToCol="0" dragToPage="0" showAll="0" defaultSubtotal="0"/>
  </pivotFields>
  <rowFields count="1">
    <field x="3"/>
  </rowFields>
  <rowItems count="4">
    <i>
      <x/>
    </i>
    <i>
      <x v="1"/>
    </i>
    <i>
      <x v="2"/>
    </i>
    <i t="grand">
      <x/>
    </i>
  </rowItems>
  <colItems count="1">
    <i/>
  </colItems>
  <dataFields count="1">
    <dataField name="Sum of Bedget Achievement %" fld="15" baseField="0" baseItem="0" numFmtId="10"/>
  </dataFields>
  <formats count="2">
    <format dxfId="5">
      <pivotArea dataOnly="0" labelOnly="1" outline="0" fieldPosition="0">
        <references count="1">
          <reference field="4294967294" count="1">
            <x v="0"/>
          </reference>
        </references>
      </pivotArea>
    </format>
    <format dxfId="4">
      <pivotArea outline="0" collapsedLevelsAreSubtotals="1" fieldPosition="0">
        <references count="1">
          <reference field="4294967294" count="1" selected="0">
            <x v="0"/>
          </reference>
        </references>
      </pivotArea>
    </format>
  </formats>
  <chartFormats count="1">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160F86-6D1E-453B-B733-7AB6773674EF}" name="PivotTable2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Sales Channel">
  <location ref="I85:I86" firstHeaderRow="1" firstDataRow="1" firstDataCol="0"/>
  <pivotFields count="16">
    <pivotField numFmtId="14" showAll="0">
      <items count="601">
        <item x="79"/>
        <item x="511"/>
        <item x="199"/>
        <item x="86"/>
        <item x="123"/>
        <item x="525"/>
        <item x="29"/>
        <item x="99"/>
        <item x="467"/>
        <item x="346"/>
        <item x="559"/>
        <item x="325"/>
        <item x="52"/>
        <item x="138"/>
        <item x="242"/>
        <item x="151"/>
        <item x="168"/>
        <item x="300"/>
        <item x="313"/>
        <item x="442"/>
        <item x="422"/>
        <item x="187"/>
        <item x="225"/>
        <item x="159"/>
        <item x="380"/>
        <item x="165"/>
        <item x="431"/>
        <item x="474"/>
        <item x="512"/>
        <item x="144"/>
        <item x="154"/>
        <item x="73"/>
        <item x="129"/>
        <item x="360"/>
        <item x="108"/>
        <item x="88"/>
        <item x="318"/>
        <item x="460"/>
        <item x="358"/>
        <item x="553"/>
        <item x="43"/>
        <item x="240"/>
        <item x="424"/>
        <item x="207"/>
        <item x="447"/>
        <item x="569"/>
        <item x="576"/>
        <item x="149"/>
        <item x="173"/>
        <item x="222"/>
        <item x="537"/>
        <item x="493"/>
        <item x="497"/>
        <item x="49"/>
        <item x="238"/>
        <item x="364"/>
        <item x="492"/>
        <item x="304"/>
        <item x="558"/>
        <item x="290"/>
        <item x="87"/>
        <item x="509"/>
        <item x="139"/>
        <item x="298"/>
        <item x="219"/>
        <item x="117"/>
        <item x="428"/>
        <item x="591"/>
        <item x="175"/>
        <item x="102"/>
        <item x="323"/>
        <item x="599"/>
        <item x="595"/>
        <item x="375"/>
        <item x="554"/>
        <item x="80"/>
        <item x="122"/>
        <item x="486"/>
        <item x="51"/>
        <item x="314"/>
        <item x="205"/>
        <item x="0"/>
        <item x="39"/>
        <item x="388"/>
        <item x="434"/>
        <item x="189"/>
        <item x="137"/>
        <item x="93"/>
        <item x="84"/>
        <item x="438"/>
        <item x="120"/>
        <item x="127"/>
        <item x="177"/>
        <item x="295"/>
        <item x="47"/>
        <item x="152"/>
        <item x="403"/>
        <item x="232"/>
        <item x="582"/>
        <item x="289"/>
        <item x="46"/>
        <item x="475"/>
        <item x="371"/>
        <item x="167"/>
        <item x="261"/>
        <item x="389"/>
        <item x="188"/>
        <item x="457"/>
        <item x="463"/>
        <item x="367"/>
        <item x="355"/>
        <item x="294"/>
        <item x="465"/>
        <item x="118"/>
        <item x="251"/>
        <item x="212"/>
        <item x="254"/>
        <item x="476"/>
        <item x="478"/>
        <item x="423"/>
        <item x="69"/>
        <item x="27"/>
        <item x="437"/>
        <item x="31"/>
        <item x="310"/>
        <item x="377"/>
        <item x="521"/>
        <item x="311"/>
        <item x="213"/>
        <item x="107"/>
        <item x="32"/>
        <item x="452"/>
        <item x="541"/>
        <item x="223"/>
        <item x="291"/>
        <item x="510"/>
        <item x="579"/>
        <item x="427"/>
        <item x="505"/>
        <item x="539"/>
        <item x="383"/>
        <item x="36"/>
        <item x="317"/>
        <item x="362"/>
        <item x="155"/>
        <item x="359"/>
        <item x="548"/>
        <item x="384"/>
        <item x="469"/>
        <item x="246"/>
        <item x="279"/>
        <item x="296"/>
        <item x="191"/>
        <item x="508"/>
        <item x="148"/>
        <item x="305"/>
        <item x="575"/>
        <item x="19"/>
        <item x="373"/>
        <item x="163"/>
        <item x="536"/>
        <item x="285"/>
        <item x="44"/>
        <item x="392"/>
        <item x="104"/>
        <item x="264"/>
        <item x="8"/>
        <item x="566"/>
        <item x="301"/>
        <item x="363"/>
        <item x="190"/>
        <item x="81"/>
        <item x="209"/>
        <item x="394"/>
        <item x="164"/>
        <item x="498"/>
        <item x="540"/>
        <item x="255"/>
        <item x="297"/>
        <item x="265"/>
        <item x="195"/>
        <item x="523"/>
        <item x="516"/>
        <item x="142"/>
        <item x="162"/>
        <item x="321"/>
        <item x="468"/>
        <item x="239"/>
        <item x="564"/>
        <item x="439"/>
        <item x="92"/>
        <item x="574"/>
        <item x="387"/>
        <item x="237"/>
        <item x="128"/>
        <item x="315"/>
        <item x="385"/>
        <item x="258"/>
        <item x="551"/>
        <item x="281"/>
        <item x="596"/>
        <item x="75"/>
        <item x="494"/>
        <item x="115"/>
        <item x="146"/>
        <item x="473"/>
        <item x="48"/>
        <item x="354"/>
        <item x="425"/>
        <item x="249"/>
        <item x="462"/>
        <item x="106"/>
        <item x="587"/>
        <item x="366"/>
        <item x="169"/>
        <item x="160"/>
        <item x="259"/>
        <item x="417"/>
        <item x="275"/>
        <item x="446"/>
        <item x="215"/>
        <item x="583"/>
        <item x="507"/>
        <item x="267"/>
        <item x="170"/>
        <item x="231"/>
        <item x="5"/>
        <item x="503"/>
        <item x="57"/>
        <item x="334"/>
        <item x="59"/>
        <item x="408"/>
        <item x="235"/>
        <item x="76"/>
        <item x="109"/>
        <item x="268"/>
        <item x="119"/>
        <item x="410"/>
        <item x="405"/>
        <item x="157"/>
        <item x="276"/>
        <item x="557"/>
        <item x="584"/>
        <item x="531"/>
        <item x="101"/>
        <item x="593"/>
        <item x="543"/>
        <item x="370"/>
        <item x="156"/>
        <item x="236"/>
        <item x="89"/>
        <item x="200"/>
        <item x="252"/>
        <item x="82"/>
        <item x="181"/>
        <item x="150"/>
        <item x="597"/>
        <item x="182"/>
        <item x="485"/>
        <item x="495"/>
        <item x="546"/>
        <item x="350"/>
        <item x="241"/>
        <item x="560"/>
        <item x="538"/>
        <item x="95"/>
        <item x="153"/>
        <item x="562"/>
        <item x="445"/>
        <item x="535"/>
        <item x="65"/>
        <item x="544"/>
        <item x="299"/>
        <item x="1"/>
        <item x="327"/>
        <item x="577"/>
        <item x="443"/>
        <item x="83"/>
        <item x="216"/>
        <item x="528"/>
        <item x="263"/>
        <item x="345"/>
        <item x="340"/>
        <item x="282"/>
        <item x="580"/>
        <item x="158"/>
        <item x="110"/>
        <item x="415"/>
        <item x="37"/>
        <item x="228"/>
        <item x="206"/>
        <item x="309"/>
        <item x="483"/>
        <item x="339"/>
        <item x="489"/>
        <item x="293"/>
        <item x="229"/>
        <item x="274"/>
        <item x="132"/>
        <item x="262"/>
        <item x="34"/>
        <item x="433"/>
        <item x="6"/>
        <item x="337"/>
        <item x="184"/>
        <item x="441"/>
        <item x="202"/>
        <item x="21"/>
        <item x="401"/>
        <item x="269"/>
        <item x="590"/>
        <item x="112"/>
        <item x="530"/>
        <item x="365"/>
        <item x="589"/>
        <item x="278"/>
        <item x="572"/>
        <item x="22"/>
        <item x="351"/>
        <item x="7"/>
        <item x="499"/>
        <item x="328"/>
        <item x="141"/>
        <item x="287"/>
        <item x="15"/>
        <item x="519"/>
        <item x="125"/>
        <item x="60"/>
        <item x="63"/>
        <item x="214"/>
        <item x="41"/>
        <item x="33"/>
        <item x="70"/>
        <item x="348"/>
        <item x="332"/>
        <item x="113"/>
        <item x="134"/>
        <item x="386"/>
        <item x="40"/>
        <item x="481"/>
        <item x="97"/>
        <item x="450"/>
        <item x="247"/>
        <item x="514"/>
        <item x="145"/>
        <item x="54"/>
        <item x="283"/>
        <item x="183"/>
        <item x="286"/>
        <item x="455"/>
        <item x="491"/>
        <item x="448"/>
        <item x="194"/>
        <item x="178"/>
        <item x="284"/>
        <item x="114"/>
        <item x="50"/>
        <item x="500"/>
        <item x="470"/>
        <item x="464"/>
        <item x="227"/>
        <item x="78"/>
        <item x="376"/>
        <item x="352"/>
        <item x="526"/>
        <item x="413"/>
        <item x="517"/>
        <item x="288"/>
        <item x="308"/>
        <item x="454"/>
        <item x="397"/>
        <item x="211"/>
        <item x="329"/>
        <item x="353"/>
        <item x="400"/>
        <item x="131"/>
        <item x="67"/>
        <item x="594"/>
        <item x="121"/>
        <item x="111"/>
        <item x="324"/>
        <item x="336"/>
        <item x="518"/>
        <item x="571"/>
        <item x="429"/>
        <item x="218"/>
        <item x="62"/>
        <item x="208"/>
        <item x="472"/>
        <item x="198"/>
        <item x="484"/>
        <item x="243"/>
        <item x="549"/>
        <item x="105"/>
        <item x="524"/>
        <item x="35"/>
        <item x="451"/>
        <item x="221"/>
        <item x="440"/>
        <item x="369"/>
        <item x="585"/>
        <item x="230"/>
        <item x="26"/>
        <item x="12"/>
        <item x="2"/>
        <item x="10"/>
        <item x="477"/>
        <item x="482"/>
        <item x="55"/>
        <item x="126"/>
        <item x="320"/>
        <item x="13"/>
        <item x="567"/>
        <item x="244"/>
        <item x="91"/>
        <item x="135"/>
        <item x="68"/>
        <item x="203"/>
        <item x="224"/>
        <item x="77"/>
        <item x="133"/>
        <item x="513"/>
        <item x="124"/>
        <item x="179"/>
        <item x="166"/>
        <item x="466"/>
        <item x="185"/>
        <item x="172"/>
        <item x="402"/>
        <item x="506"/>
        <item x="17"/>
        <item x="515"/>
        <item x="316"/>
        <item x="379"/>
        <item x="217"/>
        <item x="307"/>
        <item x="338"/>
        <item x="180"/>
        <item x="456"/>
        <item x="273"/>
        <item x="416"/>
        <item x="435"/>
        <item x="570"/>
        <item x="174"/>
        <item x="581"/>
        <item x="461"/>
        <item x="496"/>
        <item x="58"/>
        <item x="302"/>
        <item x="98"/>
        <item x="341"/>
        <item x="504"/>
        <item x="186"/>
        <item x="292"/>
        <item x="277"/>
        <item x="280"/>
        <item x="74"/>
        <item x="347"/>
        <item x="342"/>
        <item x="3"/>
        <item x="234"/>
        <item x="343"/>
        <item x="16"/>
        <item x="542"/>
        <item x="23"/>
        <item x="331"/>
        <item x="349"/>
        <item x="396"/>
        <item x="140"/>
        <item x="28"/>
        <item x="253"/>
        <item x="96"/>
        <item x="398"/>
        <item x="147"/>
        <item x="458"/>
        <item x="527"/>
        <item x="100"/>
        <item x="326"/>
        <item x="479"/>
        <item x="257"/>
        <item x="335"/>
        <item x="430"/>
        <item x="171"/>
        <item x="436"/>
        <item x="330"/>
        <item x="196"/>
        <item x="487"/>
        <item x="444"/>
        <item x="409"/>
        <item x="197"/>
        <item x="245"/>
        <item x="319"/>
        <item x="272"/>
        <item x="490"/>
        <item x="406"/>
        <item x="381"/>
        <item x="220"/>
        <item x="24"/>
        <item x="312"/>
        <item x="14"/>
        <item x="393"/>
        <item x="522"/>
        <item x="56"/>
        <item x="248"/>
        <item x="573"/>
        <item x="143"/>
        <item x="547"/>
        <item x="502"/>
        <item x="592"/>
        <item x="586"/>
        <item x="390"/>
        <item x="38"/>
        <item x="414"/>
        <item x="30"/>
        <item x="130"/>
        <item x="561"/>
        <item x="378"/>
        <item x="306"/>
        <item x="210"/>
        <item x="64"/>
        <item x="418"/>
        <item x="534"/>
        <item x="204"/>
        <item x="192"/>
        <item x="578"/>
        <item x="116"/>
        <item x="136"/>
        <item x="404"/>
        <item x="598"/>
        <item x="419"/>
        <item x="322"/>
        <item x="18"/>
        <item x="11"/>
        <item x="260"/>
        <item x="399"/>
        <item x="453"/>
        <item x="533"/>
        <item x="552"/>
        <item x="71"/>
        <item x="395"/>
        <item x="520"/>
        <item x="25"/>
        <item x="233"/>
        <item x="556"/>
        <item x="391"/>
        <item x="94"/>
        <item x="103"/>
        <item x="90"/>
        <item x="568"/>
        <item x="72"/>
        <item x="193"/>
        <item x="45"/>
        <item x="407"/>
        <item x="250"/>
        <item x="176"/>
        <item x="361"/>
        <item x="372"/>
        <item x="532"/>
        <item x="374"/>
        <item x="412"/>
        <item x="256"/>
        <item x="344"/>
        <item x="421"/>
        <item x="333"/>
        <item x="356"/>
        <item x="4"/>
        <item x="529"/>
        <item x="488"/>
        <item x="53"/>
        <item x="449"/>
        <item x="565"/>
        <item x="357"/>
        <item x="271"/>
        <item x="85"/>
        <item x="42"/>
        <item x="459"/>
        <item x="161"/>
        <item x="266"/>
        <item x="303"/>
        <item x="550"/>
        <item x="545"/>
        <item x="270"/>
        <item x="426"/>
        <item x="20"/>
        <item x="588"/>
        <item x="420"/>
        <item x="480"/>
        <item x="66"/>
        <item x="201"/>
        <item x="555"/>
        <item x="61"/>
        <item x="563"/>
        <item x="501"/>
        <item x="368"/>
        <item x="382"/>
        <item x="432"/>
        <item x="411"/>
        <item x="9"/>
        <item x="226"/>
        <item x="471"/>
        <item t="default"/>
      </items>
    </pivotField>
    <pivotField showAll="0">
      <items count="5">
        <item x="1"/>
        <item x="2"/>
        <item x="0"/>
        <item x="3"/>
        <item t="default"/>
      </items>
    </pivotField>
    <pivotField showAll="0">
      <items count="5">
        <item x="2"/>
        <item x="1"/>
        <item x="0"/>
        <item x="3"/>
        <item t="default"/>
      </items>
    </pivotField>
    <pivotField showAll="0">
      <items count="4">
        <item x="1"/>
        <item x="0"/>
        <item x="2"/>
        <item t="default"/>
      </items>
    </pivotField>
    <pivotField showAll="0">
      <items count="1197">
        <item x="78"/>
        <item x="100"/>
        <item x="135"/>
        <item x="575"/>
        <item x="174"/>
        <item x="610"/>
        <item x="730"/>
        <item x="508"/>
        <item x="55"/>
        <item x="315"/>
        <item x="1011"/>
        <item x="1113"/>
        <item x="1148"/>
        <item x="577"/>
        <item x="825"/>
        <item x="219"/>
        <item x="1166"/>
        <item x="375"/>
        <item x="672"/>
        <item x="563"/>
        <item x="214"/>
        <item x="981"/>
        <item x="615"/>
        <item x="355"/>
        <item x="109"/>
        <item x="103"/>
        <item x="145"/>
        <item x="516"/>
        <item x="953"/>
        <item x="889"/>
        <item x="998"/>
        <item x="849"/>
        <item x="553"/>
        <item x="476"/>
        <item x="443"/>
        <item x="625"/>
        <item x="1046"/>
        <item x="30"/>
        <item x="395"/>
        <item x="914"/>
        <item x="887"/>
        <item x="144"/>
        <item x="237"/>
        <item x="40"/>
        <item x="400"/>
        <item x="413"/>
        <item x="392"/>
        <item x="1172"/>
        <item x="172"/>
        <item x="149"/>
        <item x="69"/>
        <item x="325"/>
        <item x="283"/>
        <item x="346"/>
        <item x="1176"/>
        <item x="92"/>
        <item x="1020"/>
        <item x="943"/>
        <item x="1068"/>
        <item x="179"/>
        <item x="907"/>
        <item x="388"/>
        <item x="86"/>
        <item x="98"/>
        <item x="604"/>
        <item x="1006"/>
        <item x="382"/>
        <item x="222"/>
        <item x="331"/>
        <item x="217"/>
        <item x="1178"/>
        <item x="439"/>
        <item x="1137"/>
        <item x="756"/>
        <item x="743"/>
        <item x="793"/>
        <item x="28"/>
        <item x="671"/>
        <item x="840"/>
        <item x="710"/>
        <item x="364"/>
        <item x="105"/>
        <item x="115"/>
        <item x="409"/>
        <item x="712"/>
        <item x="350"/>
        <item x="674"/>
        <item x="139"/>
        <item x="527"/>
        <item x="197"/>
        <item x="1015"/>
        <item x="955"/>
        <item x="59"/>
        <item x="158"/>
        <item x="1026"/>
        <item x="776"/>
        <item x="425"/>
        <item x="728"/>
        <item x="383"/>
        <item x="1182"/>
        <item x="920"/>
        <item x="347"/>
        <item x="1136"/>
        <item x="454"/>
        <item x="75"/>
        <item x="1081"/>
        <item x="681"/>
        <item x="97"/>
        <item x="99"/>
        <item x="646"/>
        <item x="379"/>
        <item x="327"/>
        <item x="661"/>
        <item x="142"/>
        <item x="494"/>
        <item x="1175"/>
        <item x="265"/>
        <item x="330"/>
        <item x="565"/>
        <item x="853"/>
        <item x="540"/>
        <item x="258"/>
        <item x="833"/>
        <item x="1038"/>
        <item x="630"/>
        <item x="729"/>
        <item x="1070"/>
        <item x="123"/>
        <item x="1123"/>
        <item x="587"/>
        <item x="146"/>
        <item x="582"/>
        <item x="120"/>
        <item x="623"/>
        <item x="1104"/>
        <item x="1170"/>
        <item x="444"/>
        <item x="304"/>
        <item x="762"/>
        <item x="603"/>
        <item x="190"/>
        <item x="93"/>
        <item x="721"/>
        <item x="855"/>
        <item x="529"/>
        <item x="1069"/>
        <item x="1174"/>
        <item x="821"/>
        <item x="430"/>
        <item x="1162"/>
        <item x="50"/>
        <item x="1034"/>
        <item x="288"/>
        <item x="1187"/>
        <item x="1177"/>
        <item x="780"/>
        <item x="308"/>
        <item x="493"/>
        <item x="406"/>
        <item x="1049"/>
        <item x="345"/>
        <item x="488"/>
        <item x="545"/>
        <item x="733"/>
        <item x="858"/>
        <item x="1169"/>
        <item x="1050"/>
        <item x="1168"/>
        <item x="284"/>
        <item x="1110"/>
        <item x="440"/>
        <item x="396"/>
        <item x="918"/>
        <item x="768"/>
        <item x="724"/>
        <item x="617"/>
        <item x="62"/>
        <item x="1045"/>
        <item x="1016"/>
        <item x="1030"/>
        <item x="465"/>
        <item x="704"/>
        <item x="37"/>
        <item x="608"/>
        <item x="148"/>
        <item x="1075"/>
        <item x="171"/>
        <item x="463"/>
        <item x="134"/>
        <item x="453"/>
        <item x="173"/>
        <item x="831"/>
        <item x="515"/>
        <item x="535"/>
        <item x="1043"/>
        <item x="789"/>
        <item x="422"/>
        <item x="136"/>
        <item x="962"/>
        <item x="475"/>
        <item x="578"/>
        <item x="862"/>
        <item x="817"/>
        <item x="804"/>
        <item x="1158"/>
        <item x="195"/>
        <item x="467"/>
        <item x="177"/>
        <item x="814"/>
        <item x="452"/>
        <item x="913"/>
        <item x="445"/>
        <item x="57"/>
        <item x="585"/>
        <item x="960"/>
        <item x="792"/>
        <item x="626"/>
        <item x="361"/>
        <item x="1120"/>
        <item x="697"/>
        <item x="320"/>
        <item x="683"/>
        <item x="335"/>
        <item x="900"/>
        <item x="206"/>
        <item x="784"/>
        <item x="732"/>
        <item x="785"/>
        <item x="260"/>
        <item x="309"/>
        <item x="1139"/>
        <item x="1130"/>
        <item x="9"/>
        <item x="945"/>
        <item x="245"/>
        <item x="834"/>
        <item x="622"/>
        <item x="650"/>
        <item x="908"/>
        <item x="1053"/>
        <item x="456"/>
        <item x="916"/>
        <item x="902"/>
        <item x="827"/>
        <item x="151"/>
        <item x="352"/>
        <item x="464"/>
        <item x="957"/>
        <item x="746"/>
        <item x="875"/>
        <item x="901"/>
        <item x="911"/>
        <item x="693"/>
        <item x="274"/>
        <item x="193"/>
        <item x="951"/>
        <item x="501"/>
        <item x="289"/>
        <item x="1028"/>
        <item x="1145"/>
        <item x="160"/>
        <item x="25"/>
        <item x="338"/>
        <item x="959"/>
        <item x="727"/>
        <item x="1132"/>
        <item x="1084"/>
        <item x="45"/>
        <item x="725"/>
        <item x="49"/>
        <item x="381"/>
        <item x="261"/>
        <item x="1066"/>
        <item x="21"/>
        <item x="614"/>
        <item x="32"/>
        <item x="939"/>
        <item x="915"/>
        <item x="24"/>
        <item x="1156"/>
        <item x="368"/>
        <item x="15"/>
        <item x="102"/>
        <item x="490"/>
        <item x="218"/>
        <item x="600"/>
        <item x="270"/>
        <item x="885"/>
        <item x="241"/>
        <item x="507"/>
        <item x="663"/>
        <item x="1146"/>
        <item x="938"/>
        <item x="108"/>
        <item x="711"/>
        <item x="922"/>
        <item x="474"/>
        <item x="992"/>
        <item x="1033"/>
        <item x="299"/>
        <item x="324"/>
        <item x="1054"/>
        <item x="613"/>
        <item x="1000"/>
        <item x="353"/>
        <item x="645"/>
        <item x="298"/>
        <item x="253"/>
        <item x="740"/>
        <item x="94"/>
        <item x="766"/>
        <item x="38"/>
        <item x="832"/>
        <item x="567"/>
        <item x="965"/>
        <item x="971"/>
        <item x="380"/>
        <item x="616"/>
        <item x="1115"/>
        <item x="861"/>
        <item x="818"/>
        <item x="555"/>
        <item x="1057"/>
        <item x="1003"/>
        <item x="473"/>
        <item x="891"/>
        <item x="581"/>
        <item x="207"/>
        <item x="1025"/>
        <item x="638"/>
        <item x="707"/>
        <item x="921"/>
        <item x="1010"/>
        <item x="460"/>
        <item x="269"/>
        <item x="434"/>
        <item x="612"/>
        <item x="520"/>
        <item x="129"/>
        <item x="397"/>
        <item x="777"/>
        <item x="932"/>
        <item x="1023"/>
        <item x="843"/>
        <item x="696"/>
        <item x="870"/>
        <item x="877"/>
        <item x="764"/>
        <item x="941"/>
        <item x="850"/>
        <item x="1004"/>
        <item x="1085"/>
        <item x="127"/>
        <item x="595"/>
        <item x="221"/>
        <item x="892"/>
        <item x="470"/>
        <item x="429"/>
        <item x="141"/>
        <item x="874"/>
        <item x="424"/>
        <item x="111"/>
        <item x="1190"/>
        <item x="372"/>
        <item x="1060"/>
        <item x="761"/>
        <item x="293"/>
        <item x="186"/>
        <item x="54"/>
        <item x="735"/>
        <item x="198"/>
        <item x="737"/>
        <item x="848"/>
        <item x="1181"/>
        <item x="607"/>
        <item x="236"/>
        <item x="232"/>
        <item x="750"/>
        <item x="39"/>
        <item x="294"/>
        <item x="213"/>
        <item x="285"/>
        <item x="96"/>
        <item x="963"/>
        <item x="1103"/>
        <item x="708"/>
        <item x="212"/>
        <item x="897"/>
        <item x="239"/>
        <item x="1112"/>
        <item x="665"/>
        <item x="34"/>
        <item x="639"/>
        <item x="566"/>
        <item x="228"/>
        <item x="629"/>
        <item x="229"/>
        <item x="1"/>
        <item x="1167"/>
        <item x="121"/>
        <item x="842"/>
        <item x="243"/>
        <item x="275"/>
        <item x="385"/>
        <item x="280"/>
        <item x="879"/>
        <item x="147"/>
        <item x="414"/>
        <item x="76"/>
        <item x="1089"/>
        <item x="279"/>
        <item x="1131"/>
        <item x="808"/>
        <item x="336"/>
        <item x="1163"/>
        <item x="548"/>
        <item x="403"/>
        <item x="925"/>
        <item x="1106"/>
        <item x="12"/>
        <item x="87"/>
        <item x="698"/>
        <item x="131"/>
        <item x="437"/>
        <item x="14"/>
        <item x="31"/>
        <item x="845"/>
        <item x="1012"/>
        <item x="649"/>
        <item x="1184"/>
        <item x="61"/>
        <item x="389"/>
        <item x="975"/>
        <item x="367"/>
        <item x="110"/>
        <item x="1099"/>
        <item x="1027"/>
        <item x="435"/>
        <item x="982"/>
        <item x="83"/>
        <item x="104"/>
        <item x="747"/>
        <item x="586"/>
        <item x="533"/>
        <item x="167"/>
        <item x="1022"/>
        <item x="466"/>
        <item x="723"/>
        <item x="72"/>
        <item x="489"/>
        <item x="1140"/>
        <item x="643"/>
        <item x="374"/>
        <item x="890"/>
        <item x="709"/>
        <item x="192"/>
        <item x="865"/>
        <item x="503"/>
        <item x="819"/>
        <item x="1164"/>
        <item x="53"/>
        <item x="1155"/>
        <item x="64"/>
        <item x="1056"/>
        <item x="318"/>
        <item x="1135"/>
        <item x="522"/>
        <item x="745"/>
        <item x="899"/>
        <item x="978"/>
        <item x="1188"/>
        <item x="257"/>
        <item x="809"/>
        <item x="557"/>
        <item x="233"/>
        <item x="116"/>
        <item x="544"/>
        <item x="618"/>
        <item x="5"/>
        <item x="36"/>
        <item x="798"/>
        <item x="1024"/>
        <item x="356"/>
        <item x="966"/>
        <item x="66"/>
        <item x="751"/>
        <item x="41"/>
        <item x="1094"/>
        <item x="1087"/>
        <item x="644"/>
        <item x="47"/>
        <item x="458"/>
        <item x="332"/>
        <item x="796"/>
        <item x="16"/>
        <item x="89"/>
        <item x="748"/>
        <item x="692"/>
        <item x="1154"/>
        <item x="1144"/>
        <item x="620"/>
        <item x="22"/>
        <item x="450"/>
        <item x="774"/>
        <item x="574"/>
        <item x="1090"/>
        <item x="895"/>
        <item x="904"/>
        <item x="584"/>
        <item x="498"/>
        <item x="68"/>
        <item x="362"/>
        <item x="715"/>
        <item x="703"/>
        <item x="199"/>
        <item x="354"/>
        <item x="322"/>
        <item x="249"/>
        <item x="906"/>
        <item x="316"/>
        <item x="598"/>
        <item x="481"/>
        <item x="1073"/>
        <item x="88"/>
        <item x="551"/>
        <item x="806"/>
        <item x="1018"/>
        <item x="1061"/>
        <item x="673"/>
        <item x="800"/>
        <item x="686"/>
        <item x="864"/>
        <item x="196"/>
        <item x="244"/>
        <item x="1077"/>
        <item x="185"/>
        <item x="1008"/>
        <item x="386"/>
        <item x="930"/>
        <item x="844"/>
        <item x="543"/>
        <item x="455"/>
        <item x="659"/>
        <item x="415"/>
        <item x="491"/>
        <item x="1062"/>
        <item x="628"/>
        <item x="1080"/>
        <item x="866"/>
        <item x="140"/>
        <item x="896"/>
        <item x="1051"/>
        <item x="302"/>
        <item x="1035"/>
        <item x="1109"/>
        <item x="991"/>
        <item x="547"/>
        <item x="358"/>
        <item x="863"/>
        <item x="224"/>
        <item x="7"/>
        <item x="689"/>
        <item x="408"/>
        <item x="589"/>
        <item x="676"/>
        <item x="989"/>
        <item x="666"/>
        <item x="1134"/>
        <item x="771"/>
        <item x="731"/>
        <item x="479"/>
        <item x="967"/>
        <item x="161"/>
        <item x="1048"/>
        <item x="1088"/>
        <item x="691"/>
        <item x="813"/>
        <item x="235"/>
        <item x="869"/>
        <item x="1161"/>
        <item x="621"/>
        <item x="779"/>
        <item x="107"/>
        <item x="637"/>
        <item x="42"/>
        <item x="427"/>
        <item x="268"/>
        <item x="647"/>
        <item x="738"/>
        <item x="741"/>
        <item x="119"/>
        <item x="256"/>
        <item x="1092"/>
        <item x="801"/>
        <item x="749"/>
        <item x="132"/>
        <item x="300"/>
        <item x="441"/>
        <item x="1001"/>
        <item x="303"/>
        <item x="534"/>
        <item x="935"/>
        <item x="188"/>
        <item x="461"/>
        <item x="248"/>
        <item x="590"/>
        <item x="189"/>
        <item x="1047"/>
        <item x="660"/>
        <item x="839"/>
        <item x="558"/>
        <item x="138"/>
        <item x="1014"/>
        <item x="321"/>
        <item x="583"/>
        <item x="410"/>
        <item x="846"/>
        <item x="180"/>
        <item x="176"/>
        <item x="820"/>
        <item x="0"/>
        <item x="150"/>
        <item x="1108"/>
        <item x="506"/>
        <item x="722"/>
        <item x="1191"/>
        <item x="1186"/>
        <item x="187"/>
        <item x="371"/>
        <item x="988"/>
        <item x="754"/>
        <item x="964"/>
        <item x="126"/>
        <item x="2"/>
        <item x="726"/>
        <item x="1076"/>
        <item x="495"/>
        <item x="79"/>
        <item x="412"/>
        <item x="376"/>
        <item x="486"/>
        <item x="1180"/>
        <item x="782"/>
        <item x="773"/>
        <item x="340"/>
        <item x="337"/>
        <item x="702"/>
        <item x="1142"/>
        <item x="580"/>
        <item x="946"/>
        <item x="995"/>
        <item x="114"/>
        <item x="81"/>
        <item x="1032"/>
        <item x="451"/>
        <item x="940"/>
        <item x="788"/>
        <item x="210"/>
        <item x="884"/>
        <item x="684"/>
        <item x="700"/>
        <item x="6"/>
        <item x="640"/>
        <item x="1102"/>
        <item x="306"/>
        <item x="154"/>
        <item x="423"/>
        <item x="851"/>
        <item x="699"/>
        <item x="588"/>
        <item x="117"/>
        <item x="264"/>
        <item x="990"/>
        <item x="772"/>
        <item x="517"/>
        <item x="576"/>
        <item x="44"/>
        <item x="868"/>
        <item x="552"/>
        <item x="579"/>
        <item x="753"/>
        <item x="153"/>
        <item x="1149"/>
        <item x="163"/>
        <item x="84"/>
        <item x="128"/>
        <item x="836"/>
        <item x="624"/>
        <item x="420"/>
        <item x="976"/>
        <item x="418"/>
        <item x="391"/>
        <item x="1173"/>
        <item x="469"/>
        <item x="291"/>
        <item x="635"/>
        <item x="311"/>
        <item x="1021"/>
        <item x="537"/>
        <item x="449"/>
        <item x="1059"/>
        <item x="950"/>
        <item x="714"/>
        <item x="227"/>
        <item x="143"/>
        <item x="816"/>
        <item x="234"/>
        <item x="519"/>
        <item x="1111"/>
        <item x="923"/>
        <item x="73"/>
        <item x="958"/>
        <item x="987"/>
        <item x="1041"/>
        <item x="826"/>
        <item x="446"/>
        <item x="786"/>
        <item x="70"/>
        <item x="296"/>
        <item x="656"/>
        <item x="790"/>
        <item x="1036"/>
        <item x="215"/>
        <item x="559"/>
        <item x="883"/>
        <item x="156"/>
        <item x="531"/>
        <item x="162"/>
        <item x="984"/>
        <item x="886"/>
        <item x="539"/>
        <item x="759"/>
        <item x="550"/>
        <item x="301"/>
        <item x="770"/>
        <item x="980"/>
        <item x="1037"/>
        <item x="477"/>
        <item x="807"/>
        <item x="878"/>
        <item x="169"/>
        <item x="1138"/>
        <item x="974"/>
        <item x="1192"/>
        <item x="929"/>
        <item x="716"/>
        <item x="668"/>
        <item x="795"/>
        <item x="407"/>
        <item x="504"/>
        <item x="1107"/>
        <item x="736"/>
        <item x="658"/>
        <item x="876"/>
        <item x="969"/>
        <item x="357"/>
        <item x="401"/>
        <item x="67"/>
        <item x="369"/>
        <item x="1067"/>
        <item x="23"/>
        <item x="238"/>
        <item x="482"/>
        <item x="52"/>
        <item x="259"/>
        <item x="82"/>
        <item x="791"/>
        <item x="653"/>
        <item x="194"/>
        <item x="903"/>
        <item x="822"/>
        <item x="1121"/>
        <item x="231"/>
        <item x="1183"/>
        <item x="657"/>
        <item x="394"/>
        <item x="910"/>
        <item x="758"/>
        <item x="419"/>
        <item x="178"/>
        <item x="752"/>
        <item x="226"/>
        <item x="168"/>
        <item x="983"/>
        <item x="682"/>
        <item x="4"/>
        <item x="560"/>
        <item x="416"/>
        <item x="734"/>
        <item x="973"/>
        <item x="944"/>
        <item x="611"/>
        <item x="619"/>
        <item x="365"/>
        <item x="952"/>
        <item x="694"/>
        <item x="133"/>
        <item x="961"/>
        <item x="225"/>
        <item x="652"/>
        <item x="1055"/>
        <item x="572"/>
        <item x="313"/>
        <item x="277"/>
        <item x="208"/>
        <item x="631"/>
        <item x="366"/>
        <item x="1125"/>
        <item x="739"/>
        <item x="411"/>
        <item x="605"/>
        <item x="742"/>
        <item x="74"/>
        <item x="562"/>
        <item x="799"/>
        <item x="852"/>
        <item x="384"/>
        <item x="1119"/>
        <item x="695"/>
        <item x="669"/>
        <item x="1095"/>
        <item x="680"/>
        <item x="286"/>
        <item x="113"/>
        <item x="778"/>
        <item x="760"/>
        <item x="571"/>
        <item x="591"/>
        <item x="342"/>
        <item x="882"/>
        <item x="593"/>
        <item x="810"/>
        <item x="1064"/>
        <item x="282"/>
        <item x="312"/>
        <item x="58"/>
        <item x="339"/>
        <item x="972"/>
        <item x="370"/>
        <item x="35"/>
        <item x="33"/>
        <item x="781"/>
        <item x="319"/>
        <item x="1079"/>
        <item x="841"/>
        <item x="17"/>
        <item x="767"/>
        <item x="442"/>
        <item x="344"/>
        <item x="310"/>
        <item x="223"/>
        <item x="471"/>
        <item x="181"/>
        <item x="873"/>
        <item x="954"/>
        <item x="641"/>
        <item x="854"/>
        <item x="606"/>
        <item x="27"/>
        <item x="448"/>
        <item x="1114"/>
        <item x="71"/>
        <item x="468"/>
        <item x="1153"/>
        <item x="29"/>
        <item x="763"/>
        <item x="942"/>
        <item x="271"/>
        <item x="426"/>
        <item x="170"/>
        <item x="601"/>
        <item x="1185"/>
        <item x="847"/>
        <item x="667"/>
        <item x="824"/>
        <item x="457"/>
        <item x="317"/>
        <item x="985"/>
        <item x="905"/>
        <item x="642"/>
        <item x="713"/>
        <item x="881"/>
        <item x="872"/>
        <item x="546"/>
        <item x="433"/>
        <item x="220"/>
        <item x="654"/>
        <item x="48"/>
        <item x="596"/>
        <item x="122"/>
        <item x="634"/>
        <item x="1141"/>
        <item x="838"/>
        <item x="510"/>
        <item x="556"/>
        <item x="246"/>
        <item x="3"/>
        <item x="993"/>
        <item x="977"/>
        <item x="1083"/>
        <item x="26"/>
        <item x="216"/>
        <item x="979"/>
        <item x="1101"/>
        <item x="894"/>
        <item x="118"/>
        <item x="599"/>
        <item x="307"/>
        <item x="532"/>
        <item x="996"/>
        <item x="333"/>
        <item x="204"/>
        <item x="602"/>
        <item x="919"/>
        <item x="254"/>
        <item x="1157"/>
        <item x="1179"/>
        <item x="497"/>
        <item x="1143"/>
        <item x="1147"/>
        <item x="1193"/>
        <item x="1082"/>
        <item x="859"/>
        <item x="909"/>
        <item x="997"/>
        <item x="106"/>
        <item x="917"/>
        <item x="670"/>
        <item x="933"/>
        <item x="95"/>
        <item x="242"/>
        <item x="994"/>
        <item x="77"/>
        <item x="829"/>
        <item x="812"/>
        <item x="888"/>
        <item x="343"/>
        <item x="314"/>
        <item x="561"/>
        <item x="541"/>
        <item x="431"/>
        <item x="679"/>
        <item x="542"/>
        <item x="326"/>
        <item x="159"/>
        <item x="802"/>
        <item x="480"/>
        <item x="1071"/>
        <item x="205"/>
        <item x="1042"/>
        <item x="1074"/>
        <item x="360"/>
        <item x="675"/>
        <item x="837"/>
        <item x="1171"/>
        <item x="428"/>
        <item x="1029"/>
        <item x="432"/>
        <item x="276"/>
        <item x="706"/>
        <item x="1124"/>
        <item x="305"/>
        <item x="247"/>
        <item x="292"/>
        <item x="1128"/>
        <item x="1150"/>
        <item x="797"/>
        <item x="1127"/>
        <item x="948"/>
        <item x="1013"/>
        <item x="421"/>
        <item x="184"/>
        <item x="857"/>
        <item x="266"/>
        <item x="334"/>
        <item x="1063"/>
        <item x="203"/>
        <item x="438"/>
        <item x="209"/>
        <item x="65"/>
        <item x="278"/>
        <item x="514"/>
        <item x="569"/>
        <item x="323"/>
        <item x="101"/>
        <item x="1031"/>
        <item x="1160"/>
        <item x="528"/>
        <item x="947"/>
        <item x="377"/>
        <item x="130"/>
        <item x="592"/>
        <item x="898"/>
        <item x="1098"/>
        <item x="1189"/>
        <item x="526"/>
        <item x="152"/>
        <item x="1007"/>
        <item x="536"/>
        <item x="505"/>
        <item x="893"/>
        <item x="183"/>
        <item x="43"/>
        <item x="472"/>
        <item x="80"/>
        <item x="999"/>
        <item x="570"/>
        <item x="525"/>
        <item x="755"/>
        <item x="484"/>
        <item x="787"/>
        <item x="8"/>
        <item x="513"/>
        <item x="90"/>
        <item x="509"/>
        <item x="511"/>
        <item x="931"/>
        <item x="164"/>
        <item x="568"/>
        <item x="499"/>
        <item x="60"/>
        <item x="949"/>
        <item x="1152"/>
        <item x="1040"/>
        <item x="91"/>
        <item x="351"/>
        <item x="378"/>
        <item x="765"/>
        <item x="85"/>
        <item x="1105"/>
        <item x="609"/>
        <item x="860"/>
        <item x="202"/>
        <item x="880"/>
        <item x="718"/>
        <item x="705"/>
        <item x="530"/>
        <item x="166"/>
        <item x="18"/>
        <item x="1009"/>
        <item x="393"/>
        <item x="1072"/>
        <item x="744"/>
        <item x="521"/>
        <item x="404"/>
        <item x="688"/>
        <item x="112"/>
        <item x="720"/>
        <item x="867"/>
        <item x="1129"/>
        <item x="1118"/>
        <item x="290"/>
        <item x="211"/>
        <item x="1039"/>
        <item x="678"/>
        <item x="823"/>
        <item x="191"/>
        <item x="956"/>
        <item x="1195"/>
        <item x="518"/>
        <item x="1002"/>
        <item x="775"/>
        <item x="769"/>
        <item x="348"/>
        <item x="662"/>
        <item x="402"/>
        <item x="251"/>
        <item x="502"/>
        <item x="297"/>
        <item x="1086"/>
        <item x="436"/>
        <item x="934"/>
        <item x="200"/>
        <item x="1093"/>
        <item x="633"/>
        <item x="10"/>
        <item x="273"/>
        <item x="1017"/>
        <item x="936"/>
        <item x="685"/>
        <item x="1116"/>
        <item x="805"/>
        <item x="252"/>
        <item x="349"/>
        <item x="1005"/>
        <item x="835"/>
        <item x="687"/>
        <item x="597"/>
        <item x="1117"/>
        <item x="564"/>
        <item x="757"/>
        <item x="20"/>
        <item x="970"/>
        <item x="19"/>
        <item x="459"/>
        <item x="1091"/>
        <item x="405"/>
        <item x="46"/>
        <item x="263"/>
        <item x="783"/>
        <item x="201"/>
        <item x="373"/>
        <item x="250"/>
        <item x="1052"/>
        <item x="124"/>
        <item x="701"/>
        <item x="496"/>
        <item x="240"/>
        <item x="928"/>
        <item x="912"/>
        <item x="523"/>
        <item x="1096"/>
        <item x="182"/>
        <item x="717"/>
        <item x="549"/>
        <item x="524"/>
        <item x="137"/>
        <item x="125"/>
        <item x="363"/>
        <item x="447"/>
        <item x="462"/>
        <item x="655"/>
        <item x="165"/>
        <item x="926"/>
        <item x="1122"/>
        <item x="1065"/>
        <item x="690"/>
        <item x="155"/>
        <item x="794"/>
        <item x="1151"/>
        <item x="255"/>
        <item x="328"/>
        <item x="1019"/>
        <item x="828"/>
        <item x="573"/>
        <item x="856"/>
        <item x="359"/>
        <item x="719"/>
        <item x="512"/>
        <item x="398"/>
        <item x="483"/>
        <item x="803"/>
        <item x="11"/>
        <item x="1165"/>
        <item x="1044"/>
        <item x="1100"/>
        <item x="230"/>
        <item x="937"/>
        <item x="387"/>
        <item x="56"/>
        <item x="1097"/>
        <item x="632"/>
        <item x="830"/>
        <item x="871"/>
        <item x="262"/>
        <item x="487"/>
        <item x="924"/>
        <item x="968"/>
        <item x="554"/>
        <item x="485"/>
        <item x="478"/>
        <item x="627"/>
        <item x="538"/>
        <item x="677"/>
        <item x="417"/>
        <item x="399"/>
        <item x="51"/>
        <item x="1078"/>
        <item x="13"/>
        <item x="1126"/>
        <item x="1159"/>
        <item x="281"/>
        <item x="664"/>
        <item x="636"/>
        <item x="287"/>
        <item x="651"/>
        <item x="986"/>
        <item x="815"/>
        <item x="927"/>
        <item x="594"/>
        <item x="63"/>
        <item x="1058"/>
        <item x="648"/>
        <item x="329"/>
        <item x="492"/>
        <item x="267"/>
        <item x="811"/>
        <item x="390"/>
        <item x="157"/>
        <item x="295"/>
        <item x="341"/>
        <item x="1194"/>
        <item x="175"/>
        <item x="500"/>
        <item x="1133"/>
        <item x="272"/>
        <item t="default"/>
      </items>
    </pivotField>
    <pivotField dataField="1" showAll="0">
      <items count="1199">
        <item x="78"/>
        <item x="100"/>
        <item x="1115"/>
        <item x="609"/>
        <item x="219"/>
        <item x="729"/>
        <item x="1150"/>
        <item x="614"/>
        <item x="55"/>
        <item x="671"/>
        <item x="574"/>
        <item x="109"/>
        <item x="174"/>
        <item x="135"/>
        <item x="824"/>
        <item x="841"/>
        <item x="374"/>
        <item x="1168"/>
        <item x="507"/>
        <item x="562"/>
        <item x="314"/>
        <item x="394"/>
        <item x="214"/>
        <item x="442"/>
        <item x="576"/>
        <item x="982"/>
        <item x="354"/>
        <item x="954"/>
        <item x="30"/>
        <item x="145"/>
        <item x="475"/>
        <item x="103"/>
        <item x="849"/>
        <item x="515"/>
        <item x="172"/>
        <item x="887"/>
        <item x="399"/>
        <item x="237"/>
        <item x="412"/>
        <item x="283"/>
        <item x="889"/>
        <item x="999"/>
        <item x="1174"/>
        <item x="217"/>
        <item x="144"/>
        <item x="1046"/>
        <item x="552"/>
        <item x="943"/>
        <item x="914"/>
        <item x="115"/>
        <item x="624"/>
        <item x="86"/>
        <item x="40"/>
        <item x="92"/>
        <item x="349"/>
        <item x="1180"/>
        <item x="69"/>
        <item x="424"/>
        <item x="526"/>
        <item x="391"/>
        <item x="98"/>
        <item x="907"/>
        <item x="709"/>
        <item x="1139"/>
        <item x="1020"/>
        <item x="324"/>
        <item x="28"/>
        <item x="438"/>
        <item x="755"/>
        <item x="673"/>
        <item x="387"/>
        <item x="149"/>
        <item x="330"/>
        <item x="346"/>
        <item x="139"/>
        <item x="1138"/>
        <item x="222"/>
        <item x="197"/>
        <item x="792"/>
        <item x="1068"/>
        <item x="603"/>
        <item x="645"/>
        <item x="345"/>
        <item x="1178"/>
        <item x="329"/>
        <item x="363"/>
        <item x="179"/>
        <item x="381"/>
        <item x="742"/>
        <item x="1184"/>
        <item x="670"/>
        <item x="1026"/>
        <item x="105"/>
        <item x="326"/>
        <item x="59"/>
        <item x="1007"/>
        <item x="727"/>
        <item x="453"/>
        <item x="382"/>
        <item x="142"/>
        <item x="493"/>
        <item x="660"/>
        <item x="528"/>
        <item x="303"/>
        <item x="775"/>
        <item x="123"/>
        <item x="839"/>
        <item x="720"/>
        <item x="920"/>
        <item x="97"/>
        <item x="956"/>
        <item x="1081"/>
        <item x="622"/>
        <item x="158"/>
        <item x="586"/>
        <item x="75"/>
        <item x="711"/>
        <item x="408"/>
        <item x="1164"/>
        <item x="99"/>
        <item x="832"/>
        <item x="629"/>
        <item x="429"/>
        <item x="544"/>
        <item x="120"/>
        <item x="1015"/>
        <item x="728"/>
        <item x="602"/>
        <item x="190"/>
        <item x="50"/>
        <item x="1106"/>
        <item x="443"/>
        <item x="1038"/>
        <item x="1125"/>
        <item x="344"/>
        <item x="62"/>
        <item x="1016"/>
        <item x="146"/>
        <item x="539"/>
        <item x="1049"/>
        <item x="680"/>
        <item x="37"/>
        <item x="1030"/>
        <item x="1177"/>
        <item x="451"/>
        <item x="395"/>
        <item x="1070"/>
        <item x="265"/>
        <item x="853"/>
        <item x="195"/>
        <item x="177"/>
        <item x="813"/>
        <item x="803"/>
        <item x="288"/>
        <item x="696"/>
        <item x="258"/>
        <item x="761"/>
        <item x="830"/>
        <item x="723"/>
        <item x="245"/>
        <item x="1122"/>
        <item x="1075"/>
        <item x="581"/>
        <item x="564"/>
        <item x="151"/>
        <item x="378"/>
        <item x="616"/>
        <item x="961"/>
        <item x="952"/>
        <item x="57"/>
        <item x="625"/>
        <item x="788"/>
        <item x="49"/>
        <item x="820"/>
        <item x="514"/>
        <item x="1172"/>
        <item x="405"/>
        <item x="492"/>
        <item x="351"/>
        <item x="462"/>
        <item x="692"/>
        <item x="855"/>
        <item x="466"/>
        <item x="1045"/>
        <item x="307"/>
        <item x="862"/>
        <item x="779"/>
        <item x="319"/>
        <item x="171"/>
        <item x="487"/>
        <item x="93"/>
        <item x="1179"/>
        <item x="260"/>
        <item x="732"/>
        <item x="1069"/>
        <item x="908"/>
        <item x="1084"/>
        <item x="284"/>
        <item x="1176"/>
        <item x="1160"/>
        <item x="901"/>
        <item x="160"/>
        <item x="916"/>
        <item x="1050"/>
        <item x="148"/>
        <item x="463"/>
        <item x="206"/>
        <item x="464"/>
        <item x="1034"/>
        <item x="274"/>
        <item x="444"/>
        <item x="1189"/>
        <item x="963"/>
        <item x="662"/>
        <item x="421"/>
        <item x="108"/>
        <item x="38"/>
        <item x="682"/>
        <item x="858"/>
        <item x="1170"/>
        <item x="900"/>
        <item x="439"/>
        <item x="1112"/>
        <item x="337"/>
        <item x="45"/>
        <item x="783"/>
        <item x="938"/>
        <item x="9"/>
        <item x="261"/>
        <item x="134"/>
        <item x="193"/>
        <item x="1053"/>
        <item x="297"/>
        <item x="380"/>
        <item x="918"/>
        <item x="577"/>
        <item x="703"/>
        <item x="1171"/>
        <item x="767"/>
        <item x="289"/>
        <item x="452"/>
        <item x="566"/>
        <item x="607"/>
        <item x="946"/>
        <item x="506"/>
        <item x="102"/>
        <item x="32"/>
        <item x="534"/>
        <item x="218"/>
        <item x="902"/>
        <item x="911"/>
        <item x="173"/>
        <item x="1033"/>
        <item x="1132"/>
        <item x="136"/>
        <item x="826"/>
        <item x="500"/>
        <item x="913"/>
        <item x="1117"/>
        <item x="1148"/>
        <item x="784"/>
        <item x="1158"/>
        <item x="253"/>
        <item x="584"/>
        <item x="644"/>
        <item x="637"/>
        <item x="958"/>
        <item x="706"/>
        <item x="1043"/>
        <item x="371"/>
        <item x="323"/>
        <item x="613"/>
        <item x="870"/>
        <item x="724"/>
        <item x="379"/>
        <item x="1066"/>
        <item x="816"/>
        <item x="94"/>
        <item x="54"/>
        <item x="360"/>
        <item x="129"/>
        <item x="241"/>
        <item x="474"/>
        <item x="874"/>
        <item x="212"/>
        <item x="39"/>
        <item x="993"/>
        <item x="749"/>
        <item x="308"/>
        <item x="1025"/>
        <item x="731"/>
        <item x="833"/>
        <item x="791"/>
        <item x="121"/>
        <item x="221"/>
        <item x="877"/>
        <item x="469"/>
        <item x="519"/>
        <item x="885"/>
        <item x="455"/>
        <item x="745"/>
        <item x="739"/>
        <item x="615"/>
        <item x="1147"/>
        <item x="606"/>
        <item x="428"/>
        <item x="621"/>
        <item x="334"/>
        <item x="25"/>
        <item x="489"/>
        <item x="1141"/>
        <item x="765"/>
        <item x="960"/>
        <item x="875"/>
        <item x="776"/>
        <item x="1023"/>
        <item x="459"/>
        <item x="1057"/>
        <item x="726"/>
        <item x="892"/>
        <item x="293"/>
        <item x="1105"/>
        <item x="12"/>
        <item x="649"/>
        <item x="746"/>
        <item x="270"/>
        <item x="1028"/>
        <item x="24"/>
        <item x="285"/>
        <item x="111"/>
        <item x="722"/>
        <item x="213"/>
        <item x="710"/>
        <item x="1004"/>
        <item x="1001"/>
        <item x="643"/>
        <item x="1183"/>
        <item x="186"/>
        <item x="335"/>
        <item x="1134"/>
        <item x="848"/>
        <item x="1054"/>
        <item x="1114"/>
        <item x="1"/>
        <item x="472"/>
        <item x="21"/>
        <item x="396"/>
        <item x="664"/>
        <item x="747"/>
        <item x="433"/>
        <item x="83"/>
        <item x="1137"/>
        <item x="232"/>
        <item x="1011"/>
        <item x="239"/>
        <item x="915"/>
        <item x="87"/>
        <item x="795"/>
        <item x="1024"/>
        <item x="1062"/>
        <item x="941"/>
        <item x="127"/>
        <item x="207"/>
        <item x="1165"/>
        <item x="367"/>
        <item x="269"/>
        <item x="298"/>
        <item x="15"/>
        <item x="619"/>
        <item x="1157"/>
        <item x="599"/>
        <item x="236"/>
        <item x="1085"/>
        <item x="565"/>
        <item x="939"/>
        <item x="554"/>
        <item x="702"/>
        <item x="1133"/>
        <item x="547"/>
        <item x="141"/>
        <item x="707"/>
        <item x="760"/>
        <item x="817"/>
        <item x="972"/>
        <item x="899"/>
        <item x="932"/>
        <item x="842"/>
        <item x="198"/>
        <item x="583"/>
        <item x="891"/>
        <item x="922"/>
        <item x="1012"/>
        <item x="1009"/>
        <item x="964"/>
        <item x="861"/>
        <item x="612"/>
        <item x="864"/>
        <item x="863"/>
        <item x="31"/>
        <item x="436"/>
        <item x="778"/>
        <item x="229"/>
        <item x="315"/>
        <item x="497"/>
        <item x="14"/>
        <item x="473"/>
        <item x="597"/>
        <item x="865"/>
        <item x="1089"/>
        <item x="352"/>
        <item x="228"/>
        <item x="808"/>
        <item x="61"/>
        <item x="580"/>
        <item x="385"/>
        <item x="831"/>
        <item x="167"/>
        <item x="104"/>
        <item x="47"/>
        <item x="695"/>
        <item x="967"/>
        <item x="76"/>
        <item x="1080"/>
        <item x="96"/>
        <item x="843"/>
        <item x="478"/>
        <item x="966"/>
        <item x="147"/>
        <item x="317"/>
        <item x="423"/>
        <item x="1005"/>
        <item x="1142"/>
        <item x="66"/>
        <item x="1092"/>
        <item x="611"/>
        <item x="494"/>
        <item x="850"/>
        <item x="150"/>
        <item x="1136"/>
        <item x="110"/>
        <item x="921"/>
        <item x="235"/>
        <item x="36"/>
        <item x="685"/>
        <item x="1047"/>
        <item x="744"/>
        <item x="275"/>
        <item x="725"/>
        <item x="763"/>
        <item x="138"/>
        <item x="736"/>
        <item x="1104"/>
        <item x="1108"/>
        <item x="906"/>
        <item x="388"/>
        <item x="336"/>
        <item x="320"/>
        <item x="16"/>
        <item x="884"/>
        <item x="355"/>
        <item x="280"/>
        <item x="465"/>
        <item x="34"/>
        <item x="53"/>
        <item x="787"/>
        <item x="1169"/>
        <item x="701"/>
        <item x="375"/>
        <item x="578"/>
        <item x="648"/>
        <item x="550"/>
        <item x="546"/>
        <item x="373"/>
        <item x="233"/>
        <item x="1156"/>
        <item x="753"/>
        <item x="521"/>
        <item x="940"/>
        <item x="1056"/>
        <item x="879"/>
        <item x="162"/>
        <item x="366"/>
        <item x="770"/>
        <item x="1111"/>
        <item x="925"/>
        <item x="968"/>
        <item x="457"/>
        <item x="797"/>
        <item x="667"/>
        <item x="620"/>
        <item x="268"/>
        <item x="735"/>
        <item x="41"/>
        <item x="1186"/>
        <item x="904"/>
        <item x="402"/>
        <item x="594"/>
        <item x="585"/>
        <item x="1060"/>
        <item x="1035"/>
        <item x="634"/>
        <item x="81"/>
        <item x="628"/>
        <item x="243"/>
        <item x="1090"/>
        <item x="116"/>
        <item x="800"/>
        <item x="897"/>
        <item x="384"/>
        <item x="426"/>
        <item x="294"/>
        <item x="866"/>
        <item x="1022"/>
        <item x="636"/>
        <item x="196"/>
        <item x="1192"/>
        <item x="1018"/>
        <item x="543"/>
        <item x="734"/>
        <item x="818"/>
        <item x="44"/>
        <item x="989"/>
        <item x="1073"/>
        <item x="740"/>
        <item x="976"/>
        <item x="1032"/>
        <item x="168"/>
        <item x="1123"/>
        <item x="819"/>
        <item x="210"/>
        <item x="929"/>
        <item x="698"/>
        <item x="530"/>
        <item x="279"/>
        <item x="413"/>
        <item x="390"/>
        <item x="1100"/>
        <item x="1088"/>
        <item x="119"/>
        <item x="659"/>
        <item x="638"/>
        <item x="985"/>
        <item x="838"/>
        <item x="983"/>
        <item x="587"/>
        <item x="488"/>
        <item x="1027"/>
        <item x="910"/>
        <item x="194"/>
        <item x="42"/>
        <item x="1094"/>
        <item x="646"/>
        <item x="368"/>
        <item x="68"/>
        <item x="807"/>
        <item x="708"/>
        <item x="642"/>
        <item x="844"/>
        <item x="490"/>
        <item x="657"/>
        <item x="890"/>
        <item x="257"/>
        <item x="89"/>
        <item x="542"/>
        <item x="485"/>
        <item x="959"/>
        <item x="5"/>
        <item x="556"/>
        <item x="1185"/>
        <item x="799"/>
        <item x="448"/>
        <item x="406"/>
        <item x="357"/>
        <item x="1014"/>
        <item x="1061"/>
        <item x="131"/>
        <item x="1077"/>
        <item x="502"/>
        <item x="440"/>
        <item x="248"/>
        <item x="226"/>
        <item x="651"/>
        <item x="532"/>
        <item x="445"/>
        <item x="480"/>
        <item x="610"/>
        <item x="1190"/>
        <item x="805"/>
        <item x="74"/>
        <item x="0"/>
        <item x="773"/>
        <item x="4"/>
        <item x="658"/>
        <item x="192"/>
        <item x="672"/>
        <item x="697"/>
        <item x="88"/>
        <item x="249"/>
        <item x="588"/>
        <item x="688"/>
        <item x="1144"/>
        <item x="942"/>
        <item x="806"/>
        <item x="82"/>
        <item x="1146"/>
        <item x="71"/>
        <item x="411"/>
        <item x="845"/>
        <item x="505"/>
        <item x="460"/>
        <item x="277"/>
        <item x="1059"/>
        <item x="64"/>
        <item x="67"/>
        <item x="561"/>
        <item x="750"/>
        <item x="1166"/>
        <item x="72"/>
        <item x="1194"/>
        <item x="1116"/>
        <item x="434"/>
        <item x="321"/>
        <item x="714"/>
        <item x="301"/>
        <item x="691"/>
        <item x="299"/>
        <item x="1121"/>
        <item x="409"/>
        <item x="781"/>
        <item x="965"/>
        <item x="1079"/>
        <item x="752"/>
        <item x="886"/>
        <item x="154"/>
        <item x="895"/>
        <item x="244"/>
        <item x="590"/>
        <item x="665"/>
        <item x="70"/>
        <item x="117"/>
        <item x="538"/>
        <item x="79"/>
        <item x="107"/>
        <item x="589"/>
        <item x="17"/>
        <item x="840"/>
        <item x="410"/>
        <item x="981"/>
        <item x="1048"/>
        <item x="977"/>
        <item x="476"/>
        <item x="331"/>
        <item x="979"/>
        <item x="316"/>
        <item x="454"/>
        <item x="815"/>
        <item x="769"/>
        <item x="259"/>
        <item x="140"/>
        <item x="305"/>
        <item x="630"/>
        <item x="573"/>
        <item x="518"/>
        <item x="812"/>
        <item x="23"/>
        <item x="1002"/>
        <item x="748"/>
        <item x="617"/>
        <item x="909"/>
        <item x="633"/>
        <item x="852"/>
        <item x="533"/>
        <item x="215"/>
        <item x="407"/>
        <item x="801"/>
        <item x="468"/>
        <item x="254"/>
        <item x="595"/>
        <item x="699"/>
        <item x="869"/>
        <item x="449"/>
        <item x="48"/>
        <item x="29"/>
        <item x="189"/>
        <item x="152"/>
        <item x="188"/>
        <item x="170"/>
        <item x="156"/>
        <item x="1095"/>
        <item x="737"/>
        <item x="851"/>
        <item x="730"/>
        <item x="582"/>
        <item x="185"/>
        <item x="22"/>
        <item x="1087"/>
        <item x="777"/>
        <item x="496"/>
        <item x="947"/>
        <item x="639"/>
        <item x="1036"/>
        <item x="199"/>
        <item x="558"/>
        <item x="560"/>
        <item x="513"/>
        <item x="365"/>
        <item x="447"/>
        <item x="246"/>
        <item x="693"/>
        <item x="516"/>
        <item x="1083"/>
        <item x="479"/>
        <item x="132"/>
        <item x="605"/>
        <item x="311"/>
        <item x="361"/>
        <item x="133"/>
        <item x="1037"/>
        <item x="754"/>
        <item x="2"/>
        <item x="1021"/>
        <item x="291"/>
        <item x="52"/>
        <item x="353"/>
        <item x="545"/>
        <item x="432"/>
        <item x="828"/>
        <item x="896"/>
        <item x="992"/>
        <item x="575"/>
        <item x="310"/>
        <item x="26"/>
        <item x="1082"/>
        <item x="627"/>
        <item x="264"/>
        <item x="470"/>
        <item x="1149"/>
        <item x="878"/>
        <item x="393"/>
        <item x="978"/>
        <item x="974"/>
        <item x="143"/>
        <item x="90"/>
        <item x="945"/>
        <item x="690"/>
        <item x="312"/>
        <item x="991"/>
        <item x="796"/>
        <item x="655"/>
        <item x="675"/>
        <item x="1193"/>
        <item x="302"/>
        <item x="338"/>
        <item x="935"/>
        <item x="990"/>
        <item x="970"/>
        <item x="930"/>
        <item x="33"/>
        <item x="114"/>
        <item x="84"/>
        <item x="161"/>
        <item x="883"/>
        <item x="414"/>
        <item x="509"/>
        <item x="1076"/>
        <item x="1181"/>
        <item x="846"/>
        <item x="1175"/>
        <item x="339"/>
        <item x="58"/>
        <item x="834"/>
        <item x="450"/>
        <item x="1151"/>
        <item x="290"/>
        <item x="7"/>
        <item x="771"/>
        <item x="557"/>
        <item x="934"/>
        <item x="984"/>
        <item x="296"/>
        <item x="417"/>
        <item x="511"/>
        <item x="203"/>
        <item x="1042"/>
        <item x="1110"/>
        <item x="266"/>
        <item x="256"/>
        <item x="73"/>
        <item x="579"/>
        <item x="419"/>
        <item x="1067"/>
        <item x="1051"/>
        <item x="300"/>
        <item x="718"/>
        <item x="666"/>
        <item x="224"/>
        <item x="872"/>
        <item x="1163"/>
        <item x="571"/>
        <item x="876"/>
        <item x="169"/>
        <item x="683"/>
        <item x="1188"/>
        <item x="1098"/>
        <item x="551"/>
        <item x="668"/>
        <item x="370"/>
        <item x="1055"/>
        <item x="950"/>
        <item x="77"/>
        <item x="996"/>
        <item x="383"/>
        <item x="995"/>
        <item x="880"/>
        <item x="905"/>
        <item x="531"/>
        <item x="178"/>
        <item x="559"/>
        <item x="306"/>
        <item x="176"/>
        <item x="772"/>
        <item x="847"/>
        <item x="225"/>
        <item x="955"/>
        <item x="369"/>
        <item x="231"/>
        <item x="1153"/>
        <item x="1041"/>
        <item x="282"/>
        <item x="604"/>
        <item x="785"/>
        <item x="653"/>
        <item x="600"/>
        <item x="262"/>
        <item x="80"/>
        <item x="669"/>
        <item x="794"/>
        <item x="835"/>
        <item x="427"/>
        <item x="1182"/>
        <item x="888"/>
        <item x="1128"/>
        <item x="721"/>
        <item x="204"/>
        <item x="759"/>
        <item x="180"/>
        <item x="1019"/>
        <item x="1155"/>
        <item x="821"/>
        <item x="825"/>
        <item x="1130"/>
        <item x="273"/>
        <item x="322"/>
        <item x="364"/>
        <item x="1140"/>
        <item x="6"/>
        <item x="789"/>
        <item x="738"/>
        <item x="238"/>
        <item x="868"/>
        <item x="128"/>
        <item x="187"/>
        <item x="623"/>
        <item x="181"/>
        <item x="823"/>
        <item x="208"/>
        <item x="953"/>
        <item x="517"/>
        <item x="857"/>
        <item x="510"/>
        <item x="227"/>
        <item x="1103"/>
        <item x="1159"/>
        <item x="679"/>
        <item x="126"/>
        <item x="988"/>
        <item x="304"/>
        <item x="689"/>
        <item x="705"/>
        <item x="549"/>
        <item x="536"/>
        <item x="1143"/>
        <item x="811"/>
        <item x="347"/>
        <item x="1040"/>
        <item x="398"/>
        <item x="182"/>
        <item x="641"/>
        <item x="951"/>
        <item x="1113"/>
        <item x="882"/>
        <item x="780"/>
        <item x="163"/>
        <item x="512"/>
        <item x="286"/>
        <item x="923"/>
        <item x="881"/>
        <item x="944"/>
        <item x="343"/>
        <item x="1058"/>
        <item x="153"/>
        <item x="425"/>
        <item x="766"/>
        <item x="422"/>
        <item x="608"/>
        <item x="498"/>
        <item x="278"/>
        <item x="681"/>
        <item x="1195"/>
        <item x="975"/>
        <item x="631"/>
        <item x="1154"/>
        <item x="1013"/>
        <item x="1109"/>
        <item x="741"/>
        <item x="486"/>
        <item x="431"/>
        <item x="313"/>
        <item x="762"/>
        <item x="35"/>
        <item x="234"/>
        <item x="790"/>
        <item x="591"/>
        <item x="404"/>
        <item x="503"/>
        <item x="446"/>
        <item x="678"/>
        <item x="456"/>
        <item x="481"/>
        <item x="1187"/>
        <item x="1127"/>
        <item x="401"/>
        <item x="341"/>
        <item x="980"/>
        <item x="230"/>
        <item x="418"/>
        <item x="893"/>
        <item x="201"/>
        <item x="652"/>
        <item x="359"/>
        <item x="350"/>
        <item x="713"/>
        <item x="986"/>
        <item x="520"/>
        <item x="798"/>
        <item x="572"/>
        <item x="95"/>
        <item x="46"/>
        <item x="20"/>
        <item x="541"/>
        <item x="694"/>
        <item x="415"/>
        <item x="632"/>
        <item x="764"/>
        <item x="804"/>
        <item x="333"/>
        <item x="687"/>
        <item x="656"/>
        <item x="400"/>
        <item x="733"/>
        <item x="969"/>
        <item x="11"/>
        <item x="416"/>
        <item x="757"/>
        <item x="482"/>
        <item x="898"/>
        <item x="758"/>
        <item x="430"/>
        <item x="65"/>
        <item x="661"/>
        <item x="1065"/>
        <item x="1126"/>
        <item x="786"/>
        <item x="175"/>
        <item x="8"/>
        <item x="1091"/>
        <item x="91"/>
        <item x="903"/>
        <item x="873"/>
        <item x="356"/>
        <item x="712"/>
        <item x="467"/>
        <item x="318"/>
        <item x="1003"/>
        <item x="112"/>
        <item x="1119"/>
        <item x="220"/>
        <item x="255"/>
        <item x="973"/>
        <item x="471"/>
        <item x="1010"/>
        <item x="377"/>
        <item x="1129"/>
        <item x="837"/>
        <item x="535"/>
        <item x="715"/>
        <item x="937"/>
        <item x="962"/>
        <item x="325"/>
        <item x="60"/>
        <item x="276"/>
        <item x="340"/>
        <item x="1029"/>
        <item x="1074"/>
        <item x="933"/>
        <item x="809"/>
        <item x="1064"/>
        <item x="700"/>
        <item x="166"/>
        <item x="165"/>
        <item x="871"/>
        <item x="43"/>
        <item x="751"/>
        <item x="242"/>
        <item x="555"/>
        <item x="793"/>
        <item x="106"/>
        <item x="1052"/>
        <item x="592"/>
        <item x="118"/>
        <item x="601"/>
        <item x="949"/>
        <item x="677"/>
        <item x="113"/>
        <item x="1031"/>
        <item x="802"/>
        <item x="743"/>
        <item x="309"/>
        <item x="676"/>
        <item x="51"/>
        <item x="997"/>
        <item x="332"/>
        <item x="441"/>
        <item x="570"/>
        <item x="854"/>
        <item x="618"/>
        <item x="122"/>
        <item x="598"/>
        <item x="1008"/>
        <item x="247"/>
        <item x="461"/>
        <item x="704"/>
        <item x="183"/>
        <item x="403"/>
        <item x="216"/>
        <item x="205"/>
        <item x="1118"/>
        <item x="768"/>
        <item x="1145"/>
        <item x="495"/>
        <item x="27"/>
        <item x="1152"/>
        <item x="3"/>
        <item x="130"/>
        <item x="829"/>
        <item x="13"/>
        <item x="101"/>
        <item x="856"/>
        <item x="155"/>
        <item x="926"/>
        <item x="640"/>
        <item x="124"/>
        <item x="567"/>
        <item x="501"/>
        <item x="392"/>
        <item x="936"/>
        <item x="822"/>
        <item x="1096"/>
        <item x="292"/>
        <item x="209"/>
        <item x="137"/>
        <item x="537"/>
        <item x="240"/>
        <item x="420"/>
        <item x="477"/>
        <item x="971"/>
        <item x="931"/>
        <item x="223"/>
        <item x="271"/>
        <item x="717"/>
        <item x="1107"/>
        <item x="263"/>
        <item x="1120"/>
        <item x="200"/>
        <item x="1063"/>
        <item x="483"/>
        <item x="1072"/>
        <item x="635"/>
        <item x="894"/>
        <item x="860"/>
        <item x="504"/>
        <item x="1102"/>
        <item x="686"/>
        <item x="508"/>
        <item x="1006"/>
        <item x="18"/>
        <item x="437"/>
        <item x="362"/>
        <item x="859"/>
        <item x="1078"/>
        <item x="524"/>
        <item x="1093"/>
        <item x="499"/>
        <item x="994"/>
        <item x="372"/>
        <item x="650"/>
        <item x="211"/>
        <item x="569"/>
        <item x="522"/>
        <item x="1000"/>
        <item x="540"/>
        <item x="376"/>
        <item x="998"/>
        <item x="252"/>
        <item x="917"/>
        <item x="836"/>
        <item x="327"/>
        <item x="397"/>
        <item x="159"/>
        <item x="674"/>
        <item x="85"/>
        <item x="782"/>
        <item x="348"/>
        <item x="251"/>
        <item x="358"/>
        <item x="919"/>
        <item x="1124"/>
        <item x="756"/>
        <item x="1044"/>
        <item x="548"/>
        <item x="184"/>
        <item x="948"/>
        <item x="527"/>
        <item x="525"/>
        <item x="1086"/>
        <item x="912"/>
        <item x="1071"/>
        <item x="342"/>
        <item x="1162"/>
        <item x="774"/>
        <item x="529"/>
        <item x="1017"/>
        <item x="1173"/>
        <item x="684"/>
        <item x="1191"/>
        <item x="568"/>
        <item x="716"/>
        <item x="719"/>
        <item x="491"/>
        <item x="563"/>
        <item x="810"/>
        <item x="596"/>
        <item x="1099"/>
        <item x="867"/>
        <item x="164"/>
        <item x="1039"/>
        <item x="957"/>
        <item x="523"/>
        <item x="125"/>
        <item x="1167"/>
        <item x="202"/>
        <item x="593"/>
        <item x="250"/>
        <item x="928"/>
        <item x="1197"/>
        <item x="814"/>
        <item x="1131"/>
        <item x="924"/>
        <item x="328"/>
        <item x="10"/>
        <item x="1097"/>
        <item x="458"/>
        <item x="1101"/>
        <item x="267"/>
        <item x="435"/>
        <item x="281"/>
        <item x="191"/>
        <item x="654"/>
        <item x="386"/>
        <item x="987"/>
        <item x="1161"/>
        <item x="626"/>
        <item x="663"/>
        <item x="389"/>
        <item x="19"/>
        <item x="484"/>
        <item x="827"/>
        <item x="56"/>
        <item x="553"/>
        <item x="1135"/>
        <item x="287"/>
        <item x="927"/>
        <item x="647"/>
        <item x="63"/>
        <item x="1196"/>
        <item x="295"/>
        <item x="157"/>
        <item x="272"/>
        <item t="default"/>
      </items>
    </pivotField>
    <pivotField showAll="0"/>
    <pivotField showAll="0"/>
    <pivotField showAll="0">
      <items count="17">
        <item x="1"/>
        <item x="13"/>
        <item x="3"/>
        <item x="12"/>
        <item x="7"/>
        <item x="6"/>
        <item x="8"/>
        <item x="0"/>
        <item x="14"/>
        <item x="4"/>
        <item x="10"/>
        <item x="9"/>
        <item x="15"/>
        <item x="11"/>
        <item x="5"/>
        <item x="2"/>
        <item t="default"/>
      </items>
    </pivotField>
    <pivotField showAll="0"/>
    <pivotField numFmtId="10" showAll="0"/>
    <pivotField numFmtId="10" showAll="0">
      <items count="1201">
        <item x="19"/>
        <item x="191"/>
        <item x="379"/>
        <item x="1089"/>
        <item x="343"/>
        <item x="1194"/>
        <item x="1175"/>
        <item x="335"/>
        <item x="840"/>
        <item x="180"/>
        <item x="223"/>
        <item x="920"/>
        <item x="846"/>
        <item x="435"/>
        <item x="1053"/>
        <item x="595"/>
        <item x="187"/>
        <item x="354"/>
        <item x="1073"/>
        <item x="224"/>
        <item x="735"/>
        <item x="126"/>
        <item x="716"/>
        <item x="1101"/>
        <item x="618"/>
        <item x="1133"/>
        <item x="828"/>
        <item x="202"/>
        <item x="474"/>
        <item x="940"/>
        <item x="698"/>
        <item x="650"/>
        <item x="619"/>
        <item x="1143"/>
        <item x="714"/>
        <item x="436"/>
        <item x="931"/>
        <item x="346"/>
        <item x="362"/>
        <item x="423"/>
        <item x="722"/>
        <item x="980"/>
        <item x="752"/>
        <item x="554"/>
        <item x="409"/>
        <item x="569"/>
        <item x="553"/>
        <item x="164"/>
        <item x="271"/>
        <item x="56"/>
        <item x="415"/>
        <item x="63"/>
        <item x="22"/>
        <item x="712"/>
        <item x="1165"/>
        <item x="7"/>
        <item x="1193"/>
        <item x="72"/>
        <item x="639"/>
        <item x="792"/>
        <item x="287"/>
        <item x="759"/>
        <item x="272"/>
        <item x="1062"/>
        <item x="995"/>
        <item x="357"/>
        <item x="625"/>
        <item x="176"/>
        <item x="1136"/>
        <item x="1008"/>
        <item x="1164"/>
        <item x="294"/>
        <item x="199"/>
        <item x="157"/>
        <item x="1000"/>
        <item x="153"/>
        <item x="10"/>
        <item x="1173"/>
        <item x="1199"/>
        <item x="475"/>
        <item x="485"/>
        <item x="184"/>
        <item x="890"/>
        <item x="918"/>
        <item x="1180"/>
        <item x="922"/>
        <item x="923"/>
        <item x="131"/>
        <item x="999"/>
        <item x="295"/>
        <item x="1030"/>
        <item x="641"/>
        <item x="159"/>
        <item x="967"/>
        <item x="675"/>
        <item x="15"/>
        <item x="459"/>
        <item x="528"/>
        <item x="526"/>
        <item x="949"/>
        <item x="655"/>
        <item x="1168"/>
        <item x="234"/>
        <item x="1036"/>
        <item x="868"/>
        <item x="450"/>
        <item x="163"/>
        <item x="368"/>
        <item x="904"/>
        <item x="916"/>
        <item x="991"/>
        <item x="1184"/>
        <item x="1105"/>
        <item x="1191"/>
        <item x="808"/>
        <item x="571"/>
        <item x="256"/>
        <item x="1041"/>
        <item x="648"/>
        <item x="1104"/>
        <item x="627"/>
        <item x="958"/>
        <item x="353"/>
        <item x="161"/>
        <item x="541"/>
        <item x="837"/>
        <item x="676"/>
        <item x="622"/>
        <item x="817"/>
        <item x="628"/>
        <item x="64"/>
        <item x="895"/>
        <item x="860"/>
        <item x="179"/>
        <item x="21"/>
        <item x="401"/>
        <item x="113"/>
        <item x="600"/>
        <item x="963"/>
        <item x="387"/>
        <item x="1045"/>
        <item x="876"/>
        <item x="533"/>
        <item x="720"/>
        <item x="898"/>
        <item x="332"/>
        <item x="1017"/>
        <item x="613"/>
        <item x="6"/>
        <item x="135"/>
        <item x="1178"/>
        <item x="530"/>
        <item x="897"/>
        <item x="93"/>
        <item x="993"/>
        <item x="414"/>
        <item x="192"/>
        <item x="612"/>
        <item x="928"/>
        <item x="1163"/>
        <item x="1071"/>
        <item x="773"/>
        <item x="27"/>
        <item x="764"/>
        <item x="1190"/>
        <item x="593"/>
        <item x="832"/>
        <item x="574"/>
        <item x="149"/>
        <item x="371"/>
        <item x="1198"/>
        <item x="279"/>
        <item x="657"/>
        <item x="691"/>
        <item x="315"/>
        <item x="929"/>
        <item x="250"/>
        <item x="952"/>
        <item x="869"/>
        <item x="758"/>
        <item x="565"/>
        <item x="185"/>
        <item x="442"/>
        <item x="558"/>
        <item x="664"/>
        <item x="727"/>
        <item x="537"/>
        <item x="859"/>
        <item x="624"/>
        <item x="128"/>
        <item x="456"/>
        <item x="1103"/>
        <item x="1112"/>
        <item x="1013"/>
        <item x="1066"/>
        <item x="810"/>
        <item x="653"/>
        <item x="997"/>
        <item x="768"/>
        <item x="504"/>
        <item x="924"/>
        <item x="310"/>
        <item x="1099"/>
        <item x="629"/>
        <item x="732"/>
        <item x="597"/>
        <item x="961"/>
        <item x="377"/>
        <item x="1115"/>
        <item x="936"/>
        <item x="503"/>
        <item x="855"/>
        <item x="775"/>
        <item x="919"/>
        <item x="281"/>
        <item x="303"/>
        <item x="385"/>
        <item x="482"/>
        <item x="564"/>
        <item x="581"/>
        <item x="361"/>
        <item x="734"/>
        <item x="125"/>
        <item x="577"/>
        <item x="524"/>
        <item x="915"/>
        <item x="847"/>
        <item x="85"/>
        <item x="1029"/>
        <item x="243"/>
        <item x="1174"/>
        <item x="25"/>
        <item x="851"/>
        <item x="925"/>
        <item x="751"/>
        <item x="416"/>
        <item x="685"/>
        <item x="173"/>
        <item x="1192"/>
        <item x="309"/>
        <item x="891"/>
        <item x="1019"/>
        <item x="681"/>
        <item x="1048"/>
        <item x="1001"/>
        <item x="227"/>
        <item x="836"/>
        <item x="174"/>
        <item x="419"/>
        <item x="299"/>
        <item x="984"/>
        <item x="1088"/>
        <item x="643"/>
        <item x="746"/>
        <item x="570"/>
        <item x="976"/>
        <item x="438"/>
        <item x="1111"/>
        <item x="791"/>
        <item x="844"/>
        <item x="856"/>
        <item x="508"/>
        <item x="1172"/>
        <item x="1070"/>
        <item x="692"/>
        <item x="1102"/>
        <item x="1169"/>
        <item x="834"/>
        <item x="709"/>
        <item x="575"/>
        <item x="989"/>
        <item x="1006"/>
        <item x="974"/>
        <item x="862"/>
        <item x="1149"/>
        <item x="525"/>
        <item x="696"/>
        <item x="24"/>
        <item x="489"/>
        <item x="1065"/>
        <item x="580"/>
        <item x="3"/>
        <item x="136"/>
        <item x="382"/>
        <item x="608"/>
        <item x="896"/>
        <item x="737"/>
        <item x="1181"/>
        <item x="1114"/>
        <item x="1100"/>
        <item x="977"/>
        <item x="319"/>
        <item x="392"/>
        <item x="731"/>
        <item x="684"/>
        <item x="717"/>
        <item x="1052"/>
        <item x="550"/>
        <item x="421"/>
        <item x="1195"/>
        <item x="505"/>
        <item x="988"/>
        <item x="440"/>
        <item x="1106"/>
        <item x="251"/>
        <item x="132"/>
        <item x="585"/>
        <item x="122"/>
        <item x="557"/>
        <item x="1078"/>
        <item x="973"/>
        <item x="424"/>
        <item x="704"/>
        <item x="216"/>
        <item x="509"/>
        <item x="695"/>
        <item x="799"/>
        <item x="292"/>
        <item x="484"/>
        <item x="913"/>
        <item x="340"/>
        <item x="818"/>
        <item x="257"/>
        <item x="826"/>
        <item x="34"/>
        <item x="144"/>
        <item x="258"/>
        <item x="715"/>
        <item x="880"/>
        <item x="403"/>
        <item x="957"/>
        <item x="453"/>
        <item x="408"/>
        <item x="552"/>
        <item x="757"/>
        <item x="790"/>
        <item x="1129"/>
        <item x="325"/>
        <item x="322"/>
        <item x="451"/>
        <item x="892"/>
        <item x="1148"/>
        <item x="1147"/>
        <item x="5"/>
        <item x="40"/>
        <item x="780"/>
        <item x="211"/>
        <item x="349"/>
        <item x="604"/>
        <item x="209"/>
        <item x="914"/>
        <item x="535"/>
        <item x="599"/>
        <item x="861"/>
        <item x="682"/>
        <item x="488"/>
        <item x="308"/>
        <item x="18"/>
        <item x="455"/>
        <item x="114"/>
        <item x="549"/>
        <item x="738"/>
        <item x="582"/>
        <item x="874"/>
        <item x="711"/>
        <item x="1171"/>
        <item x="468"/>
        <item x="671"/>
        <item x="733"/>
        <item x="1024"/>
        <item x="1188"/>
        <item x="158"/>
        <item x="870"/>
        <item x="140"/>
        <item x="1043"/>
        <item x="932"/>
        <item x="265"/>
        <item x="926"/>
        <item x="998"/>
        <item x="333"/>
        <item x="555"/>
        <item x="1074"/>
        <item x="556"/>
        <item x="983"/>
        <item x="244"/>
        <item x="786"/>
        <item x="1179"/>
        <item x="1109"/>
        <item x="1137"/>
        <item x="342"/>
        <item x="1142"/>
        <item x="821"/>
        <item x="783"/>
        <item x="252"/>
        <item x="270"/>
        <item x="118"/>
        <item x="774"/>
        <item x="819"/>
        <item x="743"/>
        <item x="854"/>
        <item x="420"/>
        <item x="772"/>
        <item x="1056"/>
        <item x="718"/>
        <item x="586"/>
        <item x="602"/>
        <item x="188"/>
        <item x="220"/>
        <item x="945"/>
        <item x="280"/>
        <item x="1126"/>
        <item x="134"/>
        <item x="742"/>
        <item x="205"/>
        <item x="1154"/>
        <item x="813"/>
        <item x="1046"/>
        <item x="105"/>
        <item x="238"/>
        <item x="493"/>
        <item x="583"/>
        <item x="1095"/>
        <item x="249"/>
        <item x="1122"/>
        <item x="2"/>
        <item x="838"/>
        <item x="189"/>
        <item x="418"/>
        <item x="89"/>
        <item x="815"/>
        <item x="713"/>
        <item x="406"/>
        <item x="933"/>
        <item x="355"/>
        <item x="1153"/>
        <item x="106"/>
        <item x="367"/>
        <item x="101"/>
        <item x="534"/>
        <item x="390"/>
        <item x="359"/>
        <item x="1096"/>
        <item x="795"/>
        <item x="749"/>
        <item x="568"/>
        <item x="284"/>
        <item x="88"/>
        <item x="275"/>
        <item x="69"/>
        <item x="490"/>
        <item x="1003"/>
        <item x="822"/>
        <item x="1050"/>
        <item x="516"/>
        <item x="328"/>
        <item x="130"/>
        <item x="247"/>
        <item x="373"/>
        <item x="214"/>
        <item x="222"/>
        <item x="398"/>
        <item x="84"/>
        <item x="96"/>
        <item x="1007"/>
        <item x="242"/>
        <item x="1002"/>
        <item x="649"/>
        <item x="578"/>
        <item x="673"/>
        <item x="992"/>
        <item x="1177"/>
        <item x="200"/>
        <item x="523"/>
        <item x="35"/>
        <item x="393"/>
        <item x="785"/>
        <item x="806"/>
        <item x="481"/>
        <item x="687"/>
        <item x="934"/>
        <item x="207"/>
        <item x="666"/>
        <item x="302"/>
        <item x="544"/>
        <item x="269"/>
        <item x="73"/>
        <item x="954"/>
        <item x="264"/>
        <item x="286"/>
        <item x="465"/>
        <item x="950"/>
        <item x="776"/>
        <item x="948"/>
        <item x="823"/>
        <item x="231"/>
        <item x="1110"/>
        <item x="1072"/>
        <item x="388"/>
        <item x="987"/>
        <item x="1022"/>
        <item x="267"/>
        <item x="116"/>
        <item x="183"/>
        <item x="1076"/>
        <item x="107"/>
        <item x="363"/>
        <item x="1063"/>
        <item x="594"/>
        <item x="326"/>
        <item x="1189"/>
        <item x="576"/>
        <item x="365"/>
        <item x="1031"/>
        <item x="883"/>
        <item x="800"/>
        <item x="1009"/>
        <item x="473"/>
        <item x="263"/>
        <item x="68"/>
        <item x="208"/>
        <item x="972"/>
        <item x="374"/>
        <item x="329"/>
        <item x="1033"/>
        <item x="959"/>
        <item x="1012"/>
        <item x="389"/>
        <item x="767"/>
        <item x="276"/>
        <item x="148"/>
        <item x="680"/>
        <item x="502"/>
        <item x="169"/>
        <item x="457"/>
        <item x="590"/>
        <item x="1058"/>
        <item x="1079"/>
        <item x="364"/>
        <item x="301"/>
        <item x="921"/>
        <item x="659"/>
        <item x="763"/>
        <item x="141"/>
        <item x="739"/>
        <item x="781"/>
        <item x="1134"/>
        <item x="434"/>
        <item x="937"/>
        <item x="344"/>
        <item x="178"/>
        <item x="689"/>
        <item x="147"/>
        <item x="466"/>
        <item x="522"/>
        <item x="311"/>
        <item x="640"/>
        <item x="540"/>
        <item x="1087"/>
        <item x="422"/>
        <item x="877"/>
        <item x="886"/>
        <item x="517"/>
        <item x="240"/>
        <item x="1131"/>
        <item x="793"/>
        <item x="560"/>
        <item x="1170"/>
        <item x="1005"/>
        <item x="1080"/>
        <item x="761"/>
        <item x="705"/>
        <item x="103"/>
        <item x="198"/>
        <item x="589"/>
        <item x="43"/>
        <item x="850"/>
        <item x="143"/>
        <item x="798"/>
        <item x="291"/>
        <item x="300"/>
        <item x="404"/>
        <item x="296"/>
        <item x="110"/>
        <item x="228"/>
        <item x="884"/>
        <item x="563"/>
        <item x="53"/>
        <item x="76"/>
        <item x="75"/>
        <item x="964"/>
        <item x="426"/>
        <item x="397"/>
        <item x="942"/>
        <item x="762"/>
        <item x="981"/>
        <item x="1069"/>
        <item x="1023"/>
        <item x="225"/>
        <item x="965"/>
        <item x="431"/>
        <item x="99"/>
        <item x="760"/>
        <item x="137"/>
        <item x="41"/>
        <item x="1098"/>
        <item x="725"/>
        <item x="605"/>
        <item x="852"/>
        <item x="656"/>
        <item x="827"/>
        <item x="769"/>
        <item x="233"/>
        <item x="744"/>
        <item x="124"/>
        <item x="700"/>
        <item x="127"/>
        <item x="543"/>
        <item x="536"/>
        <item x="1176"/>
        <item x="55"/>
        <item x="331"/>
        <item x="1047"/>
        <item x="1128"/>
        <item x="410"/>
        <item x="229"/>
        <item x="472"/>
        <item x="95"/>
        <item x="358"/>
        <item x="461"/>
        <item x="845"/>
        <item x="908"/>
        <item x="60"/>
        <item x="478"/>
        <item x="458"/>
        <item x="492"/>
        <item x="1068"/>
        <item x="542"/>
        <item x="375"/>
        <item x="1075"/>
        <item x="491"/>
        <item x="538"/>
        <item x="1083"/>
        <item x="1120"/>
        <item x="166"/>
        <item x="888"/>
        <item x="181"/>
        <item x="811"/>
        <item x="882"/>
        <item x="678"/>
        <item x="1091"/>
        <item x="825"/>
        <item x="1092"/>
        <item x="708"/>
        <item x="971"/>
        <item x="378"/>
        <item x="642"/>
        <item x="947"/>
        <item x="282"/>
        <item x="1020"/>
        <item x="927"/>
        <item x="903"/>
        <item x="1057"/>
        <item x="384"/>
        <item x="79"/>
        <item x="155"/>
        <item x="383"/>
        <item x="501"/>
        <item x="766"/>
        <item x="879"/>
        <item x="65"/>
        <item x="636"/>
        <item x="236"/>
        <item x="1059"/>
        <item x="651"/>
        <item x="496"/>
        <item x="360"/>
        <item x="445"/>
        <item x="1040"/>
        <item x="985"/>
        <item x="171"/>
        <item x="745"/>
        <item x="966"/>
        <item x="334"/>
        <item x="97"/>
        <item x="1144"/>
        <item x="59"/>
        <item x="306"/>
        <item x="905"/>
        <item x="370"/>
        <item x="1011"/>
        <item x="679"/>
        <item x="145"/>
        <item x="146"/>
        <item x="469"/>
        <item x="857"/>
        <item x="899"/>
        <item x="787"/>
        <item x="8"/>
        <item x="946"/>
        <item x="572"/>
        <item x="669"/>
        <item x="506"/>
        <item x="1157"/>
        <item x="824"/>
        <item x="104"/>
        <item x="356"/>
        <item x="1162"/>
        <item x="912"/>
        <item x="196"/>
        <item x="441"/>
        <item x="61"/>
        <item x="91"/>
        <item x="901"/>
        <item x="92"/>
        <item x="14"/>
        <item x="614"/>
        <item x="1197"/>
        <item x="728"/>
        <item x="1145"/>
        <item x="730"/>
        <item x="784"/>
        <item x="112"/>
        <item x="314"/>
        <item x="683"/>
        <item x="1039"/>
        <item x="843"/>
        <item x="782"/>
        <item x="98"/>
        <item x="1158"/>
        <item x="248"/>
        <item x="1127"/>
        <item x="1038"/>
        <item x="437"/>
        <item x="559"/>
        <item x="740"/>
        <item x="830"/>
        <item x="0"/>
        <item x="462"/>
        <item x="463"/>
        <item x="956"/>
        <item x="460"/>
        <item x="756"/>
        <item x="439"/>
        <item x="36"/>
        <item x="394"/>
        <item x="241"/>
        <item x="9"/>
        <item x="167"/>
        <item x="232"/>
        <item x="31"/>
        <item x="566"/>
        <item x="288"/>
        <item x="432"/>
        <item x="318"/>
        <item x="52"/>
        <item x="1004"/>
        <item x="13"/>
        <item x="16"/>
        <item x="601"/>
        <item x="1054"/>
        <item x="412"/>
        <item x="1016"/>
        <item x="1055"/>
        <item x="1090"/>
        <item x="894"/>
        <item x="765"/>
        <item x="994"/>
        <item x="647"/>
        <item x="616"/>
        <item x="117"/>
        <item x="42"/>
        <item x="978"/>
        <item x="156"/>
        <item x="1028"/>
        <item x="237"/>
        <item x="701"/>
        <item x="154"/>
        <item x="975"/>
        <item x="1025"/>
        <item x="186"/>
        <item x="777"/>
        <item x="848"/>
        <item x="1014"/>
        <item x="1146"/>
        <item x="592"/>
        <item x="867"/>
        <item x="1161"/>
        <item x="1015"/>
        <item x="519"/>
        <item x="688"/>
        <item x="289"/>
        <item x="351"/>
        <item x="803"/>
        <item x="794"/>
        <item x="729"/>
        <item x="239"/>
        <item x="1121"/>
        <item x="654"/>
        <item x="215"/>
        <item x="849"/>
        <item x="812"/>
        <item x="1135"/>
        <item x="1160"/>
        <item x="165"/>
        <item x="955"/>
        <item x="617"/>
        <item x="119"/>
        <item x="400"/>
        <item x="662"/>
        <item x="548"/>
        <item x="866"/>
        <item x="313"/>
        <item x="551"/>
        <item x="1185"/>
        <item x="206"/>
        <item x="753"/>
        <item x="1152"/>
        <item x="521"/>
        <item x="833"/>
        <item x="863"/>
        <item x="111"/>
        <item x="677"/>
        <item x="906"/>
        <item x="816"/>
        <item x="66"/>
        <item x="413"/>
        <item x="278"/>
        <item x="51"/>
        <item x="1141"/>
        <item x="28"/>
        <item x="665"/>
        <item x="476"/>
        <item x="58"/>
        <item x="839"/>
        <item x="660"/>
        <item x="204"/>
        <item x="1037"/>
        <item x="1108"/>
        <item x="139"/>
        <item x="872"/>
        <item x="193"/>
        <item x="1116"/>
        <item x="741"/>
        <item x="444"/>
        <item x="630"/>
        <item x="1093"/>
        <item x="86"/>
        <item x="706"/>
        <item x="893"/>
        <item x="944"/>
        <item x="213"/>
        <item x="133"/>
        <item x="515"/>
        <item x="907"/>
        <item x="467"/>
        <item x="255"/>
        <item x="305"/>
        <item x="637"/>
        <item x="842"/>
        <item x="938"/>
        <item x="33"/>
        <item x="633"/>
        <item x="809"/>
        <item x="1156"/>
        <item x="805"/>
        <item x="694"/>
        <item x="339"/>
        <item x="427"/>
        <item x="454"/>
        <item x="499"/>
        <item x="968"/>
        <item x="672"/>
        <item x="1113"/>
        <item x="670"/>
        <item x="307"/>
        <item x="667"/>
        <item x="197"/>
        <item x="520"/>
        <item x="1167"/>
        <item x="486"/>
        <item x="293"/>
        <item x="402"/>
        <item x="1"/>
        <item x="770"/>
        <item x="285"/>
        <item x="889"/>
        <item x="661"/>
        <item x="20"/>
        <item x="532"/>
        <item x="858"/>
        <item x="609"/>
        <item x="23"/>
        <item x="500"/>
        <item x="820"/>
        <item x="47"/>
        <item x="513"/>
        <item x="873"/>
        <item x="1186"/>
        <item x="801"/>
        <item x="324"/>
        <item x="320"/>
        <item x="982"/>
        <item x="1061"/>
        <item x="46"/>
        <item x="1067"/>
        <item x="771"/>
        <item x="621"/>
        <item x="789"/>
        <item x="477"/>
        <item x="120"/>
        <item x="1132"/>
        <item x="70"/>
        <item x="1150"/>
        <item x="366"/>
        <item x="969"/>
        <item x="610"/>
        <item x="87"/>
        <item x="686"/>
        <item x="428"/>
        <item x="32"/>
        <item x="338"/>
        <item x="724"/>
        <item x="1182"/>
        <item x="539"/>
        <item x="547"/>
        <item x="494"/>
        <item x="1027"/>
        <item x="1042"/>
        <item x="429"/>
        <item x="268"/>
        <item x="260"/>
        <item x="878"/>
        <item x="471"/>
        <item x="259"/>
        <item x="142"/>
        <item x="94"/>
        <item x="283"/>
        <item x="201"/>
        <item x="917"/>
        <item x="1051"/>
        <item x="887"/>
        <item x="996"/>
        <item x="323"/>
        <item x="483"/>
        <item x="464"/>
        <item x="190"/>
        <item x="990"/>
        <item x="511"/>
        <item x="312"/>
        <item x="710"/>
        <item x="381"/>
        <item x="1107"/>
        <item x="11"/>
        <item x="274"/>
        <item x="900"/>
        <item x="77"/>
        <item x="778"/>
        <item x="405"/>
        <item x="573"/>
        <item x="45"/>
        <item x="102"/>
        <item x="970"/>
        <item x="1077"/>
        <item x="603"/>
        <item x="380"/>
        <item x="909"/>
        <item x="417"/>
        <item x="1097"/>
        <item x="218"/>
        <item x="587"/>
        <item x="109"/>
        <item x="470"/>
        <item x="336"/>
        <item x="261"/>
        <item x="447"/>
        <item x="221"/>
        <item x="83"/>
        <item x="80"/>
        <item x="510"/>
        <item x="1034"/>
        <item x="674"/>
        <item x="50"/>
        <item x="1196"/>
        <item x="1159"/>
        <item x="230"/>
        <item x="348"/>
        <item x="449"/>
        <item x="588"/>
        <item x="902"/>
        <item x="606"/>
        <item x="1035"/>
        <item x="607"/>
        <item x="507"/>
        <item x="853"/>
        <item x="210"/>
        <item x="645"/>
        <item x="631"/>
        <item x="396"/>
        <item x="448"/>
        <item x="67"/>
        <item x="807"/>
        <item x="345"/>
        <item x="57"/>
        <item x="498"/>
        <item x="518"/>
        <item x="160"/>
        <item x="123"/>
        <item x="1183"/>
        <item x="446"/>
        <item x="433"/>
        <item x="699"/>
        <item x="253"/>
        <item x="546"/>
        <item x="129"/>
        <item x="1044"/>
        <item x="598"/>
        <item x="78"/>
        <item x="979"/>
        <item x="316"/>
        <item x="623"/>
        <item x="626"/>
        <item x="411"/>
        <item x="960"/>
        <item x="235"/>
        <item x="81"/>
        <item x="487"/>
        <item x="962"/>
        <item x="82"/>
        <item x="754"/>
        <item x="391"/>
        <item x="707"/>
        <item x="1138"/>
        <item x="831"/>
        <item x="1139"/>
        <item x="26"/>
        <item x="632"/>
        <item x="638"/>
        <item x="615"/>
        <item x="30"/>
        <item x="44"/>
        <item x="172"/>
        <item x="182"/>
        <item x="266"/>
        <item x="881"/>
        <item x="951"/>
        <item x="203"/>
        <item x="1151"/>
        <item x="273"/>
        <item x="12"/>
        <item x="430"/>
        <item x="29"/>
        <item x="443"/>
        <item x="1082"/>
        <item x="321"/>
        <item x="170"/>
        <item x="386"/>
        <item x="1086"/>
        <item x="219"/>
        <item x="584"/>
        <item x="1119"/>
        <item x="217"/>
        <item x="327"/>
        <item x="1084"/>
        <item x="1049"/>
        <item x="723"/>
        <item x="1085"/>
        <item x="1026"/>
        <item x="246"/>
        <item x="865"/>
        <item x="871"/>
        <item x="407"/>
        <item x="479"/>
        <item x="138"/>
        <item x="690"/>
        <item x="100"/>
        <item x="875"/>
        <item x="693"/>
        <item x="352"/>
        <item x="939"/>
        <item x="1166"/>
        <item x="591"/>
        <item x="747"/>
        <item x="829"/>
        <item x="1094"/>
        <item x="1123"/>
        <item x="797"/>
        <item x="1032"/>
        <item x="841"/>
        <item x="941"/>
        <item x="721"/>
        <item x="277"/>
        <item x="4"/>
        <item x="796"/>
        <item x="399"/>
        <item x="376"/>
        <item x="17"/>
        <item x="658"/>
        <item x="562"/>
        <item x="750"/>
        <item x="115"/>
        <item x="620"/>
        <item x="986"/>
        <item x="702"/>
        <item x="48"/>
        <item x="703"/>
        <item x="226"/>
        <item x="1187"/>
        <item x="37"/>
        <item x="596"/>
        <item x="341"/>
        <item x="347"/>
        <item x="1140"/>
        <item x="497"/>
        <item x="663"/>
        <item x="1010"/>
        <item x="635"/>
        <item x="1021"/>
        <item x="545"/>
        <item x="531"/>
        <item x="369"/>
        <item x="54"/>
        <item x="304"/>
        <item x="611"/>
        <item x="150"/>
        <item x="108"/>
        <item x="121"/>
        <item x="1081"/>
        <item x="337"/>
        <item x="748"/>
        <item x="726"/>
        <item x="39"/>
        <item x="480"/>
        <item x="634"/>
        <item x="527"/>
        <item x="788"/>
        <item x="350"/>
        <item x="864"/>
        <item x="561"/>
        <item x="804"/>
        <item x="194"/>
        <item x="62"/>
        <item x="1124"/>
        <item x="1018"/>
        <item x="317"/>
        <item x="1155"/>
        <item x="567"/>
        <item x="74"/>
        <item x="652"/>
        <item x="254"/>
        <item x="90"/>
        <item x="930"/>
        <item x="885"/>
        <item x="290"/>
        <item x="262"/>
        <item x="372"/>
        <item x="579"/>
        <item x="644"/>
        <item x="195"/>
        <item x="814"/>
        <item x="911"/>
        <item x="297"/>
        <item x="779"/>
        <item x="298"/>
        <item x="177"/>
        <item x="212"/>
        <item x="1130"/>
        <item x="495"/>
        <item x="646"/>
        <item x="935"/>
        <item x="1118"/>
        <item x="529"/>
        <item x="175"/>
        <item x="755"/>
        <item x="910"/>
        <item x="1117"/>
        <item x="1125"/>
        <item x="514"/>
        <item x="802"/>
        <item x="697"/>
        <item x="835"/>
        <item x="452"/>
        <item x="71"/>
        <item x="953"/>
        <item x="395"/>
        <item x="168"/>
        <item x="943"/>
        <item x="151"/>
        <item x="162"/>
        <item x="1060"/>
        <item x="719"/>
        <item x="49"/>
        <item x="668"/>
        <item x="245"/>
        <item x="736"/>
        <item x="152"/>
        <item x="330"/>
        <item x="512"/>
        <item x="38"/>
        <item x="1064"/>
        <item x="42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dragToRow="0" dragToCol="0" dragToPage="0" showAll="0" defaultSubtotal="0"/>
  </pivotFields>
  <rowItems count="1">
    <i/>
  </rowItems>
  <colItems count="1">
    <i/>
  </colItems>
  <dataFields count="1">
    <dataField name="Sum of COGS_USD" fld="5" baseField="0" baseItem="0" numFmtId="166"/>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2459A1-C6B2-47F4-9805-E79441154893}" name="PivotTable2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 rowHeaderCaption="Sales Channel">
  <location ref="F78:F79" firstHeaderRow="1" firstDataRow="1" firstDataCol="0"/>
  <pivotFields count="16">
    <pivotField numFmtId="14" showAll="0">
      <items count="601">
        <item x="79"/>
        <item x="511"/>
        <item x="199"/>
        <item x="86"/>
        <item x="123"/>
        <item x="525"/>
        <item x="29"/>
        <item x="99"/>
        <item x="467"/>
        <item x="346"/>
        <item x="559"/>
        <item x="325"/>
        <item x="52"/>
        <item x="138"/>
        <item x="242"/>
        <item x="151"/>
        <item x="168"/>
        <item x="300"/>
        <item x="313"/>
        <item x="442"/>
        <item x="422"/>
        <item x="187"/>
        <item x="225"/>
        <item x="159"/>
        <item x="380"/>
        <item x="165"/>
        <item x="431"/>
        <item x="474"/>
        <item x="512"/>
        <item x="144"/>
        <item x="154"/>
        <item x="73"/>
        <item x="129"/>
        <item x="360"/>
        <item x="108"/>
        <item x="88"/>
        <item x="318"/>
        <item x="460"/>
        <item x="358"/>
        <item x="553"/>
        <item x="43"/>
        <item x="240"/>
        <item x="424"/>
        <item x="207"/>
        <item x="447"/>
        <item x="569"/>
        <item x="576"/>
        <item x="149"/>
        <item x="173"/>
        <item x="222"/>
        <item x="537"/>
        <item x="493"/>
        <item x="497"/>
        <item x="49"/>
        <item x="238"/>
        <item x="364"/>
        <item x="492"/>
        <item x="304"/>
        <item x="558"/>
        <item x="290"/>
        <item x="87"/>
        <item x="509"/>
        <item x="139"/>
        <item x="298"/>
        <item x="219"/>
        <item x="117"/>
        <item x="428"/>
        <item x="591"/>
        <item x="175"/>
        <item x="102"/>
        <item x="323"/>
        <item x="599"/>
        <item x="595"/>
        <item x="375"/>
        <item x="554"/>
        <item x="80"/>
        <item x="122"/>
        <item x="486"/>
        <item x="51"/>
        <item x="314"/>
        <item x="205"/>
        <item x="0"/>
        <item x="39"/>
        <item x="388"/>
        <item x="434"/>
        <item x="189"/>
        <item x="137"/>
        <item x="93"/>
        <item x="84"/>
        <item x="438"/>
        <item x="120"/>
        <item x="127"/>
        <item x="177"/>
        <item x="295"/>
        <item x="47"/>
        <item x="152"/>
        <item x="403"/>
        <item x="232"/>
        <item x="582"/>
        <item x="289"/>
        <item x="46"/>
        <item x="475"/>
        <item x="371"/>
        <item x="167"/>
        <item x="261"/>
        <item x="389"/>
        <item x="188"/>
        <item x="457"/>
        <item x="463"/>
        <item x="367"/>
        <item x="355"/>
        <item x="294"/>
        <item x="465"/>
        <item x="118"/>
        <item x="251"/>
        <item x="212"/>
        <item x="254"/>
        <item x="476"/>
        <item x="478"/>
        <item x="423"/>
        <item x="69"/>
        <item x="27"/>
        <item x="437"/>
        <item x="31"/>
        <item x="310"/>
        <item x="377"/>
        <item x="521"/>
        <item x="311"/>
        <item x="213"/>
        <item x="107"/>
        <item x="32"/>
        <item x="452"/>
        <item x="541"/>
        <item x="223"/>
        <item x="291"/>
        <item x="510"/>
        <item x="579"/>
        <item x="427"/>
        <item x="505"/>
        <item x="539"/>
        <item x="383"/>
        <item x="36"/>
        <item x="317"/>
        <item x="362"/>
        <item x="155"/>
        <item x="359"/>
        <item x="548"/>
        <item x="384"/>
        <item x="469"/>
        <item x="246"/>
        <item x="279"/>
        <item x="296"/>
        <item x="191"/>
        <item x="508"/>
        <item x="148"/>
        <item x="305"/>
        <item x="575"/>
        <item x="19"/>
        <item x="373"/>
        <item x="163"/>
        <item x="536"/>
        <item x="285"/>
        <item x="44"/>
        <item x="392"/>
        <item x="104"/>
        <item x="264"/>
        <item x="8"/>
        <item x="566"/>
        <item x="301"/>
        <item x="363"/>
        <item x="190"/>
        <item x="81"/>
        <item x="209"/>
        <item x="394"/>
        <item x="164"/>
        <item x="498"/>
        <item x="540"/>
        <item x="255"/>
        <item x="297"/>
        <item x="265"/>
        <item x="195"/>
        <item x="523"/>
        <item x="516"/>
        <item x="142"/>
        <item x="162"/>
        <item x="321"/>
        <item x="468"/>
        <item x="239"/>
        <item x="564"/>
        <item x="439"/>
        <item x="92"/>
        <item x="574"/>
        <item x="387"/>
        <item x="237"/>
        <item x="128"/>
        <item x="315"/>
        <item x="385"/>
        <item x="258"/>
        <item x="551"/>
        <item x="281"/>
        <item x="596"/>
        <item x="75"/>
        <item x="494"/>
        <item x="115"/>
        <item x="146"/>
        <item x="473"/>
        <item x="48"/>
        <item x="354"/>
        <item x="425"/>
        <item x="249"/>
        <item x="462"/>
        <item x="106"/>
        <item x="587"/>
        <item x="366"/>
        <item x="169"/>
        <item x="160"/>
        <item x="259"/>
        <item x="417"/>
        <item x="275"/>
        <item x="446"/>
        <item x="215"/>
        <item x="583"/>
        <item x="507"/>
        <item x="267"/>
        <item x="170"/>
        <item x="231"/>
        <item x="5"/>
        <item x="503"/>
        <item x="57"/>
        <item x="334"/>
        <item x="59"/>
        <item x="408"/>
        <item x="235"/>
        <item x="76"/>
        <item x="109"/>
        <item x="268"/>
        <item x="119"/>
        <item x="410"/>
        <item x="405"/>
        <item x="157"/>
        <item x="276"/>
        <item x="557"/>
        <item x="584"/>
        <item x="531"/>
        <item x="101"/>
        <item x="593"/>
        <item x="543"/>
        <item x="370"/>
        <item x="156"/>
        <item x="236"/>
        <item x="89"/>
        <item x="200"/>
        <item x="252"/>
        <item x="82"/>
        <item x="181"/>
        <item x="150"/>
        <item x="597"/>
        <item x="182"/>
        <item x="485"/>
        <item x="495"/>
        <item x="546"/>
        <item x="350"/>
        <item x="241"/>
        <item x="560"/>
        <item x="538"/>
        <item x="95"/>
        <item x="153"/>
        <item x="562"/>
        <item x="445"/>
        <item x="535"/>
        <item x="65"/>
        <item x="544"/>
        <item x="299"/>
        <item x="1"/>
        <item x="327"/>
        <item x="577"/>
        <item x="443"/>
        <item x="83"/>
        <item x="216"/>
        <item x="528"/>
        <item x="263"/>
        <item x="345"/>
        <item x="340"/>
        <item x="282"/>
        <item x="580"/>
        <item x="158"/>
        <item x="110"/>
        <item x="415"/>
        <item x="37"/>
        <item x="228"/>
        <item x="206"/>
        <item x="309"/>
        <item x="483"/>
        <item x="339"/>
        <item x="489"/>
        <item x="293"/>
        <item x="229"/>
        <item x="274"/>
        <item x="132"/>
        <item x="262"/>
        <item x="34"/>
        <item x="433"/>
        <item x="6"/>
        <item x="337"/>
        <item x="184"/>
        <item x="441"/>
        <item x="202"/>
        <item x="21"/>
        <item x="401"/>
        <item x="269"/>
        <item x="590"/>
        <item x="112"/>
        <item x="530"/>
        <item x="365"/>
        <item x="589"/>
        <item x="278"/>
        <item x="572"/>
        <item x="22"/>
        <item x="351"/>
        <item x="7"/>
        <item x="499"/>
        <item x="328"/>
        <item x="141"/>
        <item x="287"/>
        <item x="15"/>
        <item x="519"/>
        <item x="125"/>
        <item x="60"/>
        <item x="63"/>
        <item x="214"/>
        <item x="41"/>
        <item x="33"/>
        <item x="70"/>
        <item x="348"/>
        <item x="332"/>
        <item x="113"/>
        <item x="134"/>
        <item x="386"/>
        <item x="40"/>
        <item x="481"/>
        <item x="97"/>
        <item x="450"/>
        <item x="247"/>
        <item x="514"/>
        <item x="145"/>
        <item x="54"/>
        <item x="283"/>
        <item x="183"/>
        <item x="286"/>
        <item x="455"/>
        <item x="491"/>
        <item x="448"/>
        <item x="194"/>
        <item x="178"/>
        <item x="284"/>
        <item x="114"/>
        <item x="50"/>
        <item x="500"/>
        <item x="470"/>
        <item x="464"/>
        <item x="227"/>
        <item x="78"/>
        <item x="376"/>
        <item x="352"/>
        <item x="526"/>
        <item x="413"/>
        <item x="517"/>
        <item x="288"/>
        <item x="308"/>
        <item x="454"/>
        <item x="397"/>
        <item x="211"/>
        <item x="329"/>
        <item x="353"/>
        <item x="400"/>
        <item x="131"/>
        <item x="67"/>
        <item x="594"/>
        <item x="121"/>
        <item x="111"/>
        <item x="324"/>
        <item x="336"/>
        <item x="518"/>
        <item x="571"/>
        <item x="429"/>
        <item x="218"/>
        <item x="62"/>
        <item x="208"/>
        <item x="472"/>
        <item x="198"/>
        <item x="484"/>
        <item x="243"/>
        <item x="549"/>
        <item x="105"/>
        <item x="524"/>
        <item x="35"/>
        <item x="451"/>
        <item x="221"/>
        <item x="440"/>
        <item x="369"/>
        <item x="585"/>
        <item x="230"/>
        <item x="26"/>
        <item x="12"/>
        <item x="2"/>
        <item x="10"/>
        <item x="477"/>
        <item x="482"/>
        <item x="55"/>
        <item x="126"/>
        <item x="320"/>
        <item x="13"/>
        <item x="567"/>
        <item x="244"/>
        <item x="91"/>
        <item x="135"/>
        <item x="68"/>
        <item x="203"/>
        <item x="224"/>
        <item x="77"/>
        <item x="133"/>
        <item x="513"/>
        <item x="124"/>
        <item x="179"/>
        <item x="166"/>
        <item x="466"/>
        <item x="185"/>
        <item x="172"/>
        <item x="402"/>
        <item x="506"/>
        <item x="17"/>
        <item x="515"/>
        <item x="316"/>
        <item x="379"/>
        <item x="217"/>
        <item x="307"/>
        <item x="338"/>
        <item x="180"/>
        <item x="456"/>
        <item x="273"/>
        <item x="416"/>
        <item x="435"/>
        <item x="570"/>
        <item x="174"/>
        <item x="581"/>
        <item x="461"/>
        <item x="496"/>
        <item x="58"/>
        <item x="302"/>
        <item x="98"/>
        <item x="341"/>
        <item x="504"/>
        <item x="186"/>
        <item x="292"/>
        <item x="277"/>
        <item x="280"/>
        <item x="74"/>
        <item x="347"/>
        <item x="342"/>
        <item x="3"/>
        <item x="234"/>
        <item x="343"/>
        <item x="16"/>
        <item x="542"/>
        <item x="23"/>
        <item x="331"/>
        <item x="349"/>
        <item x="396"/>
        <item x="140"/>
        <item x="28"/>
        <item x="253"/>
        <item x="96"/>
        <item x="398"/>
        <item x="147"/>
        <item x="458"/>
        <item x="527"/>
        <item x="100"/>
        <item x="326"/>
        <item x="479"/>
        <item x="257"/>
        <item x="335"/>
        <item x="430"/>
        <item x="171"/>
        <item x="436"/>
        <item x="330"/>
        <item x="196"/>
        <item x="487"/>
        <item x="444"/>
        <item x="409"/>
        <item x="197"/>
        <item x="245"/>
        <item x="319"/>
        <item x="272"/>
        <item x="490"/>
        <item x="406"/>
        <item x="381"/>
        <item x="220"/>
        <item x="24"/>
        <item x="312"/>
        <item x="14"/>
        <item x="393"/>
        <item x="522"/>
        <item x="56"/>
        <item x="248"/>
        <item x="573"/>
        <item x="143"/>
        <item x="547"/>
        <item x="502"/>
        <item x="592"/>
        <item x="586"/>
        <item x="390"/>
        <item x="38"/>
        <item x="414"/>
        <item x="30"/>
        <item x="130"/>
        <item x="561"/>
        <item x="378"/>
        <item x="306"/>
        <item x="210"/>
        <item x="64"/>
        <item x="418"/>
        <item x="534"/>
        <item x="204"/>
        <item x="192"/>
        <item x="578"/>
        <item x="116"/>
        <item x="136"/>
        <item x="404"/>
        <item x="598"/>
        <item x="419"/>
        <item x="322"/>
        <item x="18"/>
        <item x="11"/>
        <item x="260"/>
        <item x="399"/>
        <item x="453"/>
        <item x="533"/>
        <item x="552"/>
        <item x="71"/>
        <item x="395"/>
        <item x="520"/>
        <item x="25"/>
        <item x="233"/>
        <item x="556"/>
        <item x="391"/>
        <item x="94"/>
        <item x="103"/>
        <item x="90"/>
        <item x="568"/>
        <item x="72"/>
        <item x="193"/>
        <item x="45"/>
        <item x="407"/>
        <item x="250"/>
        <item x="176"/>
        <item x="361"/>
        <item x="372"/>
        <item x="532"/>
        <item x="374"/>
        <item x="412"/>
        <item x="256"/>
        <item x="344"/>
        <item x="421"/>
        <item x="333"/>
        <item x="356"/>
        <item x="4"/>
        <item x="529"/>
        <item x="488"/>
        <item x="53"/>
        <item x="449"/>
        <item x="565"/>
        <item x="357"/>
        <item x="271"/>
        <item x="85"/>
        <item x="42"/>
        <item x="459"/>
        <item x="161"/>
        <item x="266"/>
        <item x="303"/>
        <item x="550"/>
        <item x="545"/>
        <item x="270"/>
        <item x="426"/>
        <item x="20"/>
        <item x="588"/>
        <item x="420"/>
        <item x="480"/>
        <item x="66"/>
        <item x="201"/>
        <item x="555"/>
        <item x="61"/>
        <item x="563"/>
        <item x="501"/>
        <item x="368"/>
        <item x="382"/>
        <item x="432"/>
        <item x="411"/>
        <item x="9"/>
        <item x="226"/>
        <item x="471"/>
        <item t="default"/>
      </items>
    </pivotField>
    <pivotField showAll="0">
      <items count="5">
        <item x="1"/>
        <item x="2"/>
        <item x="0"/>
        <item x="3"/>
        <item t="default"/>
      </items>
    </pivotField>
    <pivotField showAll="0">
      <items count="5">
        <item x="2"/>
        <item x="1"/>
        <item x="0"/>
        <item x="3"/>
        <item t="default"/>
      </items>
    </pivotField>
    <pivotField showAll="0">
      <items count="4">
        <item x="1"/>
        <item x="0"/>
        <item x="2"/>
        <item t="default"/>
      </items>
    </pivotField>
    <pivotField showAll="0">
      <items count="1197">
        <item x="78"/>
        <item x="100"/>
        <item x="135"/>
        <item x="575"/>
        <item x="174"/>
        <item x="610"/>
        <item x="730"/>
        <item x="508"/>
        <item x="55"/>
        <item x="315"/>
        <item x="1011"/>
        <item x="1113"/>
        <item x="1148"/>
        <item x="577"/>
        <item x="825"/>
        <item x="219"/>
        <item x="1166"/>
        <item x="375"/>
        <item x="672"/>
        <item x="563"/>
        <item x="214"/>
        <item x="981"/>
        <item x="615"/>
        <item x="355"/>
        <item x="109"/>
        <item x="103"/>
        <item x="145"/>
        <item x="516"/>
        <item x="953"/>
        <item x="889"/>
        <item x="998"/>
        <item x="849"/>
        <item x="553"/>
        <item x="476"/>
        <item x="443"/>
        <item x="625"/>
        <item x="1046"/>
        <item x="30"/>
        <item x="395"/>
        <item x="914"/>
        <item x="887"/>
        <item x="144"/>
        <item x="237"/>
        <item x="40"/>
        <item x="400"/>
        <item x="413"/>
        <item x="392"/>
        <item x="1172"/>
        <item x="172"/>
        <item x="149"/>
        <item x="69"/>
        <item x="325"/>
        <item x="283"/>
        <item x="346"/>
        <item x="1176"/>
        <item x="92"/>
        <item x="1020"/>
        <item x="943"/>
        <item x="1068"/>
        <item x="179"/>
        <item x="907"/>
        <item x="388"/>
        <item x="86"/>
        <item x="98"/>
        <item x="604"/>
        <item x="1006"/>
        <item x="382"/>
        <item x="222"/>
        <item x="331"/>
        <item x="217"/>
        <item x="1178"/>
        <item x="439"/>
        <item x="1137"/>
        <item x="756"/>
        <item x="743"/>
        <item x="793"/>
        <item x="28"/>
        <item x="671"/>
        <item x="840"/>
        <item x="710"/>
        <item x="364"/>
        <item x="105"/>
        <item x="115"/>
        <item x="409"/>
        <item x="712"/>
        <item x="350"/>
        <item x="674"/>
        <item x="139"/>
        <item x="527"/>
        <item x="197"/>
        <item x="1015"/>
        <item x="955"/>
        <item x="59"/>
        <item x="158"/>
        <item x="1026"/>
        <item x="776"/>
        <item x="425"/>
        <item x="728"/>
        <item x="383"/>
        <item x="1182"/>
        <item x="920"/>
        <item x="347"/>
        <item x="1136"/>
        <item x="454"/>
        <item x="75"/>
        <item x="1081"/>
        <item x="681"/>
        <item x="97"/>
        <item x="99"/>
        <item x="646"/>
        <item x="379"/>
        <item x="327"/>
        <item x="661"/>
        <item x="142"/>
        <item x="494"/>
        <item x="1175"/>
        <item x="265"/>
        <item x="330"/>
        <item x="565"/>
        <item x="853"/>
        <item x="540"/>
        <item x="258"/>
        <item x="833"/>
        <item x="1038"/>
        <item x="630"/>
        <item x="729"/>
        <item x="1070"/>
        <item x="123"/>
        <item x="1123"/>
        <item x="587"/>
        <item x="146"/>
        <item x="582"/>
        <item x="120"/>
        <item x="623"/>
        <item x="1104"/>
        <item x="1170"/>
        <item x="444"/>
        <item x="304"/>
        <item x="762"/>
        <item x="603"/>
        <item x="190"/>
        <item x="93"/>
        <item x="721"/>
        <item x="855"/>
        <item x="529"/>
        <item x="1069"/>
        <item x="1174"/>
        <item x="821"/>
        <item x="430"/>
        <item x="1162"/>
        <item x="50"/>
        <item x="1034"/>
        <item x="288"/>
        <item x="1187"/>
        <item x="1177"/>
        <item x="780"/>
        <item x="308"/>
        <item x="493"/>
        <item x="406"/>
        <item x="1049"/>
        <item x="345"/>
        <item x="488"/>
        <item x="545"/>
        <item x="733"/>
        <item x="858"/>
        <item x="1169"/>
        <item x="1050"/>
        <item x="1168"/>
        <item x="284"/>
        <item x="1110"/>
        <item x="440"/>
        <item x="396"/>
        <item x="918"/>
        <item x="768"/>
        <item x="724"/>
        <item x="617"/>
        <item x="62"/>
        <item x="1045"/>
        <item x="1016"/>
        <item x="1030"/>
        <item x="465"/>
        <item x="704"/>
        <item x="37"/>
        <item x="608"/>
        <item x="148"/>
        <item x="1075"/>
        <item x="171"/>
        <item x="463"/>
        <item x="134"/>
        <item x="453"/>
        <item x="173"/>
        <item x="831"/>
        <item x="515"/>
        <item x="535"/>
        <item x="1043"/>
        <item x="789"/>
        <item x="422"/>
        <item x="136"/>
        <item x="962"/>
        <item x="475"/>
        <item x="578"/>
        <item x="862"/>
        <item x="817"/>
        <item x="804"/>
        <item x="1158"/>
        <item x="195"/>
        <item x="467"/>
        <item x="177"/>
        <item x="814"/>
        <item x="452"/>
        <item x="913"/>
        <item x="445"/>
        <item x="57"/>
        <item x="585"/>
        <item x="960"/>
        <item x="792"/>
        <item x="626"/>
        <item x="361"/>
        <item x="1120"/>
        <item x="697"/>
        <item x="320"/>
        <item x="683"/>
        <item x="335"/>
        <item x="900"/>
        <item x="206"/>
        <item x="784"/>
        <item x="732"/>
        <item x="785"/>
        <item x="260"/>
        <item x="309"/>
        <item x="1139"/>
        <item x="1130"/>
        <item x="9"/>
        <item x="945"/>
        <item x="245"/>
        <item x="834"/>
        <item x="622"/>
        <item x="650"/>
        <item x="908"/>
        <item x="1053"/>
        <item x="456"/>
        <item x="916"/>
        <item x="902"/>
        <item x="827"/>
        <item x="151"/>
        <item x="352"/>
        <item x="464"/>
        <item x="957"/>
        <item x="746"/>
        <item x="875"/>
        <item x="901"/>
        <item x="911"/>
        <item x="693"/>
        <item x="274"/>
        <item x="193"/>
        <item x="951"/>
        <item x="501"/>
        <item x="289"/>
        <item x="1028"/>
        <item x="1145"/>
        <item x="160"/>
        <item x="25"/>
        <item x="338"/>
        <item x="959"/>
        <item x="727"/>
        <item x="1132"/>
        <item x="1084"/>
        <item x="45"/>
        <item x="725"/>
        <item x="49"/>
        <item x="381"/>
        <item x="261"/>
        <item x="1066"/>
        <item x="21"/>
        <item x="614"/>
        <item x="32"/>
        <item x="939"/>
        <item x="915"/>
        <item x="24"/>
        <item x="1156"/>
        <item x="368"/>
        <item x="15"/>
        <item x="102"/>
        <item x="490"/>
        <item x="218"/>
        <item x="600"/>
        <item x="270"/>
        <item x="885"/>
        <item x="241"/>
        <item x="507"/>
        <item x="663"/>
        <item x="1146"/>
        <item x="938"/>
        <item x="108"/>
        <item x="711"/>
        <item x="922"/>
        <item x="474"/>
        <item x="992"/>
        <item x="1033"/>
        <item x="299"/>
        <item x="324"/>
        <item x="1054"/>
        <item x="613"/>
        <item x="1000"/>
        <item x="353"/>
        <item x="645"/>
        <item x="298"/>
        <item x="253"/>
        <item x="740"/>
        <item x="94"/>
        <item x="766"/>
        <item x="38"/>
        <item x="832"/>
        <item x="567"/>
        <item x="965"/>
        <item x="971"/>
        <item x="380"/>
        <item x="616"/>
        <item x="1115"/>
        <item x="861"/>
        <item x="818"/>
        <item x="555"/>
        <item x="1057"/>
        <item x="1003"/>
        <item x="473"/>
        <item x="891"/>
        <item x="581"/>
        <item x="207"/>
        <item x="1025"/>
        <item x="638"/>
        <item x="707"/>
        <item x="921"/>
        <item x="1010"/>
        <item x="460"/>
        <item x="269"/>
        <item x="434"/>
        <item x="612"/>
        <item x="520"/>
        <item x="129"/>
        <item x="397"/>
        <item x="777"/>
        <item x="932"/>
        <item x="1023"/>
        <item x="843"/>
        <item x="696"/>
        <item x="870"/>
        <item x="877"/>
        <item x="764"/>
        <item x="941"/>
        <item x="850"/>
        <item x="1004"/>
        <item x="1085"/>
        <item x="127"/>
        <item x="595"/>
        <item x="221"/>
        <item x="892"/>
        <item x="470"/>
        <item x="429"/>
        <item x="141"/>
        <item x="874"/>
        <item x="424"/>
        <item x="111"/>
        <item x="1190"/>
        <item x="372"/>
        <item x="1060"/>
        <item x="761"/>
        <item x="293"/>
        <item x="186"/>
        <item x="54"/>
        <item x="735"/>
        <item x="198"/>
        <item x="737"/>
        <item x="848"/>
        <item x="1181"/>
        <item x="607"/>
        <item x="236"/>
        <item x="232"/>
        <item x="750"/>
        <item x="39"/>
        <item x="294"/>
        <item x="213"/>
        <item x="285"/>
        <item x="96"/>
        <item x="963"/>
        <item x="1103"/>
        <item x="708"/>
        <item x="212"/>
        <item x="897"/>
        <item x="239"/>
        <item x="1112"/>
        <item x="665"/>
        <item x="34"/>
        <item x="639"/>
        <item x="566"/>
        <item x="228"/>
        <item x="629"/>
        <item x="229"/>
        <item x="1"/>
        <item x="1167"/>
        <item x="121"/>
        <item x="842"/>
        <item x="243"/>
        <item x="275"/>
        <item x="385"/>
        <item x="280"/>
        <item x="879"/>
        <item x="147"/>
        <item x="414"/>
        <item x="76"/>
        <item x="1089"/>
        <item x="279"/>
        <item x="1131"/>
        <item x="808"/>
        <item x="336"/>
        <item x="1163"/>
        <item x="548"/>
        <item x="403"/>
        <item x="925"/>
        <item x="1106"/>
        <item x="12"/>
        <item x="87"/>
        <item x="698"/>
        <item x="131"/>
        <item x="437"/>
        <item x="14"/>
        <item x="31"/>
        <item x="845"/>
        <item x="1012"/>
        <item x="649"/>
        <item x="1184"/>
        <item x="61"/>
        <item x="389"/>
        <item x="975"/>
        <item x="367"/>
        <item x="110"/>
        <item x="1099"/>
        <item x="1027"/>
        <item x="435"/>
        <item x="982"/>
        <item x="83"/>
        <item x="104"/>
        <item x="747"/>
        <item x="586"/>
        <item x="533"/>
        <item x="167"/>
        <item x="1022"/>
        <item x="466"/>
        <item x="723"/>
        <item x="72"/>
        <item x="489"/>
        <item x="1140"/>
        <item x="643"/>
        <item x="374"/>
        <item x="890"/>
        <item x="709"/>
        <item x="192"/>
        <item x="865"/>
        <item x="503"/>
        <item x="819"/>
        <item x="1164"/>
        <item x="53"/>
        <item x="1155"/>
        <item x="64"/>
        <item x="1056"/>
        <item x="318"/>
        <item x="1135"/>
        <item x="522"/>
        <item x="745"/>
        <item x="899"/>
        <item x="978"/>
        <item x="1188"/>
        <item x="257"/>
        <item x="809"/>
        <item x="557"/>
        <item x="233"/>
        <item x="116"/>
        <item x="544"/>
        <item x="618"/>
        <item x="5"/>
        <item x="36"/>
        <item x="798"/>
        <item x="1024"/>
        <item x="356"/>
        <item x="966"/>
        <item x="66"/>
        <item x="751"/>
        <item x="41"/>
        <item x="1094"/>
        <item x="1087"/>
        <item x="644"/>
        <item x="47"/>
        <item x="458"/>
        <item x="332"/>
        <item x="796"/>
        <item x="16"/>
        <item x="89"/>
        <item x="748"/>
        <item x="692"/>
        <item x="1154"/>
        <item x="1144"/>
        <item x="620"/>
        <item x="22"/>
        <item x="450"/>
        <item x="774"/>
        <item x="574"/>
        <item x="1090"/>
        <item x="895"/>
        <item x="904"/>
        <item x="584"/>
        <item x="498"/>
        <item x="68"/>
        <item x="362"/>
        <item x="715"/>
        <item x="703"/>
        <item x="199"/>
        <item x="354"/>
        <item x="322"/>
        <item x="249"/>
        <item x="906"/>
        <item x="316"/>
        <item x="598"/>
        <item x="481"/>
        <item x="1073"/>
        <item x="88"/>
        <item x="551"/>
        <item x="806"/>
        <item x="1018"/>
        <item x="1061"/>
        <item x="673"/>
        <item x="800"/>
        <item x="686"/>
        <item x="864"/>
        <item x="196"/>
        <item x="244"/>
        <item x="1077"/>
        <item x="185"/>
        <item x="1008"/>
        <item x="386"/>
        <item x="930"/>
        <item x="844"/>
        <item x="543"/>
        <item x="455"/>
        <item x="659"/>
        <item x="415"/>
        <item x="491"/>
        <item x="1062"/>
        <item x="628"/>
        <item x="1080"/>
        <item x="866"/>
        <item x="140"/>
        <item x="896"/>
        <item x="1051"/>
        <item x="302"/>
        <item x="1035"/>
        <item x="1109"/>
        <item x="991"/>
        <item x="547"/>
        <item x="358"/>
        <item x="863"/>
        <item x="224"/>
        <item x="7"/>
        <item x="689"/>
        <item x="408"/>
        <item x="589"/>
        <item x="676"/>
        <item x="989"/>
        <item x="666"/>
        <item x="1134"/>
        <item x="771"/>
        <item x="731"/>
        <item x="479"/>
        <item x="967"/>
        <item x="161"/>
        <item x="1048"/>
        <item x="1088"/>
        <item x="691"/>
        <item x="813"/>
        <item x="235"/>
        <item x="869"/>
        <item x="1161"/>
        <item x="621"/>
        <item x="779"/>
        <item x="107"/>
        <item x="637"/>
        <item x="42"/>
        <item x="427"/>
        <item x="268"/>
        <item x="647"/>
        <item x="738"/>
        <item x="741"/>
        <item x="119"/>
        <item x="256"/>
        <item x="1092"/>
        <item x="801"/>
        <item x="749"/>
        <item x="132"/>
        <item x="300"/>
        <item x="441"/>
        <item x="1001"/>
        <item x="303"/>
        <item x="534"/>
        <item x="935"/>
        <item x="188"/>
        <item x="461"/>
        <item x="248"/>
        <item x="590"/>
        <item x="189"/>
        <item x="1047"/>
        <item x="660"/>
        <item x="839"/>
        <item x="558"/>
        <item x="138"/>
        <item x="1014"/>
        <item x="321"/>
        <item x="583"/>
        <item x="410"/>
        <item x="846"/>
        <item x="180"/>
        <item x="176"/>
        <item x="820"/>
        <item x="0"/>
        <item x="150"/>
        <item x="1108"/>
        <item x="506"/>
        <item x="722"/>
        <item x="1191"/>
        <item x="1186"/>
        <item x="187"/>
        <item x="371"/>
        <item x="988"/>
        <item x="754"/>
        <item x="964"/>
        <item x="126"/>
        <item x="2"/>
        <item x="726"/>
        <item x="1076"/>
        <item x="495"/>
        <item x="79"/>
        <item x="412"/>
        <item x="376"/>
        <item x="486"/>
        <item x="1180"/>
        <item x="782"/>
        <item x="773"/>
        <item x="340"/>
        <item x="337"/>
        <item x="702"/>
        <item x="1142"/>
        <item x="580"/>
        <item x="946"/>
        <item x="995"/>
        <item x="114"/>
        <item x="81"/>
        <item x="1032"/>
        <item x="451"/>
        <item x="940"/>
        <item x="788"/>
        <item x="210"/>
        <item x="884"/>
        <item x="684"/>
        <item x="700"/>
        <item x="6"/>
        <item x="640"/>
        <item x="1102"/>
        <item x="306"/>
        <item x="154"/>
        <item x="423"/>
        <item x="851"/>
        <item x="699"/>
        <item x="588"/>
        <item x="117"/>
        <item x="264"/>
        <item x="990"/>
        <item x="772"/>
        <item x="517"/>
        <item x="576"/>
        <item x="44"/>
        <item x="868"/>
        <item x="552"/>
        <item x="579"/>
        <item x="753"/>
        <item x="153"/>
        <item x="1149"/>
        <item x="163"/>
        <item x="84"/>
        <item x="128"/>
        <item x="836"/>
        <item x="624"/>
        <item x="420"/>
        <item x="976"/>
        <item x="418"/>
        <item x="391"/>
        <item x="1173"/>
        <item x="469"/>
        <item x="291"/>
        <item x="635"/>
        <item x="311"/>
        <item x="1021"/>
        <item x="537"/>
        <item x="449"/>
        <item x="1059"/>
        <item x="950"/>
        <item x="714"/>
        <item x="227"/>
        <item x="143"/>
        <item x="816"/>
        <item x="234"/>
        <item x="519"/>
        <item x="1111"/>
        <item x="923"/>
        <item x="73"/>
        <item x="958"/>
        <item x="987"/>
        <item x="1041"/>
        <item x="826"/>
        <item x="446"/>
        <item x="786"/>
        <item x="70"/>
        <item x="296"/>
        <item x="656"/>
        <item x="790"/>
        <item x="1036"/>
        <item x="215"/>
        <item x="559"/>
        <item x="883"/>
        <item x="156"/>
        <item x="531"/>
        <item x="162"/>
        <item x="984"/>
        <item x="886"/>
        <item x="539"/>
        <item x="759"/>
        <item x="550"/>
        <item x="301"/>
        <item x="770"/>
        <item x="980"/>
        <item x="1037"/>
        <item x="477"/>
        <item x="807"/>
        <item x="878"/>
        <item x="169"/>
        <item x="1138"/>
        <item x="974"/>
        <item x="1192"/>
        <item x="929"/>
        <item x="716"/>
        <item x="668"/>
        <item x="795"/>
        <item x="407"/>
        <item x="504"/>
        <item x="1107"/>
        <item x="736"/>
        <item x="658"/>
        <item x="876"/>
        <item x="969"/>
        <item x="357"/>
        <item x="401"/>
        <item x="67"/>
        <item x="369"/>
        <item x="1067"/>
        <item x="23"/>
        <item x="238"/>
        <item x="482"/>
        <item x="52"/>
        <item x="259"/>
        <item x="82"/>
        <item x="791"/>
        <item x="653"/>
        <item x="194"/>
        <item x="903"/>
        <item x="822"/>
        <item x="1121"/>
        <item x="231"/>
        <item x="1183"/>
        <item x="657"/>
        <item x="394"/>
        <item x="910"/>
        <item x="758"/>
        <item x="419"/>
        <item x="178"/>
        <item x="752"/>
        <item x="226"/>
        <item x="168"/>
        <item x="983"/>
        <item x="682"/>
        <item x="4"/>
        <item x="560"/>
        <item x="416"/>
        <item x="734"/>
        <item x="973"/>
        <item x="944"/>
        <item x="611"/>
        <item x="619"/>
        <item x="365"/>
        <item x="952"/>
        <item x="694"/>
        <item x="133"/>
        <item x="961"/>
        <item x="225"/>
        <item x="652"/>
        <item x="1055"/>
        <item x="572"/>
        <item x="313"/>
        <item x="277"/>
        <item x="208"/>
        <item x="631"/>
        <item x="366"/>
        <item x="1125"/>
        <item x="739"/>
        <item x="411"/>
        <item x="605"/>
        <item x="742"/>
        <item x="74"/>
        <item x="562"/>
        <item x="799"/>
        <item x="852"/>
        <item x="384"/>
        <item x="1119"/>
        <item x="695"/>
        <item x="669"/>
        <item x="1095"/>
        <item x="680"/>
        <item x="286"/>
        <item x="113"/>
        <item x="778"/>
        <item x="760"/>
        <item x="571"/>
        <item x="591"/>
        <item x="342"/>
        <item x="882"/>
        <item x="593"/>
        <item x="810"/>
        <item x="1064"/>
        <item x="282"/>
        <item x="312"/>
        <item x="58"/>
        <item x="339"/>
        <item x="972"/>
        <item x="370"/>
        <item x="35"/>
        <item x="33"/>
        <item x="781"/>
        <item x="319"/>
        <item x="1079"/>
        <item x="841"/>
        <item x="17"/>
        <item x="767"/>
        <item x="442"/>
        <item x="344"/>
        <item x="310"/>
        <item x="223"/>
        <item x="471"/>
        <item x="181"/>
        <item x="873"/>
        <item x="954"/>
        <item x="641"/>
        <item x="854"/>
        <item x="606"/>
        <item x="27"/>
        <item x="448"/>
        <item x="1114"/>
        <item x="71"/>
        <item x="468"/>
        <item x="1153"/>
        <item x="29"/>
        <item x="763"/>
        <item x="942"/>
        <item x="271"/>
        <item x="426"/>
        <item x="170"/>
        <item x="601"/>
        <item x="1185"/>
        <item x="847"/>
        <item x="667"/>
        <item x="824"/>
        <item x="457"/>
        <item x="317"/>
        <item x="985"/>
        <item x="905"/>
        <item x="642"/>
        <item x="713"/>
        <item x="881"/>
        <item x="872"/>
        <item x="546"/>
        <item x="433"/>
        <item x="220"/>
        <item x="654"/>
        <item x="48"/>
        <item x="596"/>
        <item x="122"/>
        <item x="634"/>
        <item x="1141"/>
        <item x="838"/>
        <item x="510"/>
        <item x="556"/>
        <item x="246"/>
        <item x="3"/>
        <item x="993"/>
        <item x="977"/>
        <item x="1083"/>
        <item x="26"/>
        <item x="216"/>
        <item x="979"/>
        <item x="1101"/>
        <item x="894"/>
        <item x="118"/>
        <item x="599"/>
        <item x="307"/>
        <item x="532"/>
        <item x="996"/>
        <item x="333"/>
        <item x="204"/>
        <item x="602"/>
        <item x="919"/>
        <item x="254"/>
        <item x="1157"/>
        <item x="1179"/>
        <item x="497"/>
        <item x="1143"/>
        <item x="1147"/>
        <item x="1193"/>
        <item x="1082"/>
        <item x="859"/>
        <item x="909"/>
        <item x="997"/>
        <item x="106"/>
        <item x="917"/>
        <item x="670"/>
        <item x="933"/>
        <item x="95"/>
        <item x="242"/>
        <item x="994"/>
        <item x="77"/>
        <item x="829"/>
        <item x="812"/>
        <item x="888"/>
        <item x="343"/>
        <item x="314"/>
        <item x="561"/>
        <item x="541"/>
        <item x="431"/>
        <item x="679"/>
        <item x="542"/>
        <item x="326"/>
        <item x="159"/>
        <item x="802"/>
        <item x="480"/>
        <item x="1071"/>
        <item x="205"/>
        <item x="1042"/>
        <item x="1074"/>
        <item x="360"/>
        <item x="675"/>
        <item x="837"/>
        <item x="1171"/>
        <item x="428"/>
        <item x="1029"/>
        <item x="432"/>
        <item x="276"/>
        <item x="706"/>
        <item x="1124"/>
        <item x="305"/>
        <item x="247"/>
        <item x="292"/>
        <item x="1128"/>
        <item x="1150"/>
        <item x="797"/>
        <item x="1127"/>
        <item x="948"/>
        <item x="1013"/>
        <item x="421"/>
        <item x="184"/>
        <item x="857"/>
        <item x="266"/>
        <item x="334"/>
        <item x="1063"/>
        <item x="203"/>
        <item x="438"/>
        <item x="209"/>
        <item x="65"/>
        <item x="278"/>
        <item x="514"/>
        <item x="569"/>
        <item x="323"/>
        <item x="101"/>
        <item x="1031"/>
        <item x="1160"/>
        <item x="528"/>
        <item x="947"/>
        <item x="377"/>
        <item x="130"/>
        <item x="592"/>
        <item x="898"/>
        <item x="1098"/>
        <item x="1189"/>
        <item x="526"/>
        <item x="152"/>
        <item x="1007"/>
        <item x="536"/>
        <item x="505"/>
        <item x="893"/>
        <item x="183"/>
        <item x="43"/>
        <item x="472"/>
        <item x="80"/>
        <item x="999"/>
        <item x="570"/>
        <item x="525"/>
        <item x="755"/>
        <item x="484"/>
        <item x="787"/>
        <item x="8"/>
        <item x="513"/>
        <item x="90"/>
        <item x="509"/>
        <item x="511"/>
        <item x="931"/>
        <item x="164"/>
        <item x="568"/>
        <item x="499"/>
        <item x="60"/>
        <item x="949"/>
        <item x="1152"/>
        <item x="1040"/>
        <item x="91"/>
        <item x="351"/>
        <item x="378"/>
        <item x="765"/>
        <item x="85"/>
        <item x="1105"/>
        <item x="609"/>
        <item x="860"/>
        <item x="202"/>
        <item x="880"/>
        <item x="718"/>
        <item x="705"/>
        <item x="530"/>
        <item x="166"/>
        <item x="18"/>
        <item x="1009"/>
        <item x="393"/>
        <item x="1072"/>
        <item x="744"/>
        <item x="521"/>
        <item x="404"/>
        <item x="688"/>
        <item x="112"/>
        <item x="720"/>
        <item x="867"/>
        <item x="1129"/>
        <item x="1118"/>
        <item x="290"/>
        <item x="211"/>
        <item x="1039"/>
        <item x="678"/>
        <item x="823"/>
        <item x="191"/>
        <item x="956"/>
        <item x="1195"/>
        <item x="518"/>
        <item x="1002"/>
        <item x="775"/>
        <item x="769"/>
        <item x="348"/>
        <item x="662"/>
        <item x="402"/>
        <item x="251"/>
        <item x="502"/>
        <item x="297"/>
        <item x="1086"/>
        <item x="436"/>
        <item x="934"/>
        <item x="200"/>
        <item x="1093"/>
        <item x="633"/>
        <item x="10"/>
        <item x="273"/>
        <item x="1017"/>
        <item x="936"/>
        <item x="685"/>
        <item x="1116"/>
        <item x="805"/>
        <item x="252"/>
        <item x="349"/>
        <item x="1005"/>
        <item x="835"/>
        <item x="687"/>
        <item x="597"/>
        <item x="1117"/>
        <item x="564"/>
        <item x="757"/>
        <item x="20"/>
        <item x="970"/>
        <item x="19"/>
        <item x="459"/>
        <item x="1091"/>
        <item x="405"/>
        <item x="46"/>
        <item x="263"/>
        <item x="783"/>
        <item x="201"/>
        <item x="373"/>
        <item x="250"/>
        <item x="1052"/>
        <item x="124"/>
        <item x="701"/>
        <item x="496"/>
        <item x="240"/>
        <item x="928"/>
        <item x="912"/>
        <item x="523"/>
        <item x="1096"/>
        <item x="182"/>
        <item x="717"/>
        <item x="549"/>
        <item x="524"/>
        <item x="137"/>
        <item x="125"/>
        <item x="363"/>
        <item x="447"/>
        <item x="462"/>
        <item x="655"/>
        <item x="165"/>
        <item x="926"/>
        <item x="1122"/>
        <item x="1065"/>
        <item x="690"/>
        <item x="155"/>
        <item x="794"/>
        <item x="1151"/>
        <item x="255"/>
        <item x="328"/>
        <item x="1019"/>
        <item x="828"/>
        <item x="573"/>
        <item x="856"/>
        <item x="359"/>
        <item x="719"/>
        <item x="512"/>
        <item x="398"/>
        <item x="483"/>
        <item x="803"/>
        <item x="11"/>
        <item x="1165"/>
        <item x="1044"/>
        <item x="1100"/>
        <item x="230"/>
        <item x="937"/>
        <item x="387"/>
        <item x="56"/>
        <item x="1097"/>
        <item x="632"/>
        <item x="830"/>
        <item x="871"/>
        <item x="262"/>
        <item x="487"/>
        <item x="924"/>
        <item x="968"/>
        <item x="554"/>
        <item x="485"/>
        <item x="478"/>
        <item x="627"/>
        <item x="538"/>
        <item x="677"/>
        <item x="417"/>
        <item x="399"/>
        <item x="51"/>
        <item x="1078"/>
        <item x="13"/>
        <item x="1126"/>
        <item x="1159"/>
        <item x="281"/>
        <item x="664"/>
        <item x="636"/>
        <item x="287"/>
        <item x="651"/>
        <item x="986"/>
        <item x="815"/>
        <item x="927"/>
        <item x="594"/>
        <item x="63"/>
        <item x="1058"/>
        <item x="648"/>
        <item x="329"/>
        <item x="492"/>
        <item x="267"/>
        <item x="811"/>
        <item x="390"/>
        <item x="157"/>
        <item x="295"/>
        <item x="341"/>
        <item x="1194"/>
        <item x="175"/>
        <item x="500"/>
        <item x="1133"/>
        <item x="272"/>
        <item t="default"/>
      </items>
    </pivotField>
    <pivotField showAll="0">
      <items count="1199">
        <item x="78"/>
        <item x="100"/>
        <item x="1115"/>
        <item x="609"/>
        <item x="219"/>
        <item x="729"/>
        <item x="1150"/>
        <item x="614"/>
        <item x="55"/>
        <item x="671"/>
        <item x="574"/>
        <item x="109"/>
        <item x="174"/>
        <item x="135"/>
        <item x="824"/>
        <item x="841"/>
        <item x="374"/>
        <item x="1168"/>
        <item x="507"/>
        <item x="562"/>
        <item x="314"/>
        <item x="394"/>
        <item x="214"/>
        <item x="442"/>
        <item x="576"/>
        <item x="982"/>
        <item x="354"/>
        <item x="954"/>
        <item x="30"/>
        <item x="145"/>
        <item x="475"/>
        <item x="103"/>
        <item x="849"/>
        <item x="515"/>
        <item x="172"/>
        <item x="887"/>
        <item x="399"/>
        <item x="237"/>
        <item x="412"/>
        <item x="283"/>
        <item x="889"/>
        <item x="999"/>
        <item x="1174"/>
        <item x="217"/>
        <item x="144"/>
        <item x="1046"/>
        <item x="552"/>
        <item x="943"/>
        <item x="914"/>
        <item x="115"/>
        <item x="624"/>
        <item x="86"/>
        <item x="40"/>
        <item x="92"/>
        <item x="349"/>
        <item x="1180"/>
        <item x="69"/>
        <item x="424"/>
        <item x="526"/>
        <item x="391"/>
        <item x="98"/>
        <item x="907"/>
        <item x="709"/>
        <item x="1139"/>
        <item x="1020"/>
        <item x="324"/>
        <item x="28"/>
        <item x="438"/>
        <item x="755"/>
        <item x="673"/>
        <item x="387"/>
        <item x="149"/>
        <item x="330"/>
        <item x="346"/>
        <item x="139"/>
        <item x="1138"/>
        <item x="222"/>
        <item x="197"/>
        <item x="792"/>
        <item x="1068"/>
        <item x="603"/>
        <item x="645"/>
        <item x="345"/>
        <item x="1178"/>
        <item x="329"/>
        <item x="363"/>
        <item x="179"/>
        <item x="381"/>
        <item x="742"/>
        <item x="1184"/>
        <item x="670"/>
        <item x="1026"/>
        <item x="105"/>
        <item x="326"/>
        <item x="59"/>
        <item x="1007"/>
        <item x="727"/>
        <item x="453"/>
        <item x="382"/>
        <item x="142"/>
        <item x="493"/>
        <item x="660"/>
        <item x="528"/>
        <item x="303"/>
        <item x="775"/>
        <item x="123"/>
        <item x="839"/>
        <item x="720"/>
        <item x="920"/>
        <item x="97"/>
        <item x="956"/>
        <item x="1081"/>
        <item x="622"/>
        <item x="158"/>
        <item x="586"/>
        <item x="75"/>
        <item x="711"/>
        <item x="408"/>
        <item x="1164"/>
        <item x="99"/>
        <item x="832"/>
        <item x="629"/>
        <item x="429"/>
        <item x="544"/>
        <item x="120"/>
        <item x="1015"/>
        <item x="728"/>
        <item x="602"/>
        <item x="190"/>
        <item x="50"/>
        <item x="1106"/>
        <item x="443"/>
        <item x="1038"/>
        <item x="1125"/>
        <item x="344"/>
        <item x="62"/>
        <item x="1016"/>
        <item x="146"/>
        <item x="539"/>
        <item x="1049"/>
        <item x="680"/>
        <item x="37"/>
        <item x="1030"/>
        <item x="1177"/>
        <item x="451"/>
        <item x="395"/>
        <item x="1070"/>
        <item x="265"/>
        <item x="853"/>
        <item x="195"/>
        <item x="177"/>
        <item x="813"/>
        <item x="803"/>
        <item x="288"/>
        <item x="696"/>
        <item x="258"/>
        <item x="761"/>
        <item x="830"/>
        <item x="723"/>
        <item x="245"/>
        <item x="1122"/>
        <item x="1075"/>
        <item x="581"/>
        <item x="564"/>
        <item x="151"/>
        <item x="378"/>
        <item x="616"/>
        <item x="961"/>
        <item x="952"/>
        <item x="57"/>
        <item x="625"/>
        <item x="788"/>
        <item x="49"/>
        <item x="820"/>
        <item x="514"/>
        <item x="1172"/>
        <item x="405"/>
        <item x="492"/>
        <item x="351"/>
        <item x="462"/>
        <item x="692"/>
        <item x="855"/>
        <item x="466"/>
        <item x="1045"/>
        <item x="307"/>
        <item x="862"/>
        <item x="779"/>
        <item x="319"/>
        <item x="171"/>
        <item x="487"/>
        <item x="93"/>
        <item x="1179"/>
        <item x="260"/>
        <item x="732"/>
        <item x="1069"/>
        <item x="908"/>
        <item x="1084"/>
        <item x="284"/>
        <item x="1176"/>
        <item x="1160"/>
        <item x="901"/>
        <item x="160"/>
        <item x="916"/>
        <item x="1050"/>
        <item x="148"/>
        <item x="463"/>
        <item x="206"/>
        <item x="464"/>
        <item x="1034"/>
        <item x="274"/>
        <item x="444"/>
        <item x="1189"/>
        <item x="963"/>
        <item x="662"/>
        <item x="421"/>
        <item x="108"/>
        <item x="38"/>
        <item x="682"/>
        <item x="858"/>
        <item x="1170"/>
        <item x="900"/>
        <item x="439"/>
        <item x="1112"/>
        <item x="337"/>
        <item x="45"/>
        <item x="783"/>
        <item x="938"/>
        <item x="9"/>
        <item x="261"/>
        <item x="134"/>
        <item x="193"/>
        <item x="1053"/>
        <item x="297"/>
        <item x="380"/>
        <item x="918"/>
        <item x="577"/>
        <item x="703"/>
        <item x="1171"/>
        <item x="767"/>
        <item x="289"/>
        <item x="452"/>
        <item x="566"/>
        <item x="607"/>
        <item x="946"/>
        <item x="506"/>
        <item x="102"/>
        <item x="32"/>
        <item x="534"/>
        <item x="218"/>
        <item x="902"/>
        <item x="911"/>
        <item x="173"/>
        <item x="1033"/>
        <item x="1132"/>
        <item x="136"/>
        <item x="826"/>
        <item x="500"/>
        <item x="913"/>
        <item x="1117"/>
        <item x="1148"/>
        <item x="784"/>
        <item x="1158"/>
        <item x="253"/>
        <item x="584"/>
        <item x="644"/>
        <item x="637"/>
        <item x="958"/>
        <item x="706"/>
        <item x="1043"/>
        <item x="371"/>
        <item x="323"/>
        <item x="613"/>
        <item x="870"/>
        <item x="724"/>
        <item x="379"/>
        <item x="1066"/>
        <item x="816"/>
        <item x="94"/>
        <item x="54"/>
        <item x="360"/>
        <item x="129"/>
        <item x="241"/>
        <item x="474"/>
        <item x="874"/>
        <item x="212"/>
        <item x="39"/>
        <item x="993"/>
        <item x="749"/>
        <item x="308"/>
        <item x="1025"/>
        <item x="731"/>
        <item x="833"/>
        <item x="791"/>
        <item x="121"/>
        <item x="221"/>
        <item x="877"/>
        <item x="469"/>
        <item x="519"/>
        <item x="885"/>
        <item x="455"/>
        <item x="745"/>
        <item x="739"/>
        <item x="615"/>
        <item x="1147"/>
        <item x="606"/>
        <item x="428"/>
        <item x="621"/>
        <item x="334"/>
        <item x="25"/>
        <item x="489"/>
        <item x="1141"/>
        <item x="765"/>
        <item x="960"/>
        <item x="875"/>
        <item x="776"/>
        <item x="1023"/>
        <item x="459"/>
        <item x="1057"/>
        <item x="726"/>
        <item x="892"/>
        <item x="293"/>
        <item x="1105"/>
        <item x="12"/>
        <item x="649"/>
        <item x="746"/>
        <item x="270"/>
        <item x="1028"/>
        <item x="24"/>
        <item x="285"/>
        <item x="111"/>
        <item x="722"/>
        <item x="213"/>
        <item x="710"/>
        <item x="1004"/>
        <item x="1001"/>
        <item x="643"/>
        <item x="1183"/>
        <item x="186"/>
        <item x="335"/>
        <item x="1134"/>
        <item x="848"/>
        <item x="1054"/>
        <item x="1114"/>
        <item x="1"/>
        <item x="472"/>
        <item x="21"/>
        <item x="396"/>
        <item x="664"/>
        <item x="747"/>
        <item x="433"/>
        <item x="83"/>
        <item x="1137"/>
        <item x="232"/>
        <item x="1011"/>
        <item x="239"/>
        <item x="915"/>
        <item x="87"/>
        <item x="795"/>
        <item x="1024"/>
        <item x="1062"/>
        <item x="941"/>
        <item x="127"/>
        <item x="207"/>
        <item x="1165"/>
        <item x="367"/>
        <item x="269"/>
        <item x="298"/>
        <item x="15"/>
        <item x="619"/>
        <item x="1157"/>
        <item x="599"/>
        <item x="236"/>
        <item x="1085"/>
        <item x="565"/>
        <item x="939"/>
        <item x="554"/>
        <item x="702"/>
        <item x="1133"/>
        <item x="547"/>
        <item x="141"/>
        <item x="707"/>
        <item x="760"/>
        <item x="817"/>
        <item x="972"/>
        <item x="899"/>
        <item x="932"/>
        <item x="842"/>
        <item x="198"/>
        <item x="583"/>
        <item x="891"/>
        <item x="922"/>
        <item x="1012"/>
        <item x="1009"/>
        <item x="964"/>
        <item x="861"/>
        <item x="612"/>
        <item x="864"/>
        <item x="863"/>
        <item x="31"/>
        <item x="436"/>
        <item x="778"/>
        <item x="229"/>
        <item x="315"/>
        <item x="497"/>
        <item x="14"/>
        <item x="473"/>
        <item x="597"/>
        <item x="865"/>
        <item x="1089"/>
        <item x="352"/>
        <item x="228"/>
        <item x="808"/>
        <item x="61"/>
        <item x="580"/>
        <item x="385"/>
        <item x="831"/>
        <item x="167"/>
        <item x="104"/>
        <item x="47"/>
        <item x="695"/>
        <item x="967"/>
        <item x="76"/>
        <item x="1080"/>
        <item x="96"/>
        <item x="843"/>
        <item x="478"/>
        <item x="966"/>
        <item x="147"/>
        <item x="317"/>
        <item x="423"/>
        <item x="1005"/>
        <item x="1142"/>
        <item x="66"/>
        <item x="1092"/>
        <item x="611"/>
        <item x="494"/>
        <item x="850"/>
        <item x="150"/>
        <item x="1136"/>
        <item x="110"/>
        <item x="921"/>
        <item x="235"/>
        <item x="36"/>
        <item x="685"/>
        <item x="1047"/>
        <item x="744"/>
        <item x="275"/>
        <item x="725"/>
        <item x="763"/>
        <item x="138"/>
        <item x="736"/>
        <item x="1104"/>
        <item x="1108"/>
        <item x="906"/>
        <item x="388"/>
        <item x="336"/>
        <item x="320"/>
        <item x="16"/>
        <item x="884"/>
        <item x="355"/>
        <item x="280"/>
        <item x="465"/>
        <item x="34"/>
        <item x="53"/>
        <item x="787"/>
        <item x="1169"/>
        <item x="701"/>
        <item x="375"/>
        <item x="578"/>
        <item x="648"/>
        <item x="550"/>
        <item x="546"/>
        <item x="373"/>
        <item x="233"/>
        <item x="1156"/>
        <item x="753"/>
        <item x="521"/>
        <item x="940"/>
        <item x="1056"/>
        <item x="879"/>
        <item x="162"/>
        <item x="366"/>
        <item x="770"/>
        <item x="1111"/>
        <item x="925"/>
        <item x="968"/>
        <item x="457"/>
        <item x="797"/>
        <item x="667"/>
        <item x="620"/>
        <item x="268"/>
        <item x="735"/>
        <item x="41"/>
        <item x="1186"/>
        <item x="904"/>
        <item x="402"/>
        <item x="594"/>
        <item x="585"/>
        <item x="1060"/>
        <item x="1035"/>
        <item x="634"/>
        <item x="81"/>
        <item x="628"/>
        <item x="243"/>
        <item x="1090"/>
        <item x="116"/>
        <item x="800"/>
        <item x="897"/>
        <item x="384"/>
        <item x="426"/>
        <item x="294"/>
        <item x="866"/>
        <item x="1022"/>
        <item x="636"/>
        <item x="196"/>
        <item x="1192"/>
        <item x="1018"/>
        <item x="543"/>
        <item x="734"/>
        <item x="818"/>
        <item x="44"/>
        <item x="989"/>
        <item x="1073"/>
        <item x="740"/>
        <item x="976"/>
        <item x="1032"/>
        <item x="168"/>
        <item x="1123"/>
        <item x="819"/>
        <item x="210"/>
        <item x="929"/>
        <item x="698"/>
        <item x="530"/>
        <item x="279"/>
        <item x="413"/>
        <item x="390"/>
        <item x="1100"/>
        <item x="1088"/>
        <item x="119"/>
        <item x="659"/>
        <item x="638"/>
        <item x="985"/>
        <item x="838"/>
        <item x="983"/>
        <item x="587"/>
        <item x="488"/>
        <item x="1027"/>
        <item x="910"/>
        <item x="194"/>
        <item x="42"/>
        <item x="1094"/>
        <item x="646"/>
        <item x="368"/>
        <item x="68"/>
        <item x="807"/>
        <item x="708"/>
        <item x="642"/>
        <item x="844"/>
        <item x="490"/>
        <item x="657"/>
        <item x="890"/>
        <item x="257"/>
        <item x="89"/>
        <item x="542"/>
        <item x="485"/>
        <item x="959"/>
        <item x="5"/>
        <item x="556"/>
        <item x="1185"/>
        <item x="799"/>
        <item x="448"/>
        <item x="406"/>
        <item x="357"/>
        <item x="1014"/>
        <item x="1061"/>
        <item x="131"/>
        <item x="1077"/>
        <item x="502"/>
        <item x="440"/>
        <item x="248"/>
        <item x="226"/>
        <item x="651"/>
        <item x="532"/>
        <item x="445"/>
        <item x="480"/>
        <item x="610"/>
        <item x="1190"/>
        <item x="805"/>
        <item x="74"/>
        <item x="0"/>
        <item x="773"/>
        <item x="4"/>
        <item x="658"/>
        <item x="192"/>
        <item x="672"/>
        <item x="697"/>
        <item x="88"/>
        <item x="249"/>
        <item x="588"/>
        <item x="688"/>
        <item x="1144"/>
        <item x="942"/>
        <item x="806"/>
        <item x="82"/>
        <item x="1146"/>
        <item x="71"/>
        <item x="411"/>
        <item x="845"/>
        <item x="505"/>
        <item x="460"/>
        <item x="277"/>
        <item x="1059"/>
        <item x="64"/>
        <item x="67"/>
        <item x="561"/>
        <item x="750"/>
        <item x="1166"/>
        <item x="72"/>
        <item x="1194"/>
        <item x="1116"/>
        <item x="434"/>
        <item x="321"/>
        <item x="714"/>
        <item x="301"/>
        <item x="691"/>
        <item x="299"/>
        <item x="1121"/>
        <item x="409"/>
        <item x="781"/>
        <item x="965"/>
        <item x="1079"/>
        <item x="752"/>
        <item x="886"/>
        <item x="154"/>
        <item x="895"/>
        <item x="244"/>
        <item x="590"/>
        <item x="665"/>
        <item x="70"/>
        <item x="117"/>
        <item x="538"/>
        <item x="79"/>
        <item x="107"/>
        <item x="589"/>
        <item x="17"/>
        <item x="840"/>
        <item x="410"/>
        <item x="981"/>
        <item x="1048"/>
        <item x="977"/>
        <item x="476"/>
        <item x="331"/>
        <item x="979"/>
        <item x="316"/>
        <item x="454"/>
        <item x="815"/>
        <item x="769"/>
        <item x="259"/>
        <item x="140"/>
        <item x="305"/>
        <item x="630"/>
        <item x="573"/>
        <item x="518"/>
        <item x="812"/>
        <item x="23"/>
        <item x="1002"/>
        <item x="748"/>
        <item x="617"/>
        <item x="909"/>
        <item x="633"/>
        <item x="852"/>
        <item x="533"/>
        <item x="215"/>
        <item x="407"/>
        <item x="801"/>
        <item x="468"/>
        <item x="254"/>
        <item x="595"/>
        <item x="699"/>
        <item x="869"/>
        <item x="449"/>
        <item x="48"/>
        <item x="29"/>
        <item x="189"/>
        <item x="152"/>
        <item x="188"/>
        <item x="170"/>
        <item x="156"/>
        <item x="1095"/>
        <item x="737"/>
        <item x="851"/>
        <item x="730"/>
        <item x="582"/>
        <item x="185"/>
        <item x="22"/>
        <item x="1087"/>
        <item x="777"/>
        <item x="496"/>
        <item x="947"/>
        <item x="639"/>
        <item x="1036"/>
        <item x="199"/>
        <item x="558"/>
        <item x="560"/>
        <item x="513"/>
        <item x="365"/>
        <item x="447"/>
        <item x="246"/>
        <item x="693"/>
        <item x="516"/>
        <item x="1083"/>
        <item x="479"/>
        <item x="132"/>
        <item x="605"/>
        <item x="311"/>
        <item x="361"/>
        <item x="133"/>
        <item x="1037"/>
        <item x="754"/>
        <item x="2"/>
        <item x="1021"/>
        <item x="291"/>
        <item x="52"/>
        <item x="353"/>
        <item x="545"/>
        <item x="432"/>
        <item x="828"/>
        <item x="896"/>
        <item x="992"/>
        <item x="575"/>
        <item x="310"/>
        <item x="26"/>
        <item x="1082"/>
        <item x="627"/>
        <item x="264"/>
        <item x="470"/>
        <item x="1149"/>
        <item x="878"/>
        <item x="393"/>
        <item x="978"/>
        <item x="974"/>
        <item x="143"/>
        <item x="90"/>
        <item x="945"/>
        <item x="690"/>
        <item x="312"/>
        <item x="991"/>
        <item x="796"/>
        <item x="655"/>
        <item x="675"/>
        <item x="1193"/>
        <item x="302"/>
        <item x="338"/>
        <item x="935"/>
        <item x="990"/>
        <item x="970"/>
        <item x="930"/>
        <item x="33"/>
        <item x="114"/>
        <item x="84"/>
        <item x="161"/>
        <item x="883"/>
        <item x="414"/>
        <item x="509"/>
        <item x="1076"/>
        <item x="1181"/>
        <item x="846"/>
        <item x="1175"/>
        <item x="339"/>
        <item x="58"/>
        <item x="834"/>
        <item x="450"/>
        <item x="1151"/>
        <item x="290"/>
        <item x="7"/>
        <item x="771"/>
        <item x="557"/>
        <item x="934"/>
        <item x="984"/>
        <item x="296"/>
        <item x="417"/>
        <item x="511"/>
        <item x="203"/>
        <item x="1042"/>
        <item x="1110"/>
        <item x="266"/>
        <item x="256"/>
        <item x="73"/>
        <item x="579"/>
        <item x="419"/>
        <item x="1067"/>
        <item x="1051"/>
        <item x="300"/>
        <item x="718"/>
        <item x="666"/>
        <item x="224"/>
        <item x="872"/>
        <item x="1163"/>
        <item x="571"/>
        <item x="876"/>
        <item x="169"/>
        <item x="683"/>
        <item x="1188"/>
        <item x="1098"/>
        <item x="551"/>
        <item x="668"/>
        <item x="370"/>
        <item x="1055"/>
        <item x="950"/>
        <item x="77"/>
        <item x="996"/>
        <item x="383"/>
        <item x="995"/>
        <item x="880"/>
        <item x="905"/>
        <item x="531"/>
        <item x="178"/>
        <item x="559"/>
        <item x="306"/>
        <item x="176"/>
        <item x="772"/>
        <item x="847"/>
        <item x="225"/>
        <item x="955"/>
        <item x="369"/>
        <item x="231"/>
        <item x="1153"/>
        <item x="1041"/>
        <item x="282"/>
        <item x="604"/>
        <item x="785"/>
        <item x="653"/>
        <item x="600"/>
        <item x="262"/>
        <item x="80"/>
        <item x="669"/>
        <item x="794"/>
        <item x="835"/>
        <item x="427"/>
        <item x="1182"/>
        <item x="888"/>
        <item x="1128"/>
        <item x="721"/>
        <item x="204"/>
        <item x="759"/>
        <item x="180"/>
        <item x="1019"/>
        <item x="1155"/>
        <item x="821"/>
        <item x="825"/>
        <item x="1130"/>
        <item x="273"/>
        <item x="322"/>
        <item x="364"/>
        <item x="1140"/>
        <item x="6"/>
        <item x="789"/>
        <item x="738"/>
        <item x="238"/>
        <item x="868"/>
        <item x="128"/>
        <item x="187"/>
        <item x="623"/>
        <item x="181"/>
        <item x="823"/>
        <item x="208"/>
        <item x="953"/>
        <item x="517"/>
        <item x="857"/>
        <item x="510"/>
        <item x="227"/>
        <item x="1103"/>
        <item x="1159"/>
        <item x="679"/>
        <item x="126"/>
        <item x="988"/>
        <item x="304"/>
        <item x="689"/>
        <item x="705"/>
        <item x="549"/>
        <item x="536"/>
        <item x="1143"/>
        <item x="811"/>
        <item x="347"/>
        <item x="1040"/>
        <item x="398"/>
        <item x="182"/>
        <item x="641"/>
        <item x="951"/>
        <item x="1113"/>
        <item x="882"/>
        <item x="780"/>
        <item x="163"/>
        <item x="512"/>
        <item x="286"/>
        <item x="923"/>
        <item x="881"/>
        <item x="944"/>
        <item x="343"/>
        <item x="1058"/>
        <item x="153"/>
        <item x="425"/>
        <item x="766"/>
        <item x="422"/>
        <item x="608"/>
        <item x="498"/>
        <item x="278"/>
        <item x="681"/>
        <item x="1195"/>
        <item x="975"/>
        <item x="631"/>
        <item x="1154"/>
        <item x="1013"/>
        <item x="1109"/>
        <item x="741"/>
        <item x="486"/>
        <item x="431"/>
        <item x="313"/>
        <item x="762"/>
        <item x="35"/>
        <item x="234"/>
        <item x="790"/>
        <item x="591"/>
        <item x="404"/>
        <item x="503"/>
        <item x="446"/>
        <item x="678"/>
        <item x="456"/>
        <item x="481"/>
        <item x="1187"/>
        <item x="1127"/>
        <item x="401"/>
        <item x="341"/>
        <item x="980"/>
        <item x="230"/>
        <item x="418"/>
        <item x="893"/>
        <item x="201"/>
        <item x="652"/>
        <item x="359"/>
        <item x="350"/>
        <item x="713"/>
        <item x="986"/>
        <item x="520"/>
        <item x="798"/>
        <item x="572"/>
        <item x="95"/>
        <item x="46"/>
        <item x="20"/>
        <item x="541"/>
        <item x="694"/>
        <item x="415"/>
        <item x="632"/>
        <item x="764"/>
        <item x="804"/>
        <item x="333"/>
        <item x="687"/>
        <item x="656"/>
        <item x="400"/>
        <item x="733"/>
        <item x="969"/>
        <item x="11"/>
        <item x="416"/>
        <item x="757"/>
        <item x="482"/>
        <item x="898"/>
        <item x="758"/>
        <item x="430"/>
        <item x="65"/>
        <item x="661"/>
        <item x="1065"/>
        <item x="1126"/>
        <item x="786"/>
        <item x="175"/>
        <item x="8"/>
        <item x="1091"/>
        <item x="91"/>
        <item x="903"/>
        <item x="873"/>
        <item x="356"/>
        <item x="712"/>
        <item x="467"/>
        <item x="318"/>
        <item x="1003"/>
        <item x="112"/>
        <item x="1119"/>
        <item x="220"/>
        <item x="255"/>
        <item x="973"/>
        <item x="471"/>
        <item x="1010"/>
        <item x="377"/>
        <item x="1129"/>
        <item x="837"/>
        <item x="535"/>
        <item x="715"/>
        <item x="937"/>
        <item x="962"/>
        <item x="325"/>
        <item x="60"/>
        <item x="276"/>
        <item x="340"/>
        <item x="1029"/>
        <item x="1074"/>
        <item x="933"/>
        <item x="809"/>
        <item x="1064"/>
        <item x="700"/>
        <item x="166"/>
        <item x="165"/>
        <item x="871"/>
        <item x="43"/>
        <item x="751"/>
        <item x="242"/>
        <item x="555"/>
        <item x="793"/>
        <item x="106"/>
        <item x="1052"/>
        <item x="592"/>
        <item x="118"/>
        <item x="601"/>
        <item x="949"/>
        <item x="677"/>
        <item x="113"/>
        <item x="1031"/>
        <item x="802"/>
        <item x="743"/>
        <item x="309"/>
        <item x="676"/>
        <item x="51"/>
        <item x="997"/>
        <item x="332"/>
        <item x="441"/>
        <item x="570"/>
        <item x="854"/>
        <item x="618"/>
        <item x="122"/>
        <item x="598"/>
        <item x="1008"/>
        <item x="247"/>
        <item x="461"/>
        <item x="704"/>
        <item x="183"/>
        <item x="403"/>
        <item x="216"/>
        <item x="205"/>
        <item x="1118"/>
        <item x="768"/>
        <item x="1145"/>
        <item x="495"/>
        <item x="27"/>
        <item x="1152"/>
        <item x="3"/>
        <item x="130"/>
        <item x="829"/>
        <item x="13"/>
        <item x="101"/>
        <item x="856"/>
        <item x="155"/>
        <item x="926"/>
        <item x="640"/>
        <item x="124"/>
        <item x="567"/>
        <item x="501"/>
        <item x="392"/>
        <item x="936"/>
        <item x="822"/>
        <item x="1096"/>
        <item x="292"/>
        <item x="209"/>
        <item x="137"/>
        <item x="537"/>
        <item x="240"/>
        <item x="420"/>
        <item x="477"/>
        <item x="971"/>
        <item x="931"/>
        <item x="223"/>
        <item x="271"/>
        <item x="717"/>
        <item x="1107"/>
        <item x="263"/>
        <item x="1120"/>
        <item x="200"/>
        <item x="1063"/>
        <item x="483"/>
        <item x="1072"/>
        <item x="635"/>
        <item x="894"/>
        <item x="860"/>
        <item x="504"/>
        <item x="1102"/>
        <item x="686"/>
        <item x="508"/>
        <item x="1006"/>
        <item x="18"/>
        <item x="437"/>
        <item x="362"/>
        <item x="859"/>
        <item x="1078"/>
        <item x="524"/>
        <item x="1093"/>
        <item x="499"/>
        <item x="994"/>
        <item x="372"/>
        <item x="650"/>
        <item x="211"/>
        <item x="569"/>
        <item x="522"/>
        <item x="1000"/>
        <item x="540"/>
        <item x="376"/>
        <item x="998"/>
        <item x="252"/>
        <item x="917"/>
        <item x="836"/>
        <item x="327"/>
        <item x="397"/>
        <item x="159"/>
        <item x="674"/>
        <item x="85"/>
        <item x="782"/>
        <item x="348"/>
        <item x="251"/>
        <item x="358"/>
        <item x="919"/>
        <item x="1124"/>
        <item x="756"/>
        <item x="1044"/>
        <item x="548"/>
        <item x="184"/>
        <item x="948"/>
        <item x="527"/>
        <item x="525"/>
        <item x="1086"/>
        <item x="912"/>
        <item x="1071"/>
        <item x="342"/>
        <item x="1162"/>
        <item x="774"/>
        <item x="529"/>
        <item x="1017"/>
        <item x="1173"/>
        <item x="684"/>
        <item x="1191"/>
        <item x="568"/>
        <item x="716"/>
        <item x="719"/>
        <item x="491"/>
        <item x="563"/>
        <item x="810"/>
        <item x="596"/>
        <item x="1099"/>
        <item x="867"/>
        <item x="164"/>
        <item x="1039"/>
        <item x="957"/>
        <item x="523"/>
        <item x="125"/>
        <item x="1167"/>
        <item x="202"/>
        <item x="593"/>
        <item x="250"/>
        <item x="928"/>
        <item x="1197"/>
        <item x="814"/>
        <item x="1131"/>
        <item x="924"/>
        <item x="328"/>
        <item x="10"/>
        <item x="1097"/>
        <item x="458"/>
        <item x="1101"/>
        <item x="267"/>
        <item x="435"/>
        <item x="281"/>
        <item x="191"/>
        <item x="654"/>
        <item x="386"/>
        <item x="987"/>
        <item x="1161"/>
        <item x="626"/>
        <item x="663"/>
        <item x="389"/>
        <item x="19"/>
        <item x="484"/>
        <item x="827"/>
        <item x="56"/>
        <item x="553"/>
        <item x="1135"/>
        <item x="287"/>
        <item x="927"/>
        <item x="647"/>
        <item x="63"/>
        <item x="1196"/>
        <item x="295"/>
        <item x="157"/>
        <item x="272"/>
        <item t="default"/>
      </items>
    </pivotField>
    <pivotField dataField="1" showAll="0"/>
    <pivotField showAll="0"/>
    <pivotField showAll="0">
      <items count="17">
        <item x="1"/>
        <item x="13"/>
        <item x="3"/>
        <item x="12"/>
        <item x="7"/>
        <item x="6"/>
        <item x="8"/>
        <item x="0"/>
        <item x="14"/>
        <item x="4"/>
        <item x="10"/>
        <item x="9"/>
        <item x="15"/>
        <item x="11"/>
        <item x="5"/>
        <item x="2"/>
        <item t="default"/>
      </items>
    </pivotField>
    <pivotField showAll="0"/>
    <pivotField numFmtId="10" showAll="0"/>
    <pivotField numFmtId="10" showAll="0">
      <items count="1201">
        <item x="19"/>
        <item x="191"/>
        <item x="379"/>
        <item x="1089"/>
        <item x="343"/>
        <item x="1194"/>
        <item x="1175"/>
        <item x="335"/>
        <item x="840"/>
        <item x="180"/>
        <item x="223"/>
        <item x="920"/>
        <item x="846"/>
        <item x="435"/>
        <item x="1053"/>
        <item x="595"/>
        <item x="187"/>
        <item x="354"/>
        <item x="1073"/>
        <item x="224"/>
        <item x="735"/>
        <item x="126"/>
        <item x="716"/>
        <item x="1101"/>
        <item x="618"/>
        <item x="1133"/>
        <item x="828"/>
        <item x="202"/>
        <item x="474"/>
        <item x="940"/>
        <item x="698"/>
        <item x="650"/>
        <item x="619"/>
        <item x="1143"/>
        <item x="714"/>
        <item x="436"/>
        <item x="931"/>
        <item x="346"/>
        <item x="362"/>
        <item x="423"/>
        <item x="722"/>
        <item x="980"/>
        <item x="752"/>
        <item x="554"/>
        <item x="409"/>
        <item x="569"/>
        <item x="553"/>
        <item x="164"/>
        <item x="271"/>
        <item x="56"/>
        <item x="415"/>
        <item x="63"/>
        <item x="22"/>
        <item x="712"/>
        <item x="1165"/>
        <item x="7"/>
        <item x="1193"/>
        <item x="72"/>
        <item x="639"/>
        <item x="792"/>
        <item x="287"/>
        <item x="759"/>
        <item x="272"/>
        <item x="1062"/>
        <item x="995"/>
        <item x="357"/>
        <item x="625"/>
        <item x="176"/>
        <item x="1136"/>
        <item x="1008"/>
        <item x="1164"/>
        <item x="294"/>
        <item x="199"/>
        <item x="157"/>
        <item x="1000"/>
        <item x="153"/>
        <item x="10"/>
        <item x="1173"/>
        <item x="1199"/>
        <item x="475"/>
        <item x="485"/>
        <item x="184"/>
        <item x="890"/>
        <item x="918"/>
        <item x="1180"/>
        <item x="922"/>
        <item x="923"/>
        <item x="131"/>
        <item x="999"/>
        <item x="295"/>
        <item x="1030"/>
        <item x="641"/>
        <item x="159"/>
        <item x="967"/>
        <item x="675"/>
        <item x="15"/>
        <item x="459"/>
        <item x="528"/>
        <item x="526"/>
        <item x="949"/>
        <item x="655"/>
        <item x="1168"/>
        <item x="234"/>
        <item x="1036"/>
        <item x="868"/>
        <item x="450"/>
        <item x="163"/>
        <item x="368"/>
        <item x="904"/>
        <item x="916"/>
        <item x="991"/>
        <item x="1184"/>
        <item x="1105"/>
        <item x="1191"/>
        <item x="808"/>
        <item x="571"/>
        <item x="256"/>
        <item x="1041"/>
        <item x="648"/>
        <item x="1104"/>
        <item x="627"/>
        <item x="958"/>
        <item x="353"/>
        <item x="161"/>
        <item x="541"/>
        <item x="837"/>
        <item x="676"/>
        <item x="622"/>
        <item x="817"/>
        <item x="628"/>
        <item x="64"/>
        <item x="895"/>
        <item x="860"/>
        <item x="179"/>
        <item x="21"/>
        <item x="401"/>
        <item x="113"/>
        <item x="600"/>
        <item x="963"/>
        <item x="387"/>
        <item x="1045"/>
        <item x="876"/>
        <item x="533"/>
        <item x="720"/>
        <item x="898"/>
        <item x="332"/>
        <item x="1017"/>
        <item x="613"/>
        <item x="6"/>
        <item x="135"/>
        <item x="1178"/>
        <item x="530"/>
        <item x="897"/>
        <item x="93"/>
        <item x="993"/>
        <item x="414"/>
        <item x="192"/>
        <item x="612"/>
        <item x="928"/>
        <item x="1163"/>
        <item x="1071"/>
        <item x="773"/>
        <item x="27"/>
        <item x="764"/>
        <item x="1190"/>
        <item x="593"/>
        <item x="832"/>
        <item x="574"/>
        <item x="149"/>
        <item x="371"/>
        <item x="1198"/>
        <item x="279"/>
        <item x="657"/>
        <item x="691"/>
        <item x="315"/>
        <item x="929"/>
        <item x="250"/>
        <item x="952"/>
        <item x="869"/>
        <item x="758"/>
        <item x="565"/>
        <item x="185"/>
        <item x="442"/>
        <item x="558"/>
        <item x="664"/>
        <item x="727"/>
        <item x="537"/>
        <item x="859"/>
        <item x="624"/>
        <item x="128"/>
        <item x="456"/>
        <item x="1103"/>
        <item x="1112"/>
        <item x="1013"/>
        <item x="1066"/>
        <item x="810"/>
        <item x="653"/>
        <item x="997"/>
        <item x="768"/>
        <item x="504"/>
        <item x="924"/>
        <item x="310"/>
        <item x="1099"/>
        <item x="629"/>
        <item x="732"/>
        <item x="597"/>
        <item x="961"/>
        <item x="377"/>
        <item x="1115"/>
        <item x="936"/>
        <item x="503"/>
        <item x="855"/>
        <item x="775"/>
        <item x="919"/>
        <item x="281"/>
        <item x="303"/>
        <item x="385"/>
        <item x="482"/>
        <item x="564"/>
        <item x="581"/>
        <item x="361"/>
        <item x="734"/>
        <item x="125"/>
        <item x="577"/>
        <item x="524"/>
        <item x="915"/>
        <item x="847"/>
        <item x="85"/>
        <item x="1029"/>
        <item x="243"/>
        <item x="1174"/>
        <item x="25"/>
        <item x="851"/>
        <item x="925"/>
        <item x="751"/>
        <item x="416"/>
        <item x="685"/>
        <item x="173"/>
        <item x="1192"/>
        <item x="309"/>
        <item x="891"/>
        <item x="1019"/>
        <item x="681"/>
        <item x="1048"/>
        <item x="1001"/>
        <item x="227"/>
        <item x="836"/>
        <item x="174"/>
        <item x="419"/>
        <item x="299"/>
        <item x="984"/>
        <item x="1088"/>
        <item x="643"/>
        <item x="746"/>
        <item x="570"/>
        <item x="976"/>
        <item x="438"/>
        <item x="1111"/>
        <item x="791"/>
        <item x="844"/>
        <item x="856"/>
        <item x="508"/>
        <item x="1172"/>
        <item x="1070"/>
        <item x="692"/>
        <item x="1102"/>
        <item x="1169"/>
        <item x="834"/>
        <item x="709"/>
        <item x="575"/>
        <item x="989"/>
        <item x="1006"/>
        <item x="974"/>
        <item x="862"/>
        <item x="1149"/>
        <item x="525"/>
        <item x="696"/>
        <item x="24"/>
        <item x="489"/>
        <item x="1065"/>
        <item x="580"/>
        <item x="3"/>
        <item x="136"/>
        <item x="382"/>
        <item x="608"/>
        <item x="896"/>
        <item x="737"/>
        <item x="1181"/>
        <item x="1114"/>
        <item x="1100"/>
        <item x="977"/>
        <item x="319"/>
        <item x="392"/>
        <item x="731"/>
        <item x="684"/>
        <item x="717"/>
        <item x="1052"/>
        <item x="550"/>
        <item x="421"/>
        <item x="1195"/>
        <item x="505"/>
        <item x="988"/>
        <item x="440"/>
        <item x="1106"/>
        <item x="251"/>
        <item x="132"/>
        <item x="585"/>
        <item x="122"/>
        <item x="557"/>
        <item x="1078"/>
        <item x="973"/>
        <item x="424"/>
        <item x="704"/>
        <item x="216"/>
        <item x="509"/>
        <item x="695"/>
        <item x="799"/>
        <item x="292"/>
        <item x="484"/>
        <item x="913"/>
        <item x="340"/>
        <item x="818"/>
        <item x="257"/>
        <item x="826"/>
        <item x="34"/>
        <item x="144"/>
        <item x="258"/>
        <item x="715"/>
        <item x="880"/>
        <item x="403"/>
        <item x="957"/>
        <item x="453"/>
        <item x="408"/>
        <item x="552"/>
        <item x="757"/>
        <item x="790"/>
        <item x="1129"/>
        <item x="325"/>
        <item x="322"/>
        <item x="451"/>
        <item x="892"/>
        <item x="1148"/>
        <item x="1147"/>
        <item x="5"/>
        <item x="40"/>
        <item x="780"/>
        <item x="211"/>
        <item x="349"/>
        <item x="604"/>
        <item x="209"/>
        <item x="914"/>
        <item x="535"/>
        <item x="599"/>
        <item x="861"/>
        <item x="682"/>
        <item x="488"/>
        <item x="308"/>
        <item x="18"/>
        <item x="455"/>
        <item x="114"/>
        <item x="549"/>
        <item x="738"/>
        <item x="582"/>
        <item x="874"/>
        <item x="711"/>
        <item x="1171"/>
        <item x="468"/>
        <item x="671"/>
        <item x="733"/>
        <item x="1024"/>
        <item x="1188"/>
        <item x="158"/>
        <item x="870"/>
        <item x="140"/>
        <item x="1043"/>
        <item x="932"/>
        <item x="265"/>
        <item x="926"/>
        <item x="998"/>
        <item x="333"/>
        <item x="555"/>
        <item x="1074"/>
        <item x="556"/>
        <item x="983"/>
        <item x="244"/>
        <item x="786"/>
        <item x="1179"/>
        <item x="1109"/>
        <item x="1137"/>
        <item x="342"/>
        <item x="1142"/>
        <item x="821"/>
        <item x="783"/>
        <item x="252"/>
        <item x="270"/>
        <item x="118"/>
        <item x="774"/>
        <item x="819"/>
        <item x="743"/>
        <item x="854"/>
        <item x="420"/>
        <item x="772"/>
        <item x="1056"/>
        <item x="718"/>
        <item x="586"/>
        <item x="602"/>
        <item x="188"/>
        <item x="220"/>
        <item x="945"/>
        <item x="280"/>
        <item x="1126"/>
        <item x="134"/>
        <item x="742"/>
        <item x="205"/>
        <item x="1154"/>
        <item x="813"/>
        <item x="1046"/>
        <item x="105"/>
        <item x="238"/>
        <item x="493"/>
        <item x="583"/>
        <item x="1095"/>
        <item x="249"/>
        <item x="1122"/>
        <item x="2"/>
        <item x="838"/>
        <item x="189"/>
        <item x="418"/>
        <item x="89"/>
        <item x="815"/>
        <item x="713"/>
        <item x="406"/>
        <item x="933"/>
        <item x="355"/>
        <item x="1153"/>
        <item x="106"/>
        <item x="367"/>
        <item x="101"/>
        <item x="534"/>
        <item x="390"/>
        <item x="359"/>
        <item x="1096"/>
        <item x="795"/>
        <item x="749"/>
        <item x="568"/>
        <item x="284"/>
        <item x="88"/>
        <item x="275"/>
        <item x="69"/>
        <item x="490"/>
        <item x="1003"/>
        <item x="822"/>
        <item x="1050"/>
        <item x="516"/>
        <item x="328"/>
        <item x="130"/>
        <item x="247"/>
        <item x="373"/>
        <item x="214"/>
        <item x="222"/>
        <item x="398"/>
        <item x="84"/>
        <item x="96"/>
        <item x="1007"/>
        <item x="242"/>
        <item x="1002"/>
        <item x="649"/>
        <item x="578"/>
        <item x="673"/>
        <item x="992"/>
        <item x="1177"/>
        <item x="200"/>
        <item x="523"/>
        <item x="35"/>
        <item x="393"/>
        <item x="785"/>
        <item x="806"/>
        <item x="481"/>
        <item x="687"/>
        <item x="934"/>
        <item x="207"/>
        <item x="666"/>
        <item x="302"/>
        <item x="544"/>
        <item x="269"/>
        <item x="73"/>
        <item x="954"/>
        <item x="264"/>
        <item x="286"/>
        <item x="465"/>
        <item x="950"/>
        <item x="776"/>
        <item x="948"/>
        <item x="823"/>
        <item x="231"/>
        <item x="1110"/>
        <item x="1072"/>
        <item x="388"/>
        <item x="987"/>
        <item x="1022"/>
        <item x="267"/>
        <item x="116"/>
        <item x="183"/>
        <item x="1076"/>
        <item x="107"/>
        <item x="363"/>
        <item x="1063"/>
        <item x="594"/>
        <item x="326"/>
        <item x="1189"/>
        <item x="576"/>
        <item x="365"/>
        <item x="1031"/>
        <item x="883"/>
        <item x="800"/>
        <item x="1009"/>
        <item x="473"/>
        <item x="263"/>
        <item x="68"/>
        <item x="208"/>
        <item x="972"/>
        <item x="374"/>
        <item x="329"/>
        <item x="1033"/>
        <item x="959"/>
        <item x="1012"/>
        <item x="389"/>
        <item x="767"/>
        <item x="276"/>
        <item x="148"/>
        <item x="680"/>
        <item x="502"/>
        <item x="169"/>
        <item x="457"/>
        <item x="590"/>
        <item x="1058"/>
        <item x="1079"/>
        <item x="364"/>
        <item x="301"/>
        <item x="921"/>
        <item x="659"/>
        <item x="763"/>
        <item x="141"/>
        <item x="739"/>
        <item x="781"/>
        <item x="1134"/>
        <item x="434"/>
        <item x="937"/>
        <item x="344"/>
        <item x="178"/>
        <item x="689"/>
        <item x="147"/>
        <item x="466"/>
        <item x="522"/>
        <item x="311"/>
        <item x="640"/>
        <item x="540"/>
        <item x="1087"/>
        <item x="422"/>
        <item x="877"/>
        <item x="886"/>
        <item x="517"/>
        <item x="240"/>
        <item x="1131"/>
        <item x="793"/>
        <item x="560"/>
        <item x="1170"/>
        <item x="1005"/>
        <item x="1080"/>
        <item x="761"/>
        <item x="705"/>
        <item x="103"/>
        <item x="198"/>
        <item x="589"/>
        <item x="43"/>
        <item x="850"/>
        <item x="143"/>
        <item x="798"/>
        <item x="291"/>
        <item x="300"/>
        <item x="404"/>
        <item x="296"/>
        <item x="110"/>
        <item x="228"/>
        <item x="884"/>
        <item x="563"/>
        <item x="53"/>
        <item x="76"/>
        <item x="75"/>
        <item x="964"/>
        <item x="426"/>
        <item x="397"/>
        <item x="942"/>
        <item x="762"/>
        <item x="981"/>
        <item x="1069"/>
        <item x="1023"/>
        <item x="225"/>
        <item x="965"/>
        <item x="431"/>
        <item x="99"/>
        <item x="760"/>
        <item x="137"/>
        <item x="41"/>
        <item x="1098"/>
        <item x="725"/>
        <item x="605"/>
        <item x="852"/>
        <item x="656"/>
        <item x="827"/>
        <item x="769"/>
        <item x="233"/>
        <item x="744"/>
        <item x="124"/>
        <item x="700"/>
        <item x="127"/>
        <item x="543"/>
        <item x="536"/>
        <item x="1176"/>
        <item x="55"/>
        <item x="331"/>
        <item x="1047"/>
        <item x="1128"/>
        <item x="410"/>
        <item x="229"/>
        <item x="472"/>
        <item x="95"/>
        <item x="358"/>
        <item x="461"/>
        <item x="845"/>
        <item x="908"/>
        <item x="60"/>
        <item x="478"/>
        <item x="458"/>
        <item x="492"/>
        <item x="1068"/>
        <item x="542"/>
        <item x="375"/>
        <item x="1075"/>
        <item x="491"/>
        <item x="538"/>
        <item x="1083"/>
        <item x="1120"/>
        <item x="166"/>
        <item x="888"/>
        <item x="181"/>
        <item x="811"/>
        <item x="882"/>
        <item x="678"/>
        <item x="1091"/>
        <item x="825"/>
        <item x="1092"/>
        <item x="708"/>
        <item x="971"/>
        <item x="378"/>
        <item x="642"/>
        <item x="947"/>
        <item x="282"/>
        <item x="1020"/>
        <item x="927"/>
        <item x="903"/>
        <item x="1057"/>
        <item x="384"/>
        <item x="79"/>
        <item x="155"/>
        <item x="383"/>
        <item x="501"/>
        <item x="766"/>
        <item x="879"/>
        <item x="65"/>
        <item x="636"/>
        <item x="236"/>
        <item x="1059"/>
        <item x="651"/>
        <item x="496"/>
        <item x="360"/>
        <item x="445"/>
        <item x="1040"/>
        <item x="985"/>
        <item x="171"/>
        <item x="745"/>
        <item x="966"/>
        <item x="334"/>
        <item x="97"/>
        <item x="1144"/>
        <item x="59"/>
        <item x="306"/>
        <item x="905"/>
        <item x="370"/>
        <item x="1011"/>
        <item x="679"/>
        <item x="145"/>
        <item x="146"/>
        <item x="469"/>
        <item x="857"/>
        <item x="899"/>
        <item x="787"/>
        <item x="8"/>
        <item x="946"/>
        <item x="572"/>
        <item x="669"/>
        <item x="506"/>
        <item x="1157"/>
        <item x="824"/>
        <item x="104"/>
        <item x="356"/>
        <item x="1162"/>
        <item x="912"/>
        <item x="196"/>
        <item x="441"/>
        <item x="61"/>
        <item x="91"/>
        <item x="901"/>
        <item x="92"/>
        <item x="14"/>
        <item x="614"/>
        <item x="1197"/>
        <item x="728"/>
        <item x="1145"/>
        <item x="730"/>
        <item x="784"/>
        <item x="112"/>
        <item x="314"/>
        <item x="683"/>
        <item x="1039"/>
        <item x="843"/>
        <item x="782"/>
        <item x="98"/>
        <item x="1158"/>
        <item x="248"/>
        <item x="1127"/>
        <item x="1038"/>
        <item x="437"/>
        <item x="559"/>
        <item x="740"/>
        <item x="830"/>
        <item x="0"/>
        <item x="462"/>
        <item x="463"/>
        <item x="956"/>
        <item x="460"/>
        <item x="756"/>
        <item x="439"/>
        <item x="36"/>
        <item x="394"/>
        <item x="241"/>
        <item x="9"/>
        <item x="167"/>
        <item x="232"/>
        <item x="31"/>
        <item x="566"/>
        <item x="288"/>
        <item x="432"/>
        <item x="318"/>
        <item x="52"/>
        <item x="1004"/>
        <item x="13"/>
        <item x="16"/>
        <item x="601"/>
        <item x="1054"/>
        <item x="412"/>
        <item x="1016"/>
        <item x="1055"/>
        <item x="1090"/>
        <item x="894"/>
        <item x="765"/>
        <item x="994"/>
        <item x="647"/>
        <item x="616"/>
        <item x="117"/>
        <item x="42"/>
        <item x="978"/>
        <item x="156"/>
        <item x="1028"/>
        <item x="237"/>
        <item x="701"/>
        <item x="154"/>
        <item x="975"/>
        <item x="1025"/>
        <item x="186"/>
        <item x="777"/>
        <item x="848"/>
        <item x="1014"/>
        <item x="1146"/>
        <item x="592"/>
        <item x="867"/>
        <item x="1161"/>
        <item x="1015"/>
        <item x="519"/>
        <item x="688"/>
        <item x="289"/>
        <item x="351"/>
        <item x="803"/>
        <item x="794"/>
        <item x="729"/>
        <item x="239"/>
        <item x="1121"/>
        <item x="654"/>
        <item x="215"/>
        <item x="849"/>
        <item x="812"/>
        <item x="1135"/>
        <item x="1160"/>
        <item x="165"/>
        <item x="955"/>
        <item x="617"/>
        <item x="119"/>
        <item x="400"/>
        <item x="662"/>
        <item x="548"/>
        <item x="866"/>
        <item x="313"/>
        <item x="551"/>
        <item x="1185"/>
        <item x="206"/>
        <item x="753"/>
        <item x="1152"/>
        <item x="521"/>
        <item x="833"/>
        <item x="863"/>
        <item x="111"/>
        <item x="677"/>
        <item x="906"/>
        <item x="816"/>
        <item x="66"/>
        <item x="413"/>
        <item x="278"/>
        <item x="51"/>
        <item x="1141"/>
        <item x="28"/>
        <item x="665"/>
        <item x="476"/>
        <item x="58"/>
        <item x="839"/>
        <item x="660"/>
        <item x="204"/>
        <item x="1037"/>
        <item x="1108"/>
        <item x="139"/>
        <item x="872"/>
        <item x="193"/>
        <item x="1116"/>
        <item x="741"/>
        <item x="444"/>
        <item x="630"/>
        <item x="1093"/>
        <item x="86"/>
        <item x="706"/>
        <item x="893"/>
        <item x="944"/>
        <item x="213"/>
        <item x="133"/>
        <item x="515"/>
        <item x="907"/>
        <item x="467"/>
        <item x="255"/>
        <item x="305"/>
        <item x="637"/>
        <item x="842"/>
        <item x="938"/>
        <item x="33"/>
        <item x="633"/>
        <item x="809"/>
        <item x="1156"/>
        <item x="805"/>
        <item x="694"/>
        <item x="339"/>
        <item x="427"/>
        <item x="454"/>
        <item x="499"/>
        <item x="968"/>
        <item x="672"/>
        <item x="1113"/>
        <item x="670"/>
        <item x="307"/>
        <item x="667"/>
        <item x="197"/>
        <item x="520"/>
        <item x="1167"/>
        <item x="486"/>
        <item x="293"/>
        <item x="402"/>
        <item x="1"/>
        <item x="770"/>
        <item x="285"/>
        <item x="889"/>
        <item x="661"/>
        <item x="20"/>
        <item x="532"/>
        <item x="858"/>
        <item x="609"/>
        <item x="23"/>
        <item x="500"/>
        <item x="820"/>
        <item x="47"/>
        <item x="513"/>
        <item x="873"/>
        <item x="1186"/>
        <item x="801"/>
        <item x="324"/>
        <item x="320"/>
        <item x="982"/>
        <item x="1061"/>
        <item x="46"/>
        <item x="1067"/>
        <item x="771"/>
        <item x="621"/>
        <item x="789"/>
        <item x="477"/>
        <item x="120"/>
        <item x="1132"/>
        <item x="70"/>
        <item x="1150"/>
        <item x="366"/>
        <item x="969"/>
        <item x="610"/>
        <item x="87"/>
        <item x="686"/>
        <item x="428"/>
        <item x="32"/>
        <item x="338"/>
        <item x="724"/>
        <item x="1182"/>
        <item x="539"/>
        <item x="547"/>
        <item x="494"/>
        <item x="1027"/>
        <item x="1042"/>
        <item x="429"/>
        <item x="268"/>
        <item x="260"/>
        <item x="878"/>
        <item x="471"/>
        <item x="259"/>
        <item x="142"/>
        <item x="94"/>
        <item x="283"/>
        <item x="201"/>
        <item x="917"/>
        <item x="1051"/>
        <item x="887"/>
        <item x="996"/>
        <item x="323"/>
        <item x="483"/>
        <item x="464"/>
        <item x="190"/>
        <item x="990"/>
        <item x="511"/>
        <item x="312"/>
        <item x="710"/>
        <item x="381"/>
        <item x="1107"/>
        <item x="11"/>
        <item x="274"/>
        <item x="900"/>
        <item x="77"/>
        <item x="778"/>
        <item x="405"/>
        <item x="573"/>
        <item x="45"/>
        <item x="102"/>
        <item x="970"/>
        <item x="1077"/>
        <item x="603"/>
        <item x="380"/>
        <item x="909"/>
        <item x="417"/>
        <item x="1097"/>
        <item x="218"/>
        <item x="587"/>
        <item x="109"/>
        <item x="470"/>
        <item x="336"/>
        <item x="261"/>
        <item x="447"/>
        <item x="221"/>
        <item x="83"/>
        <item x="80"/>
        <item x="510"/>
        <item x="1034"/>
        <item x="674"/>
        <item x="50"/>
        <item x="1196"/>
        <item x="1159"/>
        <item x="230"/>
        <item x="348"/>
        <item x="449"/>
        <item x="588"/>
        <item x="902"/>
        <item x="606"/>
        <item x="1035"/>
        <item x="607"/>
        <item x="507"/>
        <item x="853"/>
        <item x="210"/>
        <item x="645"/>
        <item x="631"/>
        <item x="396"/>
        <item x="448"/>
        <item x="67"/>
        <item x="807"/>
        <item x="345"/>
        <item x="57"/>
        <item x="498"/>
        <item x="518"/>
        <item x="160"/>
        <item x="123"/>
        <item x="1183"/>
        <item x="446"/>
        <item x="433"/>
        <item x="699"/>
        <item x="253"/>
        <item x="546"/>
        <item x="129"/>
        <item x="1044"/>
        <item x="598"/>
        <item x="78"/>
        <item x="979"/>
        <item x="316"/>
        <item x="623"/>
        <item x="626"/>
        <item x="411"/>
        <item x="960"/>
        <item x="235"/>
        <item x="81"/>
        <item x="487"/>
        <item x="962"/>
        <item x="82"/>
        <item x="754"/>
        <item x="391"/>
        <item x="707"/>
        <item x="1138"/>
        <item x="831"/>
        <item x="1139"/>
        <item x="26"/>
        <item x="632"/>
        <item x="638"/>
        <item x="615"/>
        <item x="30"/>
        <item x="44"/>
        <item x="172"/>
        <item x="182"/>
        <item x="266"/>
        <item x="881"/>
        <item x="951"/>
        <item x="203"/>
        <item x="1151"/>
        <item x="273"/>
        <item x="12"/>
        <item x="430"/>
        <item x="29"/>
        <item x="443"/>
        <item x="1082"/>
        <item x="321"/>
        <item x="170"/>
        <item x="386"/>
        <item x="1086"/>
        <item x="219"/>
        <item x="584"/>
        <item x="1119"/>
        <item x="217"/>
        <item x="327"/>
        <item x="1084"/>
        <item x="1049"/>
        <item x="723"/>
        <item x="1085"/>
        <item x="1026"/>
        <item x="246"/>
        <item x="865"/>
        <item x="871"/>
        <item x="407"/>
        <item x="479"/>
        <item x="138"/>
        <item x="690"/>
        <item x="100"/>
        <item x="875"/>
        <item x="693"/>
        <item x="352"/>
        <item x="939"/>
        <item x="1166"/>
        <item x="591"/>
        <item x="747"/>
        <item x="829"/>
        <item x="1094"/>
        <item x="1123"/>
        <item x="797"/>
        <item x="1032"/>
        <item x="841"/>
        <item x="941"/>
        <item x="721"/>
        <item x="277"/>
        <item x="4"/>
        <item x="796"/>
        <item x="399"/>
        <item x="376"/>
        <item x="17"/>
        <item x="658"/>
        <item x="562"/>
        <item x="750"/>
        <item x="115"/>
        <item x="620"/>
        <item x="986"/>
        <item x="702"/>
        <item x="48"/>
        <item x="703"/>
        <item x="226"/>
        <item x="1187"/>
        <item x="37"/>
        <item x="596"/>
        <item x="341"/>
        <item x="347"/>
        <item x="1140"/>
        <item x="497"/>
        <item x="663"/>
        <item x="1010"/>
        <item x="635"/>
        <item x="1021"/>
        <item x="545"/>
        <item x="531"/>
        <item x="369"/>
        <item x="54"/>
        <item x="304"/>
        <item x="611"/>
        <item x="150"/>
        <item x="108"/>
        <item x="121"/>
        <item x="1081"/>
        <item x="337"/>
        <item x="748"/>
        <item x="726"/>
        <item x="39"/>
        <item x="480"/>
        <item x="634"/>
        <item x="527"/>
        <item x="788"/>
        <item x="350"/>
        <item x="864"/>
        <item x="561"/>
        <item x="804"/>
        <item x="194"/>
        <item x="62"/>
        <item x="1124"/>
        <item x="1018"/>
        <item x="317"/>
        <item x="1155"/>
        <item x="567"/>
        <item x="74"/>
        <item x="652"/>
        <item x="254"/>
        <item x="90"/>
        <item x="930"/>
        <item x="885"/>
        <item x="290"/>
        <item x="262"/>
        <item x="372"/>
        <item x="579"/>
        <item x="644"/>
        <item x="195"/>
        <item x="814"/>
        <item x="911"/>
        <item x="297"/>
        <item x="779"/>
        <item x="298"/>
        <item x="177"/>
        <item x="212"/>
        <item x="1130"/>
        <item x="495"/>
        <item x="646"/>
        <item x="935"/>
        <item x="1118"/>
        <item x="529"/>
        <item x="175"/>
        <item x="755"/>
        <item x="910"/>
        <item x="1117"/>
        <item x="1125"/>
        <item x="514"/>
        <item x="802"/>
        <item x="697"/>
        <item x="835"/>
        <item x="452"/>
        <item x="71"/>
        <item x="953"/>
        <item x="395"/>
        <item x="168"/>
        <item x="943"/>
        <item x="151"/>
        <item x="162"/>
        <item x="1060"/>
        <item x="719"/>
        <item x="49"/>
        <item x="668"/>
        <item x="245"/>
        <item x="736"/>
        <item x="152"/>
        <item x="330"/>
        <item x="512"/>
        <item x="38"/>
        <item x="1064"/>
        <item x="42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dragToRow="0" dragToCol="0" dragToPage="0" showAll="0" defaultSubtotal="0"/>
  </pivotFields>
  <rowItems count="1">
    <i/>
  </rowItems>
  <colItems count="1">
    <i/>
  </colItems>
  <dataFields count="1">
    <dataField name="Sum of Budget_Targe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45F064F-93AD-44DD-8B15-6A1315E08D1A}"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roduct Category">
  <location ref="A3:B8" firstHeaderRow="1" firstDataRow="1" firstDataCol="1"/>
  <pivotFields count="16">
    <pivotField numFmtId="14" showAll="0">
      <items count="601">
        <item x="79"/>
        <item x="511"/>
        <item x="199"/>
        <item x="86"/>
        <item x="123"/>
        <item x="525"/>
        <item x="29"/>
        <item x="99"/>
        <item x="467"/>
        <item x="346"/>
        <item x="559"/>
        <item x="325"/>
        <item x="52"/>
        <item x="138"/>
        <item x="242"/>
        <item x="151"/>
        <item x="168"/>
        <item x="300"/>
        <item x="313"/>
        <item x="442"/>
        <item x="422"/>
        <item x="187"/>
        <item x="225"/>
        <item x="159"/>
        <item x="380"/>
        <item x="165"/>
        <item x="431"/>
        <item x="474"/>
        <item x="512"/>
        <item x="144"/>
        <item x="154"/>
        <item x="73"/>
        <item x="129"/>
        <item x="360"/>
        <item x="108"/>
        <item x="88"/>
        <item x="318"/>
        <item x="460"/>
        <item x="358"/>
        <item x="553"/>
        <item x="43"/>
        <item x="240"/>
        <item x="424"/>
        <item x="207"/>
        <item x="447"/>
        <item x="569"/>
        <item x="576"/>
        <item x="149"/>
        <item x="173"/>
        <item x="222"/>
        <item x="537"/>
        <item x="493"/>
        <item x="497"/>
        <item x="49"/>
        <item x="238"/>
        <item x="364"/>
        <item x="492"/>
        <item x="304"/>
        <item x="558"/>
        <item x="290"/>
        <item x="87"/>
        <item x="509"/>
        <item x="139"/>
        <item x="298"/>
        <item x="219"/>
        <item x="117"/>
        <item x="428"/>
        <item x="591"/>
        <item x="175"/>
        <item x="102"/>
        <item x="323"/>
        <item x="599"/>
        <item x="595"/>
        <item x="375"/>
        <item x="554"/>
        <item x="80"/>
        <item x="122"/>
        <item x="486"/>
        <item x="51"/>
        <item x="314"/>
        <item x="205"/>
        <item x="0"/>
        <item x="39"/>
        <item x="388"/>
        <item x="434"/>
        <item x="189"/>
        <item x="137"/>
        <item x="93"/>
        <item x="84"/>
        <item x="438"/>
        <item x="120"/>
        <item x="127"/>
        <item x="177"/>
        <item x="295"/>
        <item x="47"/>
        <item x="152"/>
        <item x="403"/>
        <item x="232"/>
        <item x="582"/>
        <item x="289"/>
        <item x="46"/>
        <item x="475"/>
        <item x="371"/>
        <item x="167"/>
        <item x="261"/>
        <item x="389"/>
        <item x="188"/>
        <item x="457"/>
        <item x="463"/>
        <item x="367"/>
        <item x="355"/>
        <item x="294"/>
        <item x="465"/>
        <item x="118"/>
        <item x="251"/>
        <item x="212"/>
        <item x="254"/>
        <item x="476"/>
        <item x="478"/>
        <item x="423"/>
        <item x="69"/>
        <item x="27"/>
        <item x="437"/>
        <item x="31"/>
        <item x="310"/>
        <item x="377"/>
        <item x="521"/>
        <item x="311"/>
        <item x="213"/>
        <item x="107"/>
        <item x="32"/>
        <item x="452"/>
        <item x="541"/>
        <item x="223"/>
        <item x="291"/>
        <item x="510"/>
        <item x="579"/>
        <item x="427"/>
        <item x="505"/>
        <item x="539"/>
        <item x="383"/>
        <item x="36"/>
        <item x="317"/>
        <item x="362"/>
        <item x="155"/>
        <item x="359"/>
        <item x="548"/>
        <item x="384"/>
        <item x="469"/>
        <item x="246"/>
        <item x="279"/>
        <item x="296"/>
        <item x="191"/>
        <item x="508"/>
        <item x="148"/>
        <item x="305"/>
        <item x="575"/>
        <item x="19"/>
        <item x="373"/>
        <item x="163"/>
        <item x="536"/>
        <item x="285"/>
        <item x="44"/>
        <item x="392"/>
        <item x="104"/>
        <item x="264"/>
        <item x="8"/>
        <item x="566"/>
        <item x="301"/>
        <item x="363"/>
        <item x="190"/>
        <item x="81"/>
        <item x="209"/>
        <item x="394"/>
        <item x="164"/>
        <item x="498"/>
        <item x="540"/>
        <item x="255"/>
        <item x="297"/>
        <item x="265"/>
        <item x="195"/>
        <item x="523"/>
        <item x="516"/>
        <item x="142"/>
        <item x="162"/>
        <item x="321"/>
        <item x="468"/>
        <item x="239"/>
        <item x="564"/>
        <item x="439"/>
        <item x="92"/>
        <item x="574"/>
        <item x="387"/>
        <item x="237"/>
        <item x="128"/>
        <item x="315"/>
        <item x="385"/>
        <item x="258"/>
        <item x="551"/>
        <item x="281"/>
        <item x="596"/>
        <item x="75"/>
        <item x="494"/>
        <item x="115"/>
        <item x="146"/>
        <item x="473"/>
        <item x="48"/>
        <item x="354"/>
        <item x="425"/>
        <item x="249"/>
        <item x="462"/>
        <item x="106"/>
        <item x="587"/>
        <item x="366"/>
        <item x="169"/>
        <item x="160"/>
        <item x="259"/>
        <item x="417"/>
        <item x="275"/>
        <item x="446"/>
        <item x="215"/>
        <item x="583"/>
        <item x="507"/>
        <item x="267"/>
        <item x="170"/>
        <item x="231"/>
        <item x="5"/>
        <item x="503"/>
        <item x="57"/>
        <item x="334"/>
        <item x="59"/>
        <item x="408"/>
        <item x="235"/>
        <item x="76"/>
        <item x="109"/>
        <item x="268"/>
        <item x="119"/>
        <item x="410"/>
        <item x="405"/>
        <item x="157"/>
        <item x="276"/>
        <item x="557"/>
        <item x="584"/>
        <item x="531"/>
        <item x="101"/>
        <item x="593"/>
        <item x="543"/>
        <item x="370"/>
        <item x="156"/>
        <item x="236"/>
        <item x="89"/>
        <item x="200"/>
        <item x="252"/>
        <item x="82"/>
        <item x="181"/>
        <item x="150"/>
        <item x="597"/>
        <item x="182"/>
        <item x="485"/>
        <item x="495"/>
        <item x="546"/>
        <item x="350"/>
        <item x="241"/>
        <item x="560"/>
        <item x="538"/>
        <item x="95"/>
        <item x="153"/>
        <item x="562"/>
        <item x="445"/>
        <item x="535"/>
        <item x="65"/>
        <item x="544"/>
        <item x="299"/>
        <item x="1"/>
        <item x="327"/>
        <item x="577"/>
        <item x="443"/>
        <item x="83"/>
        <item x="216"/>
        <item x="528"/>
        <item x="263"/>
        <item x="345"/>
        <item x="340"/>
        <item x="282"/>
        <item x="580"/>
        <item x="158"/>
        <item x="110"/>
        <item x="415"/>
        <item x="37"/>
        <item x="228"/>
        <item x="206"/>
        <item x="309"/>
        <item x="483"/>
        <item x="339"/>
        <item x="489"/>
        <item x="293"/>
        <item x="229"/>
        <item x="274"/>
        <item x="132"/>
        <item x="262"/>
        <item x="34"/>
        <item x="433"/>
        <item x="6"/>
        <item x="337"/>
        <item x="184"/>
        <item x="441"/>
        <item x="202"/>
        <item x="21"/>
        <item x="401"/>
        <item x="269"/>
        <item x="590"/>
        <item x="112"/>
        <item x="530"/>
        <item x="365"/>
        <item x="589"/>
        <item x="278"/>
        <item x="572"/>
        <item x="22"/>
        <item x="351"/>
        <item x="7"/>
        <item x="499"/>
        <item x="328"/>
        <item x="141"/>
        <item x="287"/>
        <item x="15"/>
        <item x="519"/>
        <item x="125"/>
        <item x="60"/>
        <item x="63"/>
        <item x="214"/>
        <item x="41"/>
        <item x="33"/>
        <item x="70"/>
        <item x="348"/>
        <item x="332"/>
        <item x="113"/>
        <item x="134"/>
        <item x="386"/>
        <item x="40"/>
        <item x="481"/>
        <item x="97"/>
        <item x="450"/>
        <item x="247"/>
        <item x="514"/>
        <item x="145"/>
        <item x="54"/>
        <item x="283"/>
        <item x="183"/>
        <item x="286"/>
        <item x="455"/>
        <item x="491"/>
        <item x="448"/>
        <item x="194"/>
        <item x="178"/>
        <item x="284"/>
        <item x="114"/>
        <item x="50"/>
        <item x="500"/>
        <item x="470"/>
        <item x="464"/>
        <item x="227"/>
        <item x="78"/>
        <item x="376"/>
        <item x="352"/>
        <item x="526"/>
        <item x="413"/>
        <item x="517"/>
        <item x="288"/>
        <item x="308"/>
        <item x="454"/>
        <item x="397"/>
        <item x="211"/>
        <item x="329"/>
        <item x="353"/>
        <item x="400"/>
        <item x="131"/>
        <item x="67"/>
        <item x="594"/>
        <item x="121"/>
        <item x="111"/>
        <item x="324"/>
        <item x="336"/>
        <item x="518"/>
        <item x="571"/>
        <item x="429"/>
        <item x="218"/>
        <item x="62"/>
        <item x="208"/>
        <item x="472"/>
        <item x="198"/>
        <item x="484"/>
        <item x="243"/>
        <item x="549"/>
        <item x="105"/>
        <item x="524"/>
        <item x="35"/>
        <item x="451"/>
        <item x="221"/>
        <item x="440"/>
        <item x="369"/>
        <item x="585"/>
        <item x="230"/>
        <item x="26"/>
        <item x="12"/>
        <item x="2"/>
        <item x="10"/>
        <item x="477"/>
        <item x="482"/>
        <item x="55"/>
        <item x="126"/>
        <item x="320"/>
        <item x="13"/>
        <item x="567"/>
        <item x="244"/>
        <item x="91"/>
        <item x="135"/>
        <item x="68"/>
        <item x="203"/>
        <item x="224"/>
        <item x="77"/>
        <item x="133"/>
        <item x="513"/>
        <item x="124"/>
        <item x="179"/>
        <item x="166"/>
        <item x="466"/>
        <item x="185"/>
        <item x="172"/>
        <item x="402"/>
        <item x="506"/>
        <item x="17"/>
        <item x="515"/>
        <item x="316"/>
        <item x="379"/>
        <item x="217"/>
        <item x="307"/>
        <item x="338"/>
        <item x="180"/>
        <item x="456"/>
        <item x="273"/>
        <item x="416"/>
        <item x="435"/>
        <item x="570"/>
        <item x="174"/>
        <item x="581"/>
        <item x="461"/>
        <item x="496"/>
        <item x="58"/>
        <item x="302"/>
        <item x="98"/>
        <item x="341"/>
        <item x="504"/>
        <item x="186"/>
        <item x="292"/>
        <item x="277"/>
        <item x="280"/>
        <item x="74"/>
        <item x="347"/>
        <item x="342"/>
        <item x="3"/>
        <item x="234"/>
        <item x="343"/>
        <item x="16"/>
        <item x="542"/>
        <item x="23"/>
        <item x="331"/>
        <item x="349"/>
        <item x="396"/>
        <item x="140"/>
        <item x="28"/>
        <item x="253"/>
        <item x="96"/>
        <item x="398"/>
        <item x="147"/>
        <item x="458"/>
        <item x="527"/>
        <item x="100"/>
        <item x="326"/>
        <item x="479"/>
        <item x="257"/>
        <item x="335"/>
        <item x="430"/>
        <item x="171"/>
        <item x="436"/>
        <item x="330"/>
        <item x="196"/>
        <item x="487"/>
        <item x="444"/>
        <item x="409"/>
        <item x="197"/>
        <item x="245"/>
        <item x="319"/>
        <item x="272"/>
        <item x="490"/>
        <item x="406"/>
        <item x="381"/>
        <item x="220"/>
        <item x="24"/>
        <item x="312"/>
        <item x="14"/>
        <item x="393"/>
        <item x="522"/>
        <item x="56"/>
        <item x="248"/>
        <item x="573"/>
        <item x="143"/>
        <item x="547"/>
        <item x="502"/>
        <item x="592"/>
        <item x="586"/>
        <item x="390"/>
        <item x="38"/>
        <item x="414"/>
        <item x="30"/>
        <item x="130"/>
        <item x="561"/>
        <item x="378"/>
        <item x="306"/>
        <item x="210"/>
        <item x="64"/>
        <item x="418"/>
        <item x="534"/>
        <item x="204"/>
        <item x="192"/>
        <item x="578"/>
        <item x="116"/>
        <item x="136"/>
        <item x="404"/>
        <item x="598"/>
        <item x="419"/>
        <item x="322"/>
        <item x="18"/>
        <item x="11"/>
        <item x="260"/>
        <item x="399"/>
        <item x="453"/>
        <item x="533"/>
        <item x="552"/>
        <item x="71"/>
        <item x="395"/>
        <item x="520"/>
        <item x="25"/>
        <item x="233"/>
        <item x="556"/>
        <item x="391"/>
        <item x="94"/>
        <item x="103"/>
        <item x="90"/>
        <item x="568"/>
        <item x="72"/>
        <item x="193"/>
        <item x="45"/>
        <item x="407"/>
        <item x="250"/>
        <item x="176"/>
        <item x="361"/>
        <item x="372"/>
        <item x="532"/>
        <item x="374"/>
        <item x="412"/>
        <item x="256"/>
        <item x="344"/>
        <item x="421"/>
        <item x="333"/>
        <item x="356"/>
        <item x="4"/>
        <item x="529"/>
        <item x="488"/>
        <item x="53"/>
        <item x="449"/>
        <item x="565"/>
        <item x="357"/>
        <item x="271"/>
        <item x="85"/>
        <item x="42"/>
        <item x="459"/>
        <item x="161"/>
        <item x="266"/>
        <item x="303"/>
        <item x="550"/>
        <item x="545"/>
        <item x="270"/>
        <item x="426"/>
        <item x="20"/>
        <item x="588"/>
        <item x="420"/>
        <item x="480"/>
        <item x="66"/>
        <item x="201"/>
        <item x="555"/>
        <item x="61"/>
        <item x="563"/>
        <item x="501"/>
        <item x="368"/>
        <item x="382"/>
        <item x="432"/>
        <item x="411"/>
        <item x="9"/>
        <item x="226"/>
        <item x="471"/>
        <item t="default"/>
      </items>
    </pivotField>
    <pivotField showAll="0">
      <items count="5">
        <item x="1"/>
        <item x="2"/>
        <item x="0"/>
        <item x="3"/>
        <item t="default"/>
      </items>
    </pivotField>
    <pivotField axis="axisRow" showAll="0">
      <items count="5">
        <item x="2"/>
        <item x="1"/>
        <item x="0"/>
        <item x="3"/>
        <item t="default"/>
      </items>
    </pivotField>
    <pivotField showAll="0">
      <items count="4">
        <item x="1"/>
        <item x="0"/>
        <item x="2"/>
        <item t="default"/>
      </items>
    </pivotField>
    <pivotField showAll="0">
      <items count="1197">
        <item x="78"/>
        <item x="100"/>
        <item x="135"/>
        <item x="575"/>
        <item x="174"/>
        <item x="610"/>
        <item x="730"/>
        <item x="508"/>
        <item x="55"/>
        <item x="315"/>
        <item x="1011"/>
        <item x="1113"/>
        <item x="1148"/>
        <item x="577"/>
        <item x="825"/>
        <item x="219"/>
        <item x="1166"/>
        <item x="375"/>
        <item x="672"/>
        <item x="563"/>
        <item x="214"/>
        <item x="981"/>
        <item x="615"/>
        <item x="355"/>
        <item x="109"/>
        <item x="103"/>
        <item x="145"/>
        <item x="516"/>
        <item x="953"/>
        <item x="889"/>
        <item x="998"/>
        <item x="849"/>
        <item x="553"/>
        <item x="476"/>
        <item x="443"/>
        <item x="625"/>
        <item x="1046"/>
        <item x="30"/>
        <item x="395"/>
        <item x="914"/>
        <item x="887"/>
        <item x="144"/>
        <item x="237"/>
        <item x="40"/>
        <item x="400"/>
        <item x="413"/>
        <item x="392"/>
        <item x="1172"/>
        <item x="172"/>
        <item x="149"/>
        <item x="69"/>
        <item x="325"/>
        <item x="283"/>
        <item x="346"/>
        <item x="1176"/>
        <item x="92"/>
        <item x="1020"/>
        <item x="943"/>
        <item x="1068"/>
        <item x="179"/>
        <item x="907"/>
        <item x="388"/>
        <item x="86"/>
        <item x="98"/>
        <item x="604"/>
        <item x="1006"/>
        <item x="382"/>
        <item x="222"/>
        <item x="331"/>
        <item x="217"/>
        <item x="1178"/>
        <item x="439"/>
        <item x="1137"/>
        <item x="756"/>
        <item x="743"/>
        <item x="793"/>
        <item x="28"/>
        <item x="671"/>
        <item x="840"/>
        <item x="710"/>
        <item x="364"/>
        <item x="105"/>
        <item x="115"/>
        <item x="409"/>
        <item x="712"/>
        <item x="350"/>
        <item x="674"/>
        <item x="139"/>
        <item x="527"/>
        <item x="197"/>
        <item x="1015"/>
        <item x="955"/>
        <item x="59"/>
        <item x="158"/>
        <item x="1026"/>
        <item x="776"/>
        <item x="425"/>
        <item x="728"/>
        <item x="383"/>
        <item x="1182"/>
        <item x="920"/>
        <item x="347"/>
        <item x="1136"/>
        <item x="454"/>
        <item x="75"/>
        <item x="1081"/>
        <item x="681"/>
        <item x="97"/>
        <item x="99"/>
        <item x="646"/>
        <item x="379"/>
        <item x="327"/>
        <item x="661"/>
        <item x="142"/>
        <item x="494"/>
        <item x="1175"/>
        <item x="265"/>
        <item x="330"/>
        <item x="565"/>
        <item x="853"/>
        <item x="540"/>
        <item x="258"/>
        <item x="833"/>
        <item x="1038"/>
        <item x="630"/>
        <item x="729"/>
        <item x="1070"/>
        <item x="123"/>
        <item x="1123"/>
        <item x="587"/>
        <item x="146"/>
        <item x="582"/>
        <item x="120"/>
        <item x="623"/>
        <item x="1104"/>
        <item x="1170"/>
        <item x="444"/>
        <item x="304"/>
        <item x="762"/>
        <item x="603"/>
        <item x="190"/>
        <item x="93"/>
        <item x="721"/>
        <item x="855"/>
        <item x="529"/>
        <item x="1069"/>
        <item x="1174"/>
        <item x="821"/>
        <item x="430"/>
        <item x="1162"/>
        <item x="50"/>
        <item x="1034"/>
        <item x="288"/>
        <item x="1187"/>
        <item x="1177"/>
        <item x="780"/>
        <item x="308"/>
        <item x="493"/>
        <item x="406"/>
        <item x="1049"/>
        <item x="345"/>
        <item x="488"/>
        <item x="545"/>
        <item x="733"/>
        <item x="858"/>
        <item x="1169"/>
        <item x="1050"/>
        <item x="1168"/>
        <item x="284"/>
        <item x="1110"/>
        <item x="440"/>
        <item x="396"/>
        <item x="918"/>
        <item x="768"/>
        <item x="724"/>
        <item x="617"/>
        <item x="62"/>
        <item x="1045"/>
        <item x="1016"/>
        <item x="1030"/>
        <item x="465"/>
        <item x="704"/>
        <item x="37"/>
        <item x="608"/>
        <item x="148"/>
        <item x="1075"/>
        <item x="171"/>
        <item x="463"/>
        <item x="134"/>
        <item x="453"/>
        <item x="173"/>
        <item x="831"/>
        <item x="515"/>
        <item x="535"/>
        <item x="1043"/>
        <item x="789"/>
        <item x="422"/>
        <item x="136"/>
        <item x="962"/>
        <item x="475"/>
        <item x="578"/>
        <item x="862"/>
        <item x="817"/>
        <item x="804"/>
        <item x="1158"/>
        <item x="195"/>
        <item x="467"/>
        <item x="177"/>
        <item x="814"/>
        <item x="452"/>
        <item x="913"/>
        <item x="445"/>
        <item x="57"/>
        <item x="585"/>
        <item x="960"/>
        <item x="792"/>
        <item x="626"/>
        <item x="361"/>
        <item x="1120"/>
        <item x="697"/>
        <item x="320"/>
        <item x="683"/>
        <item x="335"/>
        <item x="900"/>
        <item x="206"/>
        <item x="784"/>
        <item x="732"/>
        <item x="785"/>
        <item x="260"/>
        <item x="309"/>
        <item x="1139"/>
        <item x="1130"/>
        <item x="9"/>
        <item x="945"/>
        <item x="245"/>
        <item x="834"/>
        <item x="622"/>
        <item x="650"/>
        <item x="908"/>
        <item x="1053"/>
        <item x="456"/>
        <item x="916"/>
        <item x="902"/>
        <item x="827"/>
        <item x="151"/>
        <item x="352"/>
        <item x="464"/>
        <item x="957"/>
        <item x="746"/>
        <item x="875"/>
        <item x="901"/>
        <item x="911"/>
        <item x="693"/>
        <item x="274"/>
        <item x="193"/>
        <item x="951"/>
        <item x="501"/>
        <item x="289"/>
        <item x="1028"/>
        <item x="1145"/>
        <item x="160"/>
        <item x="25"/>
        <item x="338"/>
        <item x="959"/>
        <item x="727"/>
        <item x="1132"/>
        <item x="1084"/>
        <item x="45"/>
        <item x="725"/>
        <item x="49"/>
        <item x="381"/>
        <item x="261"/>
        <item x="1066"/>
        <item x="21"/>
        <item x="614"/>
        <item x="32"/>
        <item x="939"/>
        <item x="915"/>
        <item x="24"/>
        <item x="1156"/>
        <item x="368"/>
        <item x="15"/>
        <item x="102"/>
        <item x="490"/>
        <item x="218"/>
        <item x="600"/>
        <item x="270"/>
        <item x="885"/>
        <item x="241"/>
        <item x="507"/>
        <item x="663"/>
        <item x="1146"/>
        <item x="938"/>
        <item x="108"/>
        <item x="711"/>
        <item x="922"/>
        <item x="474"/>
        <item x="992"/>
        <item x="1033"/>
        <item x="299"/>
        <item x="324"/>
        <item x="1054"/>
        <item x="613"/>
        <item x="1000"/>
        <item x="353"/>
        <item x="645"/>
        <item x="298"/>
        <item x="253"/>
        <item x="740"/>
        <item x="94"/>
        <item x="766"/>
        <item x="38"/>
        <item x="832"/>
        <item x="567"/>
        <item x="965"/>
        <item x="971"/>
        <item x="380"/>
        <item x="616"/>
        <item x="1115"/>
        <item x="861"/>
        <item x="818"/>
        <item x="555"/>
        <item x="1057"/>
        <item x="1003"/>
        <item x="473"/>
        <item x="891"/>
        <item x="581"/>
        <item x="207"/>
        <item x="1025"/>
        <item x="638"/>
        <item x="707"/>
        <item x="921"/>
        <item x="1010"/>
        <item x="460"/>
        <item x="269"/>
        <item x="434"/>
        <item x="612"/>
        <item x="520"/>
        <item x="129"/>
        <item x="397"/>
        <item x="777"/>
        <item x="932"/>
        <item x="1023"/>
        <item x="843"/>
        <item x="696"/>
        <item x="870"/>
        <item x="877"/>
        <item x="764"/>
        <item x="941"/>
        <item x="850"/>
        <item x="1004"/>
        <item x="1085"/>
        <item x="127"/>
        <item x="595"/>
        <item x="221"/>
        <item x="892"/>
        <item x="470"/>
        <item x="429"/>
        <item x="141"/>
        <item x="874"/>
        <item x="424"/>
        <item x="111"/>
        <item x="1190"/>
        <item x="372"/>
        <item x="1060"/>
        <item x="761"/>
        <item x="293"/>
        <item x="186"/>
        <item x="54"/>
        <item x="735"/>
        <item x="198"/>
        <item x="737"/>
        <item x="848"/>
        <item x="1181"/>
        <item x="607"/>
        <item x="236"/>
        <item x="232"/>
        <item x="750"/>
        <item x="39"/>
        <item x="294"/>
        <item x="213"/>
        <item x="285"/>
        <item x="96"/>
        <item x="963"/>
        <item x="1103"/>
        <item x="708"/>
        <item x="212"/>
        <item x="897"/>
        <item x="239"/>
        <item x="1112"/>
        <item x="665"/>
        <item x="34"/>
        <item x="639"/>
        <item x="566"/>
        <item x="228"/>
        <item x="629"/>
        <item x="229"/>
        <item x="1"/>
        <item x="1167"/>
        <item x="121"/>
        <item x="842"/>
        <item x="243"/>
        <item x="275"/>
        <item x="385"/>
        <item x="280"/>
        <item x="879"/>
        <item x="147"/>
        <item x="414"/>
        <item x="76"/>
        <item x="1089"/>
        <item x="279"/>
        <item x="1131"/>
        <item x="808"/>
        <item x="336"/>
        <item x="1163"/>
        <item x="548"/>
        <item x="403"/>
        <item x="925"/>
        <item x="1106"/>
        <item x="12"/>
        <item x="87"/>
        <item x="698"/>
        <item x="131"/>
        <item x="437"/>
        <item x="14"/>
        <item x="31"/>
        <item x="845"/>
        <item x="1012"/>
        <item x="649"/>
        <item x="1184"/>
        <item x="61"/>
        <item x="389"/>
        <item x="975"/>
        <item x="367"/>
        <item x="110"/>
        <item x="1099"/>
        <item x="1027"/>
        <item x="435"/>
        <item x="982"/>
        <item x="83"/>
        <item x="104"/>
        <item x="747"/>
        <item x="586"/>
        <item x="533"/>
        <item x="167"/>
        <item x="1022"/>
        <item x="466"/>
        <item x="723"/>
        <item x="72"/>
        <item x="489"/>
        <item x="1140"/>
        <item x="643"/>
        <item x="374"/>
        <item x="890"/>
        <item x="709"/>
        <item x="192"/>
        <item x="865"/>
        <item x="503"/>
        <item x="819"/>
        <item x="1164"/>
        <item x="53"/>
        <item x="1155"/>
        <item x="64"/>
        <item x="1056"/>
        <item x="318"/>
        <item x="1135"/>
        <item x="522"/>
        <item x="745"/>
        <item x="899"/>
        <item x="978"/>
        <item x="1188"/>
        <item x="257"/>
        <item x="809"/>
        <item x="557"/>
        <item x="233"/>
        <item x="116"/>
        <item x="544"/>
        <item x="618"/>
        <item x="5"/>
        <item x="36"/>
        <item x="798"/>
        <item x="1024"/>
        <item x="356"/>
        <item x="966"/>
        <item x="66"/>
        <item x="751"/>
        <item x="41"/>
        <item x="1094"/>
        <item x="1087"/>
        <item x="644"/>
        <item x="47"/>
        <item x="458"/>
        <item x="332"/>
        <item x="796"/>
        <item x="16"/>
        <item x="89"/>
        <item x="748"/>
        <item x="692"/>
        <item x="1154"/>
        <item x="1144"/>
        <item x="620"/>
        <item x="22"/>
        <item x="450"/>
        <item x="774"/>
        <item x="574"/>
        <item x="1090"/>
        <item x="895"/>
        <item x="904"/>
        <item x="584"/>
        <item x="498"/>
        <item x="68"/>
        <item x="362"/>
        <item x="715"/>
        <item x="703"/>
        <item x="199"/>
        <item x="354"/>
        <item x="322"/>
        <item x="249"/>
        <item x="906"/>
        <item x="316"/>
        <item x="598"/>
        <item x="481"/>
        <item x="1073"/>
        <item x="88"/>
        <item x="551"/>
        <item x="806"/>
        <item x="1018"/>
        <item x="1061"/>
        <item x="673"/>
        <item x="800"/>
        <item x="686"/>
        <item x="864"/>
        <item x="196"/>
        <item x="244"/>
        <item x="1077"/>
        <item x="185"/>
        <item x="1008"/>
        <item x="386"/>
        <item x="930"/>
        <item x="844"/>
        <item x="543"/>
        <item x="455"/>
        <item x="659"/>
        <item x="415"/>
        <item x="491"/>
        <item x="1062"/>
        <item x="628"/>
        <item x="1080"/>
        <item x="866"/>
        <item x="140"/>
        <item x="896"/>
        <item x="1051"/>
        <item x="302"/>
        <item x="1035"/>
        <item x="1109"/>
        <item x="991"/>
        <item x="547"/>
        <item x="358"/>
        <item x="863"/>
        <item x="224"/>
        <item x="7"/>
        <item x="689"/>
        <item x="408"/>
        <item x="589"/>
        <item x="676"/>
        <item x="989"/>
        <item x="666"/>
        <item x="1134"/>
        <item x="771"/>
        <item x="731"/>
        <item x="479"/>
        <item x="967"/>
        <item x="161"/>
        <item x="1048"/>
        <item x="1088"/>
        <item x="691"/>
        <item x="813"/>
        <item x="235"/>
        <item x="869"/>
        <item x="1161"/>
        <item x="621"/>
        <item x="779"/>
        <item x="107"/>
        <item x="637"/>
        <item x="42"/>
        <item x="427"/>
        <item x="268"/>
        <item x="647"/>
        <item x="738"/>
        <item x="741"/>
        <item x="119"/>
        <item x="256"/>
        <item x="1092"/>
        <item x="801"/>
        <item x="749"/>
        <item x="132"/>
        <item x="300"/>
        <item x="441"/>
        <item x="1001"/>
        <item x="303"/>
        <item x="534"/>
        <item x="935"/>
        <item x="188"/>
        <item x="461"/>
        <item x="248"/>
        <item x="590"/>
        <item x="189"/>
        <item x="1047"/>
        <item x="660"/>
        <item x="839"/>
        <item x="558"/>
        <item x="138"/>
        <item x="1014"/>
        <item x="321"/>
        <item x="583"/>
        <item x="410"/>
        <item x="846"/>
        <item x="180"/>
        <item x="176"/>
        <item x="820"/>
        <item x="0"/>
        <item x="150"/>
        <item x="1108"/>
        <item x="506"/>
        <item x="722"/>
        <item x="1191"/>
        <item x="1186"/>
        <item x="187"/>
        <item x="371"/>
        <item x="988"/>
        <item x="754"/>
        <item x="964"/>
        <item x="126"/>
        <item x="2"/>
        <item x="726"/>
        <item x="1076"/>
        <item x="495"/>
        <item x="79"/>
        <item x="412"/>
        <item x="376"/>
        <item x="486"/>
        <item x="1180"/>
        <item x="782"/>
        <item x="773"/>
        <item x="340"/>
        <item x="337"/>
        <item x="702"/>
        <item x="1142"/>
        <item x="580"/>
        <item x="946"/>
        <item x="995"/>
        <item x="114"/>
        <item x="81"/>
        <item x="1032"/>
        <item x="451"/>
        <item x="940"/>
        <item x="788"/>
        <item x="210"/>
        <item x="884"/>
        <item x="684"/>
        <item x="700"/>
        <item x="6"/>
        <item x="640"/>
        <item x="1102"/>
        <item x="306"/>
        <item x="154"/>
        <item x="423"/>
        <item x="851"/>
        <item x="699"/>
        <item x="588"/>
        <item x="117"/>
        <item x="264"/>
        <item x="990"/>
        <item x="772"/>
        <item x="517"/>
        <item x="576"/>
        <item x="44"/>
        <item x="868"/>
        <item x="552"/>
        <item x="579"/>
        <item x="753"/>
        <item x="153"/>
        <item x="1149"/>
        <item x="163"/>
        <item x="84"/>
        <item x="128"/>
        <item x="836"/>
        <item x="624"/>
        <item x="420"/>
        <item x="976"/>
        <item x="418"/>
        <item x="391"/>
        <item x="1173"/>
        <item x="469"/>
        <item x="291"/>
        <item x="635"/>
        <item x="311"/>
        <item x="1021"/>
        <item x="537"/>
        <item x="449"/>
        <item x="1059"/>
        <item x="950"/>
        <item x="714"/>
        <item x="227"/>
        <item x="143"/>
        <item x="816"/>
        <item x="234"/>
        <item x="519"/>
        <item x="1111"/>
        <item x="923"/>
        <item x="73"/>
        <item x="958"/>
        <item x="987"/>
        <item x="1041"/>
        <item x="826"/>
        <item x="446"/>
        <item x="786"/>
        <item x="70"/>
        <item x="296"/>
        <item x="656"/>
        <item x="790"/>
        <item x="1036"/>
        <item x="215"/>
        <item x="559"/>
        <item x="883"/>
        <item x="156"/>
        <item x="531"/>
        <item x="162"/>
        <item x="984"/>
        <item x="886"/>
        <item x="539"/>
        <item x="759"/>
        <item x="550"/>
        <item x="301"/>
        <item x="770"/>
        <item x="980"/>
        <item x="1037"/>
        <item x="477"/>
        <item x="807"/>
        <item x="878"/>
        <item x="169"/>
        <item x="1138"/>
        <item x="974"/>
        <item x="1192"/>
        <item x="929"/>
        <item x="716"/>
        <item x="668"/>
        <item x="795"/>
        <item x="407"/>
        <item x="504"/>
        <item x="1107"/>
        <item x="736"/>
        <item x="658"/>
        <item x="876"/>
        <item x="969"/>
        <item x="357"/>
        <item x="401"/>
        <item x="67"/>
        <item x="369"/>
        <item x="1067"/>
        <item x="23"/>
        <item x="238"/>
        <item x="482"/>
        <item x="52"/>
        <item x="259"/>
        <item x="82"/>
        <item x="791"/>
        <item x="653"/>
        <item x="194"/>
        <item x="903"/>
        <item x="822"/>
        <item x="1121"/>
        <item x="231"/>
        <item x="1183"/>
        <item x="657"/>
        <item x="394"/>
        <item x="910"/>
        <item x="758"/>
        <item x="419"/>
        <item x="178"/>
        <item x="752"/>
        <item x="226"/>
        <item x="168"/>
        <item x="983"/>
        <item x="682"/>
        <item x="4"/>
        <item x="560"/>
        <item x="416"/>
        <item x="734"/>
        <item x="973"/>
        <item x="944"/>
        <item x="611"/>
        <item x="619"/>
        <item x="365"/>
        <item x="952"/>
        <item x="694"/>
        <item x="133"/>
        <item x="961"/>
        <item x="225"/>
        <item x="652"/>
        <item x="1055"/>
        <item x="572"/>
        <item x="313"/>
        <item x="277"/>
        <item x="208"/>
        <item x="631"/>
        <item x="366"/>
        <item x="1125"/>
        <item x="739"/>
        <item x="411"/>
        <item x="605"/>
        <item x="742"/>
        <item x="74"/>
        <item x="562"/>
        <item x="799"/>
        <item x="852"/>
        <item x="384"/>
        <item x="1119"/>
        <item x="695"/>
        <item x="669"/>
        <item x="1095"/>
        <item x="680"/>
        <item x="286"/>
        <item x="113"/>
        <item x="778"/>
        <item x="760"/>
        <item x="571"/>
        <item x="591"/>
        <item x="342"/>
        <item x="882"/>
        <item x="593"/>
        <item x="810"/>
        <item x="1064"/>
        <item x="282"/>
        <item x="312"/>
        <item x="58"/>
        <item x="339"/>
        <item x="972"/>
        <item x="370"/>
        <item x="35"/>
        <item x="33"/>
        <item x="781"/>
        <item x="319"/>
        <item x="1079"/>
        <item x="841"/>
        <item x="17"/>
        <item x="767"/>
        <item x="442"/>
        <item x="344"/>
        <item x="310"/>
        <item x="223"/>
        <item x="471"/>
        <item x="181"/>
        <item x="873"/>
        <item x="954"/>
        <item x="641"/>
        <item x="854"/>
        <item x="606"/>
        <item x="27"/>
        <item x="448"/>
        <item x="1114"/>
        <item x="71"/>
        <item x="468"/>
        <item x="1153"/>
        <item x="29"/>
        <item x="763"/>
        <item x="942"/>
        <item x="271"/>
        <item x="426"/>
        <item x="170"/>
        <item x="601"/>
        <item x="1185"/>
        <item x="847"/>
        <item x="667"/>
        <item x="824"/>
        <item x="457"/>
        <item x="317"/>
        <item x="985"/>
        <item x="905"/>
        <item x="642"/>
        <item x="713"/>
        <item x="881"/>
        <item x="872"/>
        <item x="546"/>
        <item x="433"/>
        <item x="220"/>
        <item x="654"/>
        <item x="48"/>
        <item x="596"/>
        <item x="122"/>
        <item x="634"/>
        <item x="1141"/>
        <item x="838"/>
        <item x="510"/>
        <item x="556"/>
        <item x="246"/>
        <item x="3"/>
        <item x="993"/>
        <item x="977"/>
        <item x="1083"/>
        <item x="26"/>
        <item x="216"/>
        <item x="979"/>
        <item x="1101"/>
        <item x="894"/>
        <item x="118"/>
        <item x="599"/>
        <item x="307"/>
        <item x="532"/>
        <item x="996"/>
        <item x="333"/>
        <item x="204"/>
        <item x="602"/>
        <item x="919"/>
        <item x="254"/>
        <item x="1157"/>
        <item x="1179"/>
        <item x="497"/>
        <item x="1143"/>
        <item x="1147"/>
        <item x="1193"/>
        <item x="1082"/>
        <item x="859"/>
        <item x="909"/>
        <item x="997"/>
        <item x="106"/>
        <item x="917"/>
        <item x="670"/>
        <item x="933"/>
        <item x="95"/>
        <item x="242"/>
        <item x="994"/>
        <item x="77"/>
        <item x="829"/>
        <item x="812"/>
        <item x="888"/>
        <item x="343"/>
        <item x="314"/>
        <item x="561"/>
        <item x="541"/>
        <item x="431"/>
        <item x="679"/>
        <item x="542"/>
        <item x="326"/>
        <item x="159"/>
        <item x="802"/>
        <item x="480"/>
        <item x="1071"/>
        <item x="205"/>
        <item x="1042"/>
        <item x="1074"/>
        <item x="360"/>
        <item x="675"/>
        <item x="837"/>
        <item x="1171"/>
        <item x="428"/>
        <item x="1029"/>
        <item x="432"/>
        <item x="276"/>
        <item x="706"/>
        <item x="1124"/>
        <item x="305"/>
        <item x="247"/>
        <item x="292"/>
        <item x="1128"/>
        <item x="1150"/>
        <item x="797"/>
        <item x="1127"/>
        <item x="948"/>
        <item x="1013"/>
        <item x="421"/>
        <item x="184"/>
        <item x="857"/>
        <item x="266"/>
        <item x="334"/>
        <item x="1063"/>
        <item x="203"/>
        <item x="438"/>
        <item x="209"/>
        <item x="65"/>
        <item x="278"/>
        <item x="514"/>
        <item x="569"/>
        <item x="323"/>
        <item x="101"/>
        <item x="1031"/>
        <item x="1160"/>
        <item x="528"/>
        <item x="947"/>
        <item x="377"/>
        <item x="130"/>
        <item x="592"/>
        <item x="898"/>
        <item x="1098"/>
        <item x="1189"/>
        <item x="526"/>
        <item x="152"/>
        <item x="1007"/>
        <item x="536"/>
        <item x="505"/>
        <item x="893"/>
        <item x="183"/>
        <item x="43"/>
        <item x="472"/>
        <item x="80"/>
        <item x="999"/>
        <item x="570"/>
        <item x="525"/>
        <item x="755"/>
        <item x="484"/>
        <item x="787"/>
        <item x="8"/>
        <item x="513"/>
        <item x="90"/>
        <item x="509"/>
        <item x="511"/>
        <item x="931"/>
        <item x="164"/>
        <item x="568"/>
        <item x="499"/>
        <item x="60"/>
        <item x="949"/>
        <item x="1152"/>
        <item x="1040"/>
        <item x="91"/>
        <item x="351"/>
        <item x="378"/>
        <item x="765"/>
        <item x="85"/>
        <item x="1105"/>
        <item x="609"/>
        <item x="860"/>
        <item x="202"/>
        <item x="880"/>
        <item x="718"/>
        <item x="705"/>
        <item x="530"/>
        <item x="166"/>
        <item x="18"/>
        <item x="1009"/>
        <item x="393"/>
        <item x="1072"/>
        <item x="744"/>
        <item x="521"/>
        <item x="404"/>
        <item x="688"/>
        <item x="112"/>
        <item x="720"/>
        <item x="867"/>
        <item x="1129"/>
        <item x="1118"/>
        <item x="290"/>
        <item x="211"/>
        <item x="1039"/>
        <item x="678"/>
        <item x="823"/>
        <item x="191"/>
        <item x="956"/>
        <item x="1195"/>
        <item x="518"/>
        <item x="1002"/>
        <item x="775"/>
        <item x="769"/>
        <item x="348"/>
        <item x="662"/>
        <item x="402"/>
        <item x="251"/>
        <item x="502"/>
        <item x="297"/>
        <item x="1086"/>
        <item x="436"/>
        <item x="934"/>
        <item x="200"/>
        <item x="1093"/>
        <item x="633"/>
        <item x="10"/>
        <item x="273"/>
        <item x="1017"/>
        <item x="936"/>
        <item x="685"/>
        <item x="1116"/>
        <item x="805"/>
        <item x="252"/>
        <item x="349"/>
        <item x="1005"/>
        <item x="835"/>
        <item x="687"/>
        <item x="597"/>
        <item x="1117"/>
        <item x="564"/>
        <item x="757"/>
        <item x="20"/>
        <item x="970"/>
        <item x="19"/>
        <item x="459"/>
        <item x="1091"/>
        <item x="405"/>
        <item x="46"/>
        <item x="263"/>
        <item x="783"/>
        <item x="201"/>
        <item x="373"/>
        <item x="250"/>
        <item x="1052"/>
        <item x="124"/>
        <item x="701"/>
        <item x="496"/>
        <item x="240"/>
        <item x="928"/>
        <item x="912"/>
        <item x="523"/>
        <item x="1096"/>
        <item x="182"/>
        <item x="717"/>
        <item x="549"/>
        <item x="524"/>
        <item x="137"/>
        <item x="125"/>
        <item x="363"/>
        <item x="447"/>
        <item x="462"/>
        <item x="655"/>
        <item x="165"/>
        <item x="926"/>
        <item x="1122"/>
        <item x="1065"/>
        <item x="690"/>
        <item x="155"/>
        <item x="794"/>
        <item x="1151"/>
        <item x="255"/>
        <item x="328"/>
        <item x="1019"/>
        <item x="828"/>
        <item x="573"/>
        <item x="856"/>
        <item x="359"/>
        <item x="719"/>
        <item x="512"/>
        <item x="398"/>
        <item x="483"/>
        <item x="803"/>
        <item x="11"/>
        <item x="1165"/>
        <item x="1044"/>
        <item x="1100"/>
        <item x="230"/>
        <item x="937"/>
        <item x="387"/>
        <item x="56"/>
        <item x="1097"/>
        <item x="632"/>
        <item x="830"/>
        <item x="871"/>
        <item x="262"/>
        <item x="487"/>
        <item x="924"/>
        <item x="968"/>
        <item x="554"/>
        <item x="485"/>
        <item x="478"/>
        <item x="627"/>
        <item x="538"/>
        <item x="677"/>
        <item x="417"/>
        <item x="399"/>
        <item x="51"/>
        <item x="1078"/>
        <item x="13"/>
        <item x="1126"/>
        <item x="1159"/>
        <item x="281"/>
        <item x="664"/>
        <item x="636"/>
        <item x="287"/>
        <item x="651"/>
        <item x="986"/>
        <item x="815"/>
        <item x="927"/>
        <item x="594"/>
        <item x="63"/>
        <item x="1058"/>
        <item x="648"/>
        <item x="329"/>
        <item x="492"/>
        <item x="267"/>
        <item x="811"/>
        <item x="390"/>
        <item x="157"/>
        <item x="295"/>
        <item x="341"/>
        <item x="1194"/>
        <item x="175"/>
        <item x="500"/>
        <item x="1133"/>
        <item x="272"/>
        <item t="default"/>
      </items>
    </pivotField>
    <pivotField showAll="0">
      <items count="1199">
        <item x="78"/>
        <item x="100"/>
        <item x="1115"/>
        <item x="609"/>
        <item x="219"/>
        <item x="729"/>
        <item x="1150"/>
        <item x="614"/>
        <item x="55"/>
        <item x="671"/>
        <item x="574"/>
        <item x="109"/>
        <item x="174"/>
        <item x="135"/>
        <item x="824"/>
        <item x="841"/>
        <item x="374"/>
        <item x="1168"/>
        <item x="507"/>
        <item x="562"/>
        <item x="314"/>
        <item x="394"/>
        <item x="214"/>
        <item x="442"/>
        <item x="576"/>
        <item x="982"/>
        <item x="354"/>
        <item x="954"/>
        <item x="30"/>
        <item x="145"/>
        <item x="475"/>
        <item x="103"/>
        <item x="849"/>
        <item x="515"/>
        <item x="172"/>
        <item x="887"/>
        <item x="399"/>
        <item x="237"/>
        <item x="412"/>
        <item x="283"/>
        <item x="889"/>
        <item x="999"/>
        <item x="1174"/>
        <item x="217"/>
        <item x="144"/>
        <item x="1046"/>
        <item x="552"/>
        <item x="943"/>
        <item x="914"/>
        <item x="115"/>
        <item x="624"/>
        <item x="86"/>
        <item x="40"/>
        <item x="92"/>
        <item x="349"/>
        <item x="1180"/>
        <item x="69"/>
        <item x="424"/>
        <item x="526"/>
        <item x="391"/>
        <item x="98"/>
        <item x="907"/>
        <item x="709"/>
        <item x="1139"/>
        <item x="1020"/>
        <item x="324"/>
        <item x="28"/>
        <item x="438"/>
        <item x="755"/>
        <item x="673"/>
        <item x="387"/>
        <item x="149"/>
        <item x="330"/>
        <item x="346"/>
        <item x="139"/>
        <item x="1138"/>
        <item x="222"/>
        <item x="197"/>
        <item x="792"/>
        <item x="1068"/>
        <item x="603"/>
        <item x="645"/>
        <item x="345"/>
        <item x="1178"/>
        <item x="329"/>
        <item x="363"/>
        <item x="179"/>
        <item x="381"/>
        <item x="742"/>
        <item x="1184"/>
        <item x="670"/>
        <item x="1026"/>
        <item x="105"/>
        <item x="326"/>
        <item x="59"/>
        <item x="1007"/>
        <item x="727"/>
        <item x="453"/>
        <item x="382"/>
        <item x="142"/>
        <item x="493"/>
        <item x="660"/>
        <item x="528"/>
        <item x="303"/>
        <item x="775"/>
        <item x="123"/>
        <item x="839"/>
        <item x="720"/>
        <item x="920"/>
        <item x="97"/>
        <item x="956"/>
        <item x="1081"/>
        <item x="622"/>
        <item x="158"/>
        <item x="586"/>
        <item x="75"/>
        <item x="711"/>
        <item x="408"/>
        <item x="1164"/>
        <item x="99"/>
        <item x="832"/>
        <item x="629"/>
        <item x="429"/>
        <item x="544"/>
        <item x="120"/>
        <item x="1015"/>
        <item x="728"/>
        <item x="602"/>
        <item x="190"/>
        <item x="50"/>
        <item x="1106"/>
        <item x="443"/>
        <item x="1038"/>
        <item x="1125"/>
        <item x="344"/>
        <item x="62"/>
        <item x="1016"/>
        <item x="146"/>
        <item x="539"/>
        <item x="1049"/>
        <item x="680"/>
        <item x="37"/>
        <item x="1030"/>
        <item x="1177"/>
        <item x="451"/>
        <item x="395"/>
        <item x="1070"/>
        <item x="265"/>
        <item x="853"/>
        <item x="195"/>
        <item x="177"/>
        <item x="813"/>
        <item x="803"/>
        <item x="288"/>
        <item x="696"/>
        <item x="258"/>
        <item x="761"/>
        <item x="830"/>
        <item x="723"/>
        <item x="245"/>
        <item x="1122"/>
        <item x="1075"/>
        <item x="581"/>
        <item x="564"/>
        <item x="151"/>
        <item x="378"/>
        <item x="616"/>
        <item x="961"/>
        <item x="952"/>
        <item x="57"/>
        <item x="625"/>
        <item x="788"/>
        <item x="49"/>
        <item x="820"/>
        <item x="514"/>
        <item x="1172"/>
        <item x="405"/>
        <item x="492"/>
        <item x="351"/>
        <item x="462"/>
        <item x="692"/>
        <item x="855"/>
        <item x="466"/>
        <item x="1045"/>
        <item x="307"/>
        <item x="862"/>
        <item x="779"/>
        <item x="319"/>
        <item x="171"/>
        <item x="487"/>
        <item x="93"/>
        <item x="1179"/>
        <item x="260"/>
        <item x="732"/>
        <item x="1069"/>
        <item x="908"/>
        <item x="1084"/>
        <item x="284"/>
        <item x="1176"/>
        <item x="1160"/>
        <item x="901"/>
        <item x="160"/>
        <item x="916"/>
        <item x="1050"/>
        <item x="148"/>
        <item x="463"/>
        <item x="206"/>
        <item x="464"/>
        <item x="1034"/>
        <item x="274"/>
        <item x="444"/>
        <item x="1189"/>
        <item x="963"/>
        <item x="662"/>
        <item x="421"/>
        <item x="108"/>
        <item x="38"/>
        <item x="682"/>
        <item x="858"/>
        <item x="1170"/>
        <item x="900"/>
        <item x="439"/>
        <item x="1112"/>
        <item x="337"/>
        <item x="45"/>
        <item x="783"/>
        <item x="938"/>
        <item x="9"/>
        <item x="261"/>
        <item x="134"/>
        <item x="193"/>
        <item x="1053"/>
        <item x="297"/>
        <item x="380"/>
        <item x="918"/>
        <item x="577"/>
        <item x="703"/>
        <item x="1171"/>
        <item x="767"/>
        <item x="289"/>
        <item x="452"/>
        <item x="566"/>
        <item x="607"/>
        <item x="946"/>
        <item x="506"/>
        <item x="102"/>
        <item x="32"/>
        <item x="534"/>
        <item x="218"/>
        <item x="902"/>
        <item x="911"/>
        <item x="173"/>
        <item x="1033"/>
        <item x="1132"/>
        <item x="136"/>
        <item x="826"/>
        <item x="500"/>
        <item x="913"/>
        <item x="1117"/>
        <item x="1148"/>
        <item x="784"/>
        <item x="1158"/>
        <item x="253"/>
        <item x="584"/>
        <item x="644"/>
        <item x="637"/>
        <item x="958"/>
        <item x="706"/>
        <item x="1043"/>
        <item x="371"/>
        <item x="323"/>
        <item x="613"/>
        <item x="870"/>
        <item x="724"/>
        <item x="379"/>
        <item x="1066"/>
        <item x="816"/>
        <item x="94"/>
        <item x="54"/>
        <item x="360"/>
        <item x="129"/>
        <item x="241"/>
        <item x="474"/>
        <item x="874"/>
        <item x="212"/>
        <item x="39"/>
        <item x="993"/>
        <item x="749"/>
        <item x="308"/>
        <item x="1025"/>
        <item x="731"/>
        <item x="833"/>
        <item x="791"/>
        <item x="121"/>
        <item x="221"/>
        <item x="877"/>
        <item x="469"/>
        <item x="519"/>
        <item x="885"/>
        <item x="455"/>
        <item x="745"/>
        <item x="739"/>
        <item x="615"/>
        <item x="1147"/>
        <item x="606"/>
        <item x="428"/>
        <item x="621"/>
        <item x="334"/>
        <item x="25"/>
        <item x="489"/>
        <item x="1141"/>
        <item x="765"/>
        <item x="960"/>
        <item x="875"/>
        <item x="776"/>
        <item x="1023"/>
        <item x="459"/>
        <item x="1057"/>
        <item x="726"/>
        <item x="892"/>
        <item x="293"/>
        <item x="1105"/>
        <item x="12"/>
        <item x="649"/>
        <item x="746"/>
        <item x="270"/>
        <item x="1028"/>
        <item x="24"/>
        <item x="285"/>
        <item x="111"/>
        <item x="722"/>
        <item x="213"/>
        <item x="710"/>
        <item x="1004"/>
        <item x="1001"/>
        <item x="643"/>
        <item x="1183"/>
        <item x="186"/>
        <item x="335"/>
        <item x="1134"/>
        <item x="848"/>
        <item x="1054"/>
        <item x="1114"/>
        <item x="1"/>
        <item x="472"/>
        <item x="21"/>
        <item x="396"/>
        <item x="664"/>
        <item x="747"/>
        <item x="433"/>
        <item x="83"/>
        <item x="1137"/>
        <item x="232"/>
        <item x="1011"/>
        <item x="239"/>
        <item x="915"/>
        <item x="87"/>
        <item x="795"/>
        <item x="1024"/>
        <item x="1062"/>
        <item x="941"/>
        <item x="127"/>
        <item x="207"/>
        <item x="1165"/>
        <item x="367"/>
        <item x="269"/>
        <item x="298"/>
        <item x="15"/>
        <item x="619"/>
        <item x="1157"/>
        <item x="599"/>
        <item x="236"/>
        <item x="1085"/>
        <item x="565"/>
        <item x="939"/>
        <item x="554"/>
        <item x="702"/>
        <item x="1133"/>
        <item x="547"/>
        <item x="141"/>
        <item x="707"/>
        <item x="760"/>
        <item x="817"/>
        <item x="972"/>
        <item x="899"/>
        <item x="932"/>
        <item x="842"/>
        <item x="198"/>
        <item x="583"/>
        <item x="891"/>
        <item x="922"/>
        <item x="1012"/>
        <item x="1009"/>
        <item x="964"/>
        <item x="861"/>
        <item x="612"/>
        <item x="864"/>
        <item x="863"/>
        <item x="31"/>
        <item x="436"/>
        <item x="778"/>
        <item x="229"/>
        <item x="315"/>
        <item x="497"/>
        <item x="14"/>
        <item x="473"/>
        <item x="597"/>
        <item x="865"/>
        <item x="1089"/>
        <item x="352"/>
        <item x="228"/>
        <item x="808"/>
        <item x="61"/>
        <item x="580"/>
        <item x="385"/>
        <item x="831"/>
        <item x="167"/>
        <item x="104"/>
        <item x="47"/>
        <item x="695"/>
        <item x="967"/>
        <item x="76"/>
        <item x="1080"/>
        <item x="96"/>
        <item x="843"/>
        <item x="478"/>
        <item x="966"/>
        <item x="147"/>
        <item x="317"/>
        <item x="423"/>
        <item x="1005"/>
        <item x="1142"/>
        <item x="66"/>
        <item x="1092"/>
        <item x="611"/>
        <item x="494"/>
        <item x="850"/>
        <item x="150"/>
        <item x="1136"/>
        <item x="110"/>
        <item x="921"/>
        <item x="235"/>
        <item x="36"/>
        <item x="685"/>
        <item x="1047"/>
        <item x="744"/>
        <item x="275"/>
        <item x="725"/>
        <item x="763"/>
        <item x="138"/>
        <item x="736"/>
        <item x="1104"/>
        <item x="1108"/>
        <item x="906"/>
        <item x="388"/>
        <item x="336"/>
        <item x="320"/>
        <item x="16"/>
        <item x="884"/>
        <item x="355"/>
        <item x="280"/>
        <item x="465"/>
        <item x="34"/>
        <item x="53"/>
        <item x="787"/>
        <item x="1169"/>
        <item x="701"/>
        <item x="375"/>
        <item x="578"/>
        <item x="648"/>
        <item x="550"/>
        <item x="546"/>
        <item x="373"/>
        <item x="233"/>
        <item x="1156"/>
        <item x="753"/>
        <item x="521"/>
        <item x="940"/>
        <item x="1056"/>
        <item x="879"/>
        <item x="162"/>
        <item x="366"/>
        <item x="770"/>
        <item x="1111"/>
        <item x="925"/>
        <item x="968"/>
        <item x="457"/>
        <item x="797"/>
        <item x="667"/>
        <item x="620"/>
        <item x="268"/>
        <item x="735"/>
        <item x="41"/>
        <item x="1186"/>
        <item x="904"/>
        <item x="402"/>
        <item x="594"/>
        <item x="585"/>
        <item x="1060"/>
        <item x="1035"/>
        <item x="634"/>
        <item x="81"/>
        <item x="628"/>
        <item x="243"/>
        <item x="1090"/>
        <item x="116"/>
        <item x="800"/>
        <item x="897"/>
        <item x="384"/>
        <item x="426"/>
        <item x="294"/>
        <item x="866"/>
        <item x="1022"/>
        <item x="636"/>
        <item x="196"/>
        <item x="1192"/>
        <item x="1018"/>
        <item x="543"/>
        <item x="734"/>
        <item x="818"/>
        <item x="44"/>
        <item x="989"/>
        <item x="1073"/>
        <item x="740"/>
        <item x="976"/>
        <item x="1032"/>
        <item x="168"/>
        <item x="1123"/>
        <item x="819"/>
        <item x="210"/>
        <item x="929"/>
        <item x="698"/>
        <item x="530"/>
        <item x="279"/>
        <item x="413"/>
        <item x="390"/>
        <item x="1100"/>
        <item x="1088"/>
        <item x="119"/>
        <item x="659"/>
        <item x="638"/>
        <item x="985"/>
        <item x="838"/>
        <item x="983"/>
        <item x="587"/>
        <item x="488"/>
        <item x="1027"/>
        <item x="910"/>
        <item x="194"/>
        <item x="42"/>
        <item x="1094"/>
        <item x="646"/>
        <item x="368"/>
        <item x="68"/>
        <item x="807"/>
        <item x="708"/>
        <item x="642"/>
        <item x="844"/>
        <item x="490"/>
        <item x="657"/>
        <item x="890"/>
        <item x="257"/>
        <item x="89"/>
        <item x="542"/>
        <item x="485"/>
        <item x="959"/>
        <item x="5"/>
        <item x="556"/>
        <item x="1185"/>
        <item x="799"/>
        <item x="448"/>
        <item x="406"/>
        <item x="357"/>
        <item x="1014"/>
        <item x="1061"/>
        <item x="131"/>
        <item x="1077"/>
        <item x="502"/>
        <item x="440"/>
        <item x="248"/>
        <item x="226"/>
        <item x="651"/>
        <item x="532"/>
        <item x="445"/>
        <item x="480"/>
        <item x="610"/>
        <item x="1190"/>
        <item x="805"/>
        <item x="74"/>
        <item x="0"/>
        <item x="773"/>
        <item x="4"/>
        <item x="658"/>
        <item x="192"/>
        <item x="672"/>
        <item x="697"/>
        <item x="88"/>
        <item x="249"/>
        <item x="588"/>
        <item x="688"/>
        <item x="1144"/>
        <item x="942"/>
        <item x="806"/>
        <item x="82"/>
        <item x="1146"/>
        <item x="71"/>
        <item x="411"/>
        <item x="845"/>
        <item x="505"/>
        <item x="460"/>
        <item x="277"/>
        <item x="1059"/>
        <item x="64"/>
        <item x="67"/>
        <item x="561"/>
        <item x="750"/>
        <item x="1166"/>
        <item x="72"/>
        <item x="1194"/>
        <item x="1116"/>
        <item x="434"/>
        <item x="321"/>
        <item x="714"/>
        <item x="301"/>
        <item x="691"/>
        <item x="299"/>
        <item x="1121"/>
        <item x="409"/>
        <item x="781"/>
        <item x="965"/>
        <item x="1079"/>
        <item x="752"/>
        <item x="886"/>
        <item x="154"/>
        <item x="895"/>
        <item x="244"/>
        <item x="590"/>
        <item x="665"/>
        <item x="70"/>
        <item x="117"/>
        <item x="538"/>
        <item x="79"/>
        <item x="107"/>
        <item x="589"/>
        <item x="17"/>
        <item x="840"/>
        <item x="410"/>
        <item x="981"/>
        <item x="1048"/>
        <item x="977"/>
        <item x="476"/>
        <item x="331"/>
        <item x="979"/>
        <item x="316"/>
        <item x="454"/>
        <item x="815"/>
        <item x="769"/>
        <item x="259"/>
        <item x="140"/>
        <item x="305"/>
        <item x="630"/>
        <item x="573"/>
        <item x="518"/>
        <item x="812"/>
        <item x="23"/>
        <item x="1002"/>
        <item x="748"/>
        <item x="617"/>
        <item x="909"/>
        <item x="633"/>
        <item x="852"/>
        <item x="533"/>
        <item x="215"/>
        <item x="407"/>
        <item x="801"/>
        <item x="468"/>
        <item x="254"/>
        <item x="595"/>
        <item x="699"/>
        <item x="869"/>
        <item x="449"/>
        <item x="48"/>
        <item x="29"/>
        <item x="189"/>
        <item x="152"/>
        <item x="188"/>
        <item x="170"/>
        <item x="156"/>
        <item x="1095"/>
        <item x="737"/>
        <item x="851"/>
        <item x="730"/>
        <item x="582"/>
        <item x="185"/>
        <item x="22"/>
        <item x="1087"/>
        <item x="777"/>
        <item x="496"/>
        <item x="947"/>
        <item x="639"/>
        <item x="1036"/>
        <item x="199"/>
        <item x="558"/>
        <item x="560"/>
        <item x="513"/>
        <item x="365"/>
        <item x="447"/>
        <item x="246"/>
        <item x="693"/>
        <item x="516"/>
        <item x="1083"/>
        <item x="479"/>
        <item x="132"/>
        <item x="605"/>
        <item x="311"/>
        <item x="361"/>
        <item x="133"/>
        <item x="1037"/>
        <item x="754"/>
        <item x="2"/>
        <item x="1021"/>
        <item x="291"/>
        <item x="52"/>
        <item x="353"/>
        <item x="545"/>
        <item x="432"/>
        <item x="828"/>
        <item x="896"/>
        <item x="992"/>
        <item x="575"/>
        <item x="310"/>
        <item x="26"/>
        <item x="1082"/>
        <item x="627"/>
        <item x="264"/>
        <item x="470"/>
        <item x="1149"/>
        <item x="878"/>
        <item x="393"/>
        <item x="978"/>
        <item x="974"/>
        <item x="143"/>
        <item x="90"/>
        <item x="945"/>
        <item x="690"/>
        <item x="312"/>
        <item x="991"/>
        <item x="796"/>
        <item x="655"/>
        <item x="675"/>
        <item x="1193"/>
        <item x="302"/>
        <item x="338"/>
        <item x="935"/>
        <item x="990"/>
        <item x="970"/>
        <item x="930"/>
        <item x="33"/>
        <item x="114"/>
        <item x="84"/>
        <item x="161"/>
        <item x="883"/>
        <item x="414"/>
        <item x="509"/>
        <item x="1076"/>
        <item x="1181"/>
        <item x="846"/>
        <item x="1175"/>
        <item x="339"/>
        <item x="58"/>
        <item x="834"/>
        <item x="450"/>
        <item x="1151"/>
        <item x="290"/>
        <item x="7"/>
        <item x="771"/>
        <item x="557"/>
        <item x="934"/>
        <item x="984"/>
        <item x="296"/>
        <item x="417"/>
        <item x="511"/>
        <item x="203"/>
        <item x="1042"/>
        <item x="1110"/>
        <item x="266"/>
        <item x="256"/>
        <item x="73"/>
        <item x="579"/>
        <item x="419"/>
        <item x="1067"/>
        <item x="1051"/>
        <item x="300"/>
        <item x="718"/>
        <item x="666"/>
        <item x="224"/>
        <item x="872"/>
        <item x="1163"/>
        <item x="571"/>
        <item x="876"/>
        <item x="169"/>
        <item x="683"/>
        <item x="1188"/>
        <item x="1098"/>
        <item x="551"/>
        <item x="668"/>
        <item x="370"/>
        <item x="1055"/>
        <item x="950"/>
        <item x="77"/>
        <item x="996"/>
        <item x="383"/>
        <item x="995"/>
        <item x="880"/>
        <item x="905"/>
        <item x="531"/>
        <item x="178"/>
        <item x="559"/>
        <item x="306"/>
        <item x="176"/>
        <item x="772"/>
        <item x="847"/>
        <item x="225"/>
        <item x="955"/>
        <item x="369"/>
        <item x="231"/>
        <item x="1153"/>
        <item x="1041"/>
        <item x="282"/>
        <item x="604"/>
        <item x="785"/>
        <item x="653"/>
        <item x="600"/>
        <item x="262"/>
        <item x="80"/>
        <item x="669"/>
        <item x="794"/>
        <item x="835"/>
        <item x="427"/>
        <item x="1182"/>
        <item x="888"/>
        <item x="1128"/>
        <item x="721"/>
        <item x="204"/>
        <item x="759"/>
        <item x="180"/>
        <item x="1019"/>
        <item x="1155"/>
        <item x="821"/>
        <item x="825"/>
        <item x="1130"/>
        <item x="273"/>
        <item x="322"/>
        <item x="364"/>
        <item x="1140"/>
        <item x="6"/>
        <item x="789"/>
        <item x="738"/>
        <item x="238"/>
        <item x="868"/>
        <item x="128"/>
        <item x="187"/>
        <item x="623"/>
        <item x="181"/>
        <item x="823"/>
        <item x="208"/>
        <item x="953"/>
        <item x="517"/>
        <item x="857"/>
        <item x="510"/>
        <item x="227"/>
        <item x="1103"/>
        <item x="1159"/>
        <item x="679"/>
        <item x="126"/>
        <item x="988"/>
        <item x="304"/>
        <item x="689"/>
        <item x="705"/>
        <item x="549"/>
        <item x="536"/>
        <item x="1143"/>
        <item x="811"/>
        <item x="347"/>
        <item x="1040"/>
        <item x="398"/>
        <item x="182"/>
        <item x="641"/>
        <item x="951"/>
        <item x="1113"/>
        <item x="882"/>
        <item x="780"/>
        <item x="163"/>
        <item x="512"/>
        <item x="286"/>
        <item x="923"/>
        <item x="881"/>
        <item x="944"/>
        <item x="343"/>
        <item x="1058"/>
        <item x="153"/>
        <item x="425"/>
        <item x="766"/>
        <item x="422"/>
        <item x="608"/>
        <item x="498"/>
        <item x="278"/>
        <item x="681"/>
        <item x="1195"/>
        <item x="975"/>
        <item x="631"/>
        <item x="1154"/>
        <item x="1013"/>
        <item x="1109"/>
        <item x="741"/>
        <item x="486"/>
        <item x="431"/>
        <item x="313"/>
        <item x="762"/>
        <item x="35"/>
        <item x="234"/>
        <item x="790"/>
        <item x="591"/>
        <item x="404"/>
        <item x="503"/>
        <item x="446"/>
        <item x="678"/>
        <item x="456"/>
        <item x="481"/>
        <item x="1187"/>
        <item x="1127"/>
        <item x="401"/>
        <item x="341"/>
        <item x="980"/>
        <item x="230"/>
        <item x="418"/>
        <item x="893"/>
        <item x="201"/>
        <item x="652"/>
        <item x="359"/>
        <item x="350"/>
        <item x="713"/>
        <item x="986"/>
        <item x="520"/>
        <item x="798"/>
        <item x="572"/>
        <item x="95"/>
        <item x="46"/>
        <item x="20"/>
        <item x="541"/>
        <item x="694"/>
        <item x="415"/>
        <item x="632"/>
        <item x="764"/>
        <item x="804"/>
        <item x="333"/>
        <item x="687"/>
        <item x="656"/>
        <item x="400"/>
        <item x="733"/>
        <item x="969"/>
        <item x="11"/>
        <item x="416"/>
        <item x="757"/>
        <item x="482"/>
        <item x="898"/>
        <item x="758"/>
        <item x="430"/>
        <item x="65"/>
        <item x="661"/>
        <item x="1065"/>
        <item x="1126"/>
        <item x="786"/>
        <item x="175"/>
        <item x="8"/>
        <item x="1091"/>
        <item x="91"/>
        <item x="903"/>
        <item x="873"/>
        <item x="356"/>
        <item x="712"/>
        <item x="467"/>
        <item x="318"/>
        <item x="1003"/>
        <item x="112"/>
        <item x="1119"/>
        <item x="220"/>
        <item x="255"/>
        <item x="973"/>
        <item x="471"/>
        <item x="1010"/>
        <item x="377"/>
        <item x="1129"/>
        <item x="837"/>
        <item x="535"/>
        <item x="715"/>
        <item x="937"/>
        <item x="962"/>
        <item x="325"/>
        <item x="60"/>
        <item x="276"/>
        <item x="340"/>
        <item x="1029"/>
        <item x="1074"/>
        <item x="933"/>
        <item x="809"/>
        <item x="1064"/>
        <item x="700"/>
        <item x="166"/>
        <item x="165"/>
        <item x="871"/>
        <item x="43"/>
        <item x="751"/>
        <item x="242"/>
        <item x="555"/>
        <item x="793"/>
        <item x="106"/>
        <item x="1052"/>
        <item x="592"/>
        <item x="118"/>
        <item x="601"/>
        <item x="949"/>
        <item x="677"/>
        <item x="113"/>
        <item x="1031"/>
        <item x="802"/>
        <item x="743"/>
        <item x="309"/>
        <item x="676"/>
        <item x="51"/>
        <item x="997"/>
        <item x="332"/>
        <item x="441"/>
        <item x="570"/>
        <item x="854"/>
        <item x="618"/>
        <item x="122"/>
        <item x="598"/>
        <item x="1008"/>
        <item x="247"/>
        <item x="461"/>
        <item x="704"/>
        <item x="183"/>
        <item x="403"/>
        <item x="216"/>
        <item x="205"/>
        <item x="1118"/>
        <item x="768"/>
        <item x="1145"/>
        <item x="495"/>
        <item x="27"/>
        <item x="1152"/>
        <item x="3"/>
        <item x="130"/>
        <item x="829"/>
        <item x="13"/>
        <item x="101"/>
        <item x="856"/>
        <item x="155"/>
        <item x="926"/>
        <item x="640"/>
        <item x="124"/>
        <item x="567"/>
        <item x="501"/>
        <item x="392"/>
        <item x="936"/>
        <item x="822"/>
        <item x="1096"/>
        <item x="292"/>
        <item x="209"/>
        <item x="137"/>
        <item x="537"/>
        <item x="240"/>
        <item x="420"/>
        <item x="477"/>
        <item x="971"/>
        <item x="931"/>
        <item x="223"/>
        <item x="271"/>
        <item x="717"/>
        <item x="1107"/>
        <item x="263"/>
        <item x="1120"/>
        <item x="200"/>
        <item x="1063"/>
        <item x="483"/>
        <item x="1072"/>
        <item x="635"/>
        <item x="894"/>
        <item x="860"/>
        <item x="504"/>
        <item x="1102"/>
        <item x="686"/>
        <item x="508"/>
        <item x="1006"/>
        <item x="18"/>
        <item x="437"/>
        <item x="362"/>
        <item x="859"/>
        <item x="1078"/>
        <item x="524"/>
        <item x="1093"/>
        <item x="499"/>
        <item x="994"/>
        <item x="372"/>
        <item x="650"/>
        <item x="211"/>
        <item x="569"/>
        <item x="522"/>
        <item x="1000"/>
        <item x="540"/>
        <item x="376"/>
        <item x="998"/>
        <item x="252"/>
        <item x="917"/>
        <item x="836"/>
        <item x="327"/>
        <item x="397"/>
        <item x="159"/>
        <item x="674"/>
        <item x="85"/>
        <item x="782"/>
        <item x="348"/>
        <item x="251"/>
        <item x="358"/>
        <item x="919"/>
        <item x="1124"/>
        <item x="756"/>
        <item x="1044"/>
        <item x="548"/>
        <item x="184"/>
        <item x="948"/>
        <item x="527"/>
        <item x="525"/>
        <item x="1086"/>
        <item x="912"/>
        <item x="1071"/>
        <item x="342"/>
        <item x="1162"/>
        <item x="774"/>
        <item x="529"/>
        <item x="1017"/>
        <item x="1173"/>
        <item x="684"/>
        <item x="1191"/>
        <item x="568"/>
        <item x="716"/>
        <item x="719"/>
        <item x="491"/>
        <item x="563"/>
        <item x="810"/>
        <item x="596"/>
        <item x="1099"/>
        <item x="867"/>
        <item x="164"/>
        <item x="1039"/>
        <item x="957"/>
        <item x="523"/>
        <item x="125"/>
        <item x="1167"/>
        <item x="202"/>
        <item x="593"/>
        <item x="250"/>
        <item x="928"/>
        <item x="1197"/>
        <item x="814"/>
        <item x="1131"/>
        <item x="924"/>
        <item x="328"/>
        <item x="10"/>
        <item x="1097"/>
        <item x="458"/>
        <item x="1101"/>
        <item x="267"/>
        <item x="435"/>
        <item x="281"/>
        <item x="191"/>
        <item x="654"/>
        <item x="386"/>
        <item x="987"/>
        <item x="1161"/>
        <item x="626"/>
        <item x="663"/>
        <item x="389"/>
        <item x="19"/>
        <item x="484"/>
        <item x="827"/>
        <item x="56"/>
        <item x="553"/>
        <item x="1135"/>
        <item x="287"/>
        <item x="927"/>
        <item x="647"/>
        <item x="63"/>
        <item x="1196"/>
        <item x="295"/>
        <item x="157"/>
        <item x="272"/>
        <item t="default"/>
      </items>
    </pivotField>
    <pivotField showAll="0"/>
    <pivotField showAll="0"/>
    <pivotField showAll="0">
      <items count="17">
        <item x="1"/>
        <item x="13"/>
        <item x="3"/>
        <item x="12"/>
        <item x="7"/>
        <item x="6"/>
        <item x="8"/>
        <item x="0"/>
        <item x="14"/>
        <item x="4"/>
        <item x="10"/>
        <item x="9"/>
        <item x="15"/>
        <item x="11"/>
        <item x="5"/>
        <item x="2"/>
        <item t="default"/>
      </items>
    </pivotField>
    <pivotField dataField="1" showAll="0"/>
    <pivotField numFmtId="10" showAll="0"/>
    <pivotField numFmtId="10" showAll="0">
      <items count="1201">
        <item x="19"/>
        <item x="191"/>
        <item x="379"/>
        <item x="1089"/>
        <item x="343"/>
        <item x="1194"/>
        <item x="1175"/>
        <item x="335"/>
        <item x="840"/>
        <item x="180"/>
        <item x="223"/>
        <item x="920"/>
        <item x="846"/>
        <item x="435"/>
        <item x="1053"/>
        <item x="595"/>
        <item x="187"/>
        <item x="354"/>
        <item x="1073"/>
        <item x="224"/>
        <item x="735"/>
        <item x="126"/>
        <item x="716"/>
        <item x="1101"/>
        <item x="618"/>
        <item x="1133"/>
        <item x="828"/>
        <item x="202"/>
        <item x="474"/>
        <item x="940"/>
        <item x="698"/>
        <item x="650"/>
        <item x="619"/>
        <item x="1143"/>
        <item x="714"/>
        <item x="436"/>
        <item x="931"/>
        <item x="346"/>
        <item x="362"/>
        <item x="423"/>
        <item x="722"/>
        <item x="980"/>
        <item x="752"/>
        <item x="554"/>
        <item x="409"/>
        <item x="569"/>
        <item x="553"/>
        <item x="164"/>
        <item x="271"/>
        <item x="56"/>
        <item x="415"/>
        <item x="63"/>
        <item x="22"/>
        <item x="712"/>
        <item x="1165"/>
        <item x="7"/>
        <item x="1193"/>
        <item x="72"/>
        <item x="639"/>
        <item x="792"/>
        <item x="287"/>
        <item x="759"/>
        <item x="272"/>
        <item x="1062"/>
        <item x="995"/>
        <item x="357"/>
        <item x="625"/>
        <item x="176"/>
        <item x="1136"/>
        <item x="1008"/>
        <item x="1164"/>
        <item x="294"/>
        <item x="199"/>
        <item x="157"/>
        <item x="1000"/>
        <item x="153"/>
        <item x="10"/>
        <item x="1173"/>
        <item x="1199"/>
        <item x="475"/>
        <item x="485"/>
        <item x="184"/>
        <item x="890"/>
        <item x="918"/>
        <item x="1180"/>
        <item x="922"/>
        <item x="923"/>
        <item x="131"/>
        <item x="999"/>
        <item x="295"/>
        <item x="1030"/>
        <item x="641"/>
        <item x="159"/>
        <item x="967"/>
        <item x="675"/>
        <item x="15"/>
        <item x="459"/>
        <item x="528"/>
        <item x="526"/>
        <item x="949"/>
        <item x="655"/>
        <item x="1168"/>
        <item x="234"/>
        <item x="1036"/>
        <item x="868"/>
        <item x="450"/>
        <item x="163"/>
        <item x="368"/>
        <item x="904"/>
        <item x="916"/>
        <item x="991"/>
        <item x="1184"/>
        <item x="1105"/>
        <item x="1191"/>
        <item x="808"/>
        <item x="571"/>
        <item x="256"/>
        <item x="1041"/>
        <item x="648"/>
        <item x="1104"/>
        <item x="627"/>
        <item x="958"/>
        <item x="353"/>
        <item x="161"/>
        <item x="541"/>
        <item x="837"/>
        <item x="676"/>
        <item x="622"/>
        <item x="817"/>
        <item x="628"/>
        <item x="64"/>
        <item x="895"/>
        <item x="860"/>
        <item x="179"/>
        <item x="21"/>
        <item x="401"/>
        <item x="113"/>
        <item x="600"/>
        <item x="963"/>
        <item x="387"/>
        <item x="1045"/>
        <item x="876"/>
        <item x="533"/>
        <item x="720"/>
        <item x="898"/>
        <item x="332"/>
        <item x="1017"/>
        <item x="613"/>
        <item x="6"/>
        <item x="135"/>
        <item x="1178"/>
        <item x="530"/>
        <item x="897"/>
        <item x="93"/>
        <item x="993"/>
        <item x="414"/>
        <item x="192"/>
        <item x="612"/>
        <item x="928"/>
        <item x="1163"/>
        <item x="1071"/>
        <item x="773"/>
        <item x="27"/>
        <item x="764"/>
        <item x="1190"/>
        <item x="593"/>
        <item x="832"/>
        <item x="574"/>
        <item x="149"/>
        <item x="371"/>
        <item x="1198"/>
        <item x="279"/>
        <item x="657"/>
        <item x="691"/>
        <item x="315"/>
        <item x="929"/>
        <item x="250"/>
        <item x="952"/>
        <item x="869"/>
        <item x="758"/>
        <item x="565"/>
        <item x="185"/>
        <item x="442"/>
        <item x="558"/>
        <item x="664"/>
        <item x="727"/>
        <item x="537"/>
        <item x="859"/>
        <item x="624"/>
        <item x="128"/>
        <item x="456"/>
        <item x="1103"/>
        <item x="1112"/>
        <item x="1013"/>
        <item x="1066"/>
        <item x="810"/>
        <item x="653"/>
        <item x="997"/>
        <item x="768"/>
        <item x="504"/>
        <item x="924"/>
        <item x="310"/>
        <item x="1099"/>
        <item x="629"/>
        <item x="732"/>
        <item x="597"/>
        <item x="961"/>
        <item x="377"/>
        <item x="1115"/>
        <item x="936"/>
        <item x="503"/>
        <item x="855"/>
        <item x="775"/>
        <item x="919"/>
        <item x="281"/>
        <item x="303"/>
        <item x="385"/>
        <item x="482"/>
        <item x="564"/>
        <item x="581"/>
        <item x="361"/>
        <item x="734"/>
        <item x="125"/>
        <item x="577"/>
        <item x="524"/>
        <item x="915"/>
        <item x="847"/>
        <item x="85"/>
        <item x="1029"/>
        <item x="243"/>
        <item x="1174"/>
        <item x="25"/>
        <item x="851"/>
        <item x="925"/>
        <item x="751"/>
        <item x="416"/>
        <item x="685"/>
        <item x="173"/>
        <item x="1192"/>
        <item x="309"/>
        <item x="891"/>
        <item x="1019"/>
        <item x="681"/>
        <item x="1048"/>
        <item x="1001"/>
        <item x="227"/>
        <item x="836"/>
        <item x="174"/>
        <item x="419"/>
        <item x="299"/>
        <item x="984"/>
        <item x="1088"/>
        <item x="643"/>
        <item x="746"/>
        <item x="570"/>
        <item x="976"/>
        <item x="438"/>
        <item x="1111"/>
        <item x="791"/>
        <item x="844"/>
        <item x="856"/>
        <item x="508"/>
        <item x="1172"/>
        <item x="1070"/>
        <item x="692"/>
        <item x="1102"/>
        <item x="1169"/>
        <item x="834"/>
        <item x="709"/>
        <item x="575"/>
        <item x="989"/>
        <item x="1006"/>
        <item x="974"/>
        <item x="862"/>
        <item x="1149"/>
        <item x="525"/>
        <item x="696"/>
        <item x="24"/>
        <item x="489"/>
        <item x="1065"/>
        <item x="580"/>
        <item x="3"/>
        <item x="136"/>
        <item x="382"/>
        <item x="608"/>
        <item x="896"/>
        <item x="737"/>
        <item x="1181"/>
        <item x="1114"/>
        <item x="1100"/>
        <item x="977"/>
        <item x="319"/>
        <item x="392"/>
        <item x="731"/>
        <item x="684"/>
        <item x="717"/>
        <item x="1052"/>
        <item x="550"/>
        <item x="421"/>
        <item x="1195"/>
        <item x="505"/>
        <item x="988"/>
        <item x="440"/>
        <item x="1106"/>
        <item x="251"/>
        <item x="132"/>
        <item x="585"/>
        <item x="122"/>
        <item x="557"/>
        <item x="1078"/>
        <item x="973"/>
        <item x="424"/>
        <item x="704"/>
        <item x="216"/>
        <item x="509"/>
        <item x="695"/>
        <item x="799"/>
        <item x="292"/>
        <item x="484"/>
        <item x="913"/>
        <item x="340"/>
        <item x="818"/>
        <item x="257"/>
        <item x="826"/>
        <item x="34"/>
        <item x="144"/>
        <item x="258"/>
        <item x="715"/>
        <item x="880"/>
        <item x="403"/>
        <item x="957"/>
        <item x="453"/>
        <item x="408"/>
        <item x="552"/>
        <item x="757"/>
        <item x="790"/>
        <item x="1129"/>
        <item x="325"/>
        <item x="322"/>
        <item x="451"/>
        <item x="892"/>
        <item x="1148"/>
        <item x="1147"/>
        <item x="5"/>
        <item x="40"/>
        <item x="780"/>
        <item x="211"/>
        <item x="349"/>
        <item x="604"/>
        <item x="209"/>
        <item x="914"/>
        <item x="535"/>
        <item x="599"/>
        <item x="861"/>
        <item x="682"/>
        <item x="488"/>
        <item x="308"/>
        <item x="18"/>
        <item x="455"/>
        <item x="114"/>
        <item x="549"/>
        <item x="738"/>
        <item x="582"/>
        <item x="874"/>
        <item x="711"/>
        <item x="1171"/>
        <item x="468"/>
        <item x="671"/>
        <item x="733"/>
        <item x="1024"/>
        <item x="1188"/>
        <item x="158"/>
        <item x="870"/>
        <item x="140"/>
        <item x="1043"/>
        <item x="932"/>
        <item x="265"/>
        <item x="926"/>
        <item x="998"/>
        <item x="333"/>
        <item x="555"/>
        <item x="1074"/>
        <item x="556"/>
        <item x="983"/>
        <item x="244"/>
        <item x="786"/>
        <item x="1179"/>
        <item x="1109"/>
        <item x="1137"/>
        <item x="342"/>
        <item x="1142"/>
        <item x="821"/>
        <item x="783"/>
        <item x="252"/>
        <item x="270"/>
        <item x="118"/>
        <item x="774"/>
        <item x="819"/>
        <item x="743"/>
        <item x="854"/>
        <item x="420"/>
        <item x="772"/>
        <item x="1056"/>
        <item x="718"/>
        <item x="586"/>
        <item x="602"/>
        <item x="188"/>
        <item x="220"/>
        <item x="945"/>
        <item x="280"/>
        <item x="1126"/>
        <item x="134"/>
        <item x="742"/>
        <item x="205"/>
        <item x="1154"/>
        <item x="813"/>
        <item x="1046"/>
        <item x="105"/>
        <item x="238"/>
        <item x="493"/>
        <item x="583"/>
        <item x="1095"/>
        <item x="249"/>
        <item x="1122"/>
        <item x="2"/>
        <item x="838"/>
        <item x="189"/>
        <item x="418"/>
        <item x="89"/>
        <item x="815"/>
        <item x="713"/>
        <item x="406"/>
        <item x="933"/>
        <item x="355"/>
        <item x="1153"/>
        <item x="106"/>
        <item x="367"/>
        <item x="101"/>
        <item x="534"/>
        <item x="390"/>
        <item x="359"/>
        <item x="1096"/>
        <item x="795"/>
        <item x="749"/>
        <item x="568"/>
        <item x="284"/>
        <item x="88"/>
        <item x="275"/>
        <item x="69"/>
        <item x="490"/>
        <item x="1003"/>
        <item x="822"/>
        <item x="1050"/>
        <item x="516"/>
        <item x="328"/>
        <item x="130"/>
        <item x="247"/>
        <item x="373"/>
        <item x="214"/>
        <item x="222"/>
        <item x="398"/>
        <item x="84"/>
        <item x="96"/>
        <item x="1007"/>
        <item x="242"/>
        <item x="1002"/>
        <item x="649"/>
        <item x="578"/>
        <item x="673"/>
        <item x="992"/>
        <item x="1177"/>
        <item x="200"/>
        <item x="523"/>
        <item x="35"/>
        <item x="393"/>
        <item x="785"/>
        <item x="806"/>
        <item x="481"/>
        <item x="687"/>
        <item x="934"/>
        <item x="207"/>
        <item x="666"/>
        <item x="302"/>
        <item x="544"/>
        <item x="269"/>
        <item x="73"/>
        <item x="954"/>
        <item x="264"/>
        <item x="286"/>
        <item x="465"/>
        <item x="950"/>
        <item x="776"/>
        <item x="948"/>
        <item x="823"/>
        <item x="231"/>
        <item x="1110"/>
        <item x="1072"/>
        <item x="388"/>
        <item x="987"/>
        <item x="1022"/>
        <item x="267"/>
        <item x="116"/>
        <item x="183"/>
        <item x="1076"/>
        <item x="107"/>
        <item x="363"/>
        <item x="1063"/>
        <item x="594"/>
        <item x="326"/>
        <item x="1189"/>
        <item x="576"/>
        <item x="365"/>
        <item x="1031"/>
        <item x="883"/>
        <item x="800"/>
        <item x="1009"/>
        <item x="473"/>
        <item x="263"/>
        <item x="68"/>
        <item x="208"/>
        <item x="972"/>
        <item x="374"/>
        <item x="329"/>
        <item x="1033"/>
        <item x="959"/>
        <item x="1012"/>
        <item x="389"/>
        <item x="767"/>
        <item x="276"/>
        <item x="148"/>
        <item x="680"/>
        <item x="502"/>
        <item x="169"/>
        <item x="457"/>
        <item x="590"/>
        <item x="1058"/>
        <item x="1079"/>
        <item x="364"/>
        <item x="301"/>
        <item x="921"/>
        <item x="659"/>
        <item x="763"/>
        <item x="141"/>
        <item x="739"/>
        <item x="781"/>
        <item x="1134"/>
        <item x="434"/>
        <item x="937"/>
        <item x="344"/>
        <item x="178"/>
        <item x="689"/>
        <item x="147"/>
        <item x="466"/>
        <item x="522"/>
        <item x="311"/>
        <item x="640"/>
        <item x="540"/>
        <item x="1087"/>
        <item x="422"/>
        <item x="877"/>
        <item x="886"/>
        <item x="517"/>
        <item x="240"/>
        <item x="1131"/>
        <item x="793"/>
        <item x="560"/>
        <item x="1170"/>
        <item x="1005"/>
        <item x="1080"/>
        <item x="761"/>
        <item x="705"/>
        <item x="103"/>
        <item x="198"/>
        <item x="589"/>
        <item x="43"/>
        <item x="850"/>
        <item x="143"/>
        <item x="798"/>
        <item x="291"/>
        <item x="300"/>
        <item x="404"/>
        <item x="296"/>
        <item x="110"/>
        <item x="228"/>
        <item x="884"/>
        <item x="563"/>
        <item x="53"/>
        <item x="76"/>
        <item x="75"/>
        <item x="964"/>
        <item x="426"/>
        <item x="397"/>
        <item x="942"/>
        <item x="762"/>
        <item x="981"/>
        <item x="1069"/>
        <item x="1023"/>
        <item x="225"/>
        <item x="965"/>
        <item x="431"/>
        <item x="99"/>
        <item x="760"/>
        <item x="137"/>
        <item x="41"/>
        <item x="1098"/>
        <item x="725"/>
        <item x="605"/>
        <item x="852"/>
        <item x="656"/>
        <item x="827"/>
        <item x="769"/>
        <item x="233"/>
        <item x="744"/>
        <item x="124"/>
        <item x="700"/>
        <item x="127"/>
        <item x="543"/>
        <item x="536"/>
        <item x="1176"/>
        <item x="55"/>
        <item x="331"/>
        <item x="1047"/>
        <item x="1128"/>
        <item x="410"/>
        <item x="229"/>
        <item x="472"/>
        <item x="95"/>
        <item x="358"/>
        <item x="461"/>
        <item x="845"/>
        <item x="908"/>
        <item x="60"/>
        <item x="478"/>
        <item x="458"/>
        <item x="492"/>
        <item x="1068"/>
        <item x="542"/>
        <item x="375"/>
        <item x="1075"/>
        <item x="491"/>
        <item x="538"/>
        <item x="1083"/>
        <item x="1120"/>
        <item x="166"/>
        <item x="888"/>
        <item x="181"/>
        <item x="811"/>
        <item x="882"/>
        <item x="678"/>
        <item x="1091"/>
        <item x="825"/>
        <item x="1092"/>
        <item x="708"/>
        <item x="971"/>
        <item x="378"/>
        <item x="642"/>
        <item x="947"/>
        <item x="282"/>
        <item x="1020"/>
        <item x="927"/>
        <item x="903"/>
        <item x="1057"/>
        <item x="384"/>
        <item x="79"/>
        <item x="155"/>
        <item x="383"/>
        <item x="501"/>
        <item x="766"/>
        <item x="879"/>
        <item x="65"/>
        <item x="636"/>
        <item x="236"/>
        <item x="1059"/>
        <item x="651"/>
        <item x="496"/>
        <item x="360"/>
        <item x="445"/>
        <item x="1040"/>
        <item x="985"/>
        <item x="171"/>
        <item x="745"/>
        <item x="966"/>
        <item x="334"/>
        <item x="97"/>
        <item x="1144"/>
        <item x="59"/>
        <item x="306"/>
        <item x="905"/>
        <item x="370"/>
        <item x="1011"/>
        <item x="679"/>
        <item x="145"/>
        <item x="146"/>
        <item x="469"/>
        <item x="857"/>
        <item x="899"/>
        <item x="787"/>
        <item x="8"/>
        <item x="946"/>
        <item x="572"/>
        <item x="669"/>
        <item x="506"/>
        <item x="1157"/>
        <item x="824"/>
        <item x="104"/>
        <item x="356"/>
        <item x="1162"/>
        <item x="912"/>
        <item x="196"/>
        <item x="441"/>
        <item x="61"/>
        <item x="91"/>
        <item x="901"/>
        <item x="92"/>
        <item x="14"/>
        <item x="614"/>
        <item x="1197"/>
        <item x="728"/>
        <item x="1145"/>
        <item x="730"/>
        <item x="784"/>
        <item x="112"/>
        <item x="314"/>
        <item x="683"/>
        <item x="1039"/>
        <item x="843"/>
        <item x="782"/>
        <item x="98"/>
        <item x="1158"/>
        <item x="248"/>
        <item x="1127"/>
        <item x="1038"/>
        <item x="437"/>
        <item x="559"/>
        <item x="740"/>
        <item x="830"/>
        <item x="0"/>
        <item x="462"/>
        <item x="463"/>
        <item x="956"/>
        <item x="460"/>
        <item x="756"/>
        <item x="439"/>
        <item x="36"/>
        <item x="394"/>
        <item x="241"/>
        <item x="9"/>
        <item x="167"/>
        <item x="232"/>
        <item x="31"/>
        <item x="566"/>
        <item x="288"/>
        <item x="432"/>
        <item x="318"/>
        <item x="52"/>
        <item x="1004"/>
        <item x="13"/>
        <item x="16"/>
        <item x="601"/>
        <item x="1054"/>
        <item x="412"/>
        <item x="1016"/>
        <item x="1055"/>
        <item x="1090"/>
        <item x="894"/>
        <item x="765"/>
        <item x="994"/>
        <item x="647"/>
        <item x="616"/>
        <item x="117"/>
        <item x="42"/>
        <item x="978"/>
        <item x="156"/>
        <item x="1028"/>
        <item x="237"/>
        <item x="701"/>
        <item x="154"/>
        <item x="975"/>
        <item x="1025"/>
        <item x="186"/>
        <item x="777"/>
        <item x="848"/>
        <item x="1014"/>
        <item x="1146"/>
        <item x="592"/>
        <item x="867"/>
        <item x="1161"/>
        <item x="1015"/>
        <item x="519"/>
        <item x="688"/>
        <item x="289"/>
        <item x="351"/>
        <item x="803"/>
        <item x="794"/>
        <item x="729"/>
        <item x="239"/>
        <item x="1121"/>
        <item x="654"/>
        <item x="215"/>
        <item x="849"/>
        <item x="812"/>
        <item x="1135"/>
        <item x="1160"/>
        <item x="165"/>
        <item x="955"/>
        <item x="617"/>
        <item x="119"/>
        <item x="400"/>
        <item x="662"/>
        <item x="548"/>
        <item x="866"/>
        <item x="313"/>
        <item x="551"/>
        <item x="1185"/>
        <item x="206"/>
        <item x="753"/>
        <item x="1152"/>
        <item x="521"/>
        <item x="833"/>
        <item x="863"/>
        <item x="111"/>
        <item x="677"/>
        <item x="906"/>
        <item x="816"/>
        <item x="66"/>
        <item x="413"/>
        <item x="278"/>
        <item x="51"/>
        <item x="1141"/>
        <item x="28"/>
        <item x="665"/>
        <item x="476"/>
        <item x="58"/>
        <item x="839"/>
        <item x="660"/>
        <item x="204"/>
        <item x="1037"/>
        <item x="1108"/>
        <item x="139"/>
        <item x="872"/>
        <item x="193"/>
        <item x="1116"/>
        <item x="741"/>
        <item x="444"/>
        <item x="630"/>
        <item x="1093"/>
        <item x="86"/>
        <item x="706"/>
        <item x="893"/>
        <item x="944"/>
        <item x="213"/>
        <item x="133"/>
        <item x="515"/>
        <item x="907"/>
        <item x="467"/>
        <item x="255"/>
        <item x="305"/>
        <item x="637"/>
        <item x="842"/>
        <item x="938"/>
        <item x="33"/>
        <item x="633"/>
        <item x="809"/>
        <item x="1156"/>
        <item x="805"/>
        <item x="694"/>
        <item x="339"/>
        <item x="427"/>
        <item x="454"/>
        <item x="499"/>
        <item x="968"/>
        <item x="672"/>
        <item x="1113"/>
        <item x="670"/>
        <item x="307"/>
        <item x="667"/>
        <item x="197"/>
        <item x="520"/>
        <item x="1167"/>
        <item x="486"/>
        <item x="293"/>
        <item x="402"/>
        <item x="1"/>
        <item x="770"/>
        <item x="285"/>
        <item x="889"/>
        <item x="661"/>
        <item x="20"/>
        <item x="532"/>
        <item x="858"/>
        <item x="609"/>
        <item x="23"/>
        <item x="500"/>
        <item x="820"/>
        <item x="47"/>
        <item x="513"/>
        <item x="873"/>
        <item x="1186"/>
        <item x="801"/>
        <item x="324"/>
        <item x="320"/>
        <item x="982"/>
        <item x="1061"/>
        <item x="46"/>
        <item x="1067"/>
        <item x="771"/>
        <item x="621"/>
        <item x="789"/>
        <item x="477"/>
        <item x="120"/>
        <item x="1132"/>
        <item x="70"/>
        <item x="1150"/>
        <item x="366"/>
        <item x="969"/>
        <item x="610"/>
        <item x="87"/>
        <item x="686"/>
        <item x="428"/>
        <item x="32"/>
        <item x="338"/>
        <item x="724"/>
        <item x="1182"/>
        <item x="539"/>
        <item x="547"/>
        <item x="494"/>
        <item x="1027"/>
        <item x="1042"/>
        <item x="429"/>
        <item x="268"/>
        <item x="260"/>
        <item x="878"/>
        <item x="471"/>
        <item x="259"/>
        <item x="142"/>
        <item x="94"/>
        <item x="283"/>
        <item x="201"/>
        <item x="917"/>
        <item x="1051"/>
        <item x="887"/>
        <item x="996"/>
        <item x="323"/>
        <item x="483"/>
        <item x="464"/>
        <item x="190"/>
        <item x="990"/>
        <item x="511"/>
        <item x="312"/>
        <item x="710"/>
        <item x="381"/>
        <item x="1107"/>
        <item x="11"/>
        <item x="274"/>
        <item x="900"/>
        <item x="77"/>
        <item x="778"/>
        <item x="405"/>
        <item x="573"/>
        <item x="45"/>
        <item x="102"/>
        <item x="970"/>
        <item x="1077"/>
        <item x="603"/>
        <item x="380"/>
        <item x="909"/>
        <item x="417"/>
        <item x="1097"/>
        <item x="218"/>
        <item x="587"/>
        <item x="109"/>
        <item x="470"/>
        <item x="336"/>
        <item x="261"/>
        <item x="447"/>
        <item x="221"/>
        <item x="83"/>
        <item x="80"/>
        <item x="510"/>
        <item x="1034"/>
        <item x="674"/>
        <item x="50"/>
        <item x="1196"/>
        <item x="1159"/>
        <item x="230"/>
        <item x="348"/>
        <item x="449"/>
        <item x="588"/>
        <item x="902"/>
        <item x="606"/>
        <item x="1035"/>
        <item x="607"/>
        <item x="507"/>
        <item x="853"/>
        <item x="210"/>
        <item x="645"/>
        <item x="631"/>
        <item x="396"/>
        <item x="448"/>
        <item x="67"/>
        <item x="807"/>
        <item x="345"/>
        <item x="57"/>
        <item x="498"/>
        <item x="518"/>
        <item x="160"/>
        <item x="123"/>
        <item x="1183"/>
        <item x="446"/>
        <item x="433"/>
        <item x="699"/>
        <item x="253"/>
        <item x="546"/>
        <item x="129"/>
        <item x="1044"/>
        <item x="598"/>
        <item x="78"/>
        <item x="979"/>
        <item x="316"/>
        <item x="623"/>
        <item x="626"/>
        <item x="411"/>
        <item x="960"/>
        <item x="235"/>
        <item x="81"/>
        <item x="487"/>
        <item x="962"/>
        <item x="82"/>
        <item x="754"/>
        <item x="391"/>
        <item x="707"/>
        <item x="1138"/>
        <item x="831"/>
        <item x="1139"/>
        <item x="26"/>
        <item x="632"/>
        <item x="638"/>
        <item x="615"/>
        <item x="30"/>
        <item x="44"/>
        <item x="172"/>
        <item x="182"/>
        <item x="266"/>
        <item x="881"/>
        <item x="951"/>
        <item x="203"/>
        <item x="1151"/>
        <item x="273"/>
        <item x="12"/>
        <item x="430"/>
        <item x="29"/>
        <item x="443"/>
        <item x="1082"/>
        <item x="321"/>
        <item x="170"/>
        <item x="386"/>
        <item x="1086"/>
        <item x="219"/>
        <item x="584"/>
        <item x="1119"/>
        <item x="217"/>
        <item x="327"/>
        <item x="1084"/>
        <item x="1049"/>
        <item x="723"/>
        <item x="1085"/>
        <item x="1026"/>
        <item x="246"/>
        <item x="865"/>
        <item x="871"/>
        <item x="407"/>
        <item x="479"/>
        <item x="138"/>
        <item x="690"/>
        <item x="100"/>
        <item x="875"/>
        <item x="693"/>
        <item x="352"/>
        <item x="939"/>
        <item x="1166"/>
        <item x="591"/>
        <item x="747"/>
        <item x="829"/>
        <item x="1094"/>
        <item x="1123"/>
        <item x="797"/>
        <item x="1032"/>
        <item x="841"/>
        <item x="941"/>
        <item x="721"/>
        <item x="277"/>
        <item x="4"/>
        <item x="796"/>
        <item x="399"/>
        <item x="376"/>
        <item x="17"/>
        <item x="658"/>
        <item x="562"/>
        <item x="750"/>
        <item x="115"/>
        <item x="620"/>
        <item x="986"/>
        <item x="702"/>
        <item x="48"/>
        <item x="703"/>
        <item x="226"/>
        <item x="1187"/>
        <item x="37"/>
        <item x="596"/>
        <item x="341"/>
        <item x="347"/>
        <item x="1140"/>
        <item x="497"/>
        <item x="663"/>
        <item x="1010"/>
        <item x="635"/>
        <item x="1021"/>
        <item x="545"/>
        <item x="531"/>
        <item x="369"/>
        <item x="54"/>
        <item x="304"/>
        <item x="611"/>
        <item x="150"/>
        <item x="108"/>
        <item x="121"/>
        <item x="1081"/>
        <item x="337"/>
        <item x="748"/>
        <item x="726"/>
        <item x="39"/>
        <item x="480"/>
        <item x="634"/>
        <item x="527"/>
        <item x="788"/>
        <item x="350"/>
        <item x="864"/>
        <item x="561"/>
        <item x="804"/>
        <item x="194"/>
        <item x="62"/>
        <item x="1124"/>
        <item x="1018"/>
        <item x="317"/>
        <item x="1155"/>
        <item x="567"/>
        <item x="74"/>
        <item x="652"/>
        <item x="254"/>
        <item x="90"/>
        <item x="930"/>
        <item x="885"/>
        <item x="290"/>
        <item x="262"/>
        <item x="372"/>
        <item x="579"/>
        <item x="644"/>
        <item x="195"/>
        <item x="814"/>
        <item x="911"/>
        <item x="297"/>
        <item x="779"/>
        <item x="298"/>
        <item x="177"/>
        <item x="212"/>
        <item x="1130"/>
        <item x="495"/>
        <item x="646"/>
        <item x="935"/>
        <item x="1118"/>
        <item x="529"/>
        <item x="175"/>
        <item x="755"/>
        <item x="910"/>
        <item x="1117"/>
        <item x="1125"/>
        <item x="514"/>
        <item x="802"/>
        <item x="697"/>
        <item x="835"/>
        <item x="452"/>
        <item x="71"/>
        <item x="953"/>
        <item x="395"/>
        <item x="168"/>
        <item x="943"/>
        <item x="151"/>
        <item x="162"/>
        <item x="1060"/>
        <item x="719"/>
        <item x="49"/>
        <item x="668"/>
        <item x="245"/>
        <item x="736"/>
        <item x="152"/>
        <item x="330"/>
        <item x="512"/>
        <item x="38"/>
        <item x="1064"/>
        <item x="42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s>
  <rowFields count="1">
    <field x="2"/>
  </rowFields>
  <rowItems count="5">
    <i>
      <x/>
    </i>
    <i>
      <x v="1"/>
    </i>
    <i>
      <x v="2"/>
    </i>
    <i>
      <x v="3"/>
    </i>
    <i t="grand">
      <x/>
    </i>
  </rowItems>
  <colItems count="1">
    <i/>
  </colItems>
  <dataFields count="1">
    <dataField name="Sum of Gross_Profit" fld="9" baseField="0" baseItem="0"/>
  </dataFields>
  <formats count="2">
    <format dxfId="8">
      <pivotArea collapsedLevelsAreSubtotals="1" fieldPosition="0">
        <references count="1">
          <reference field="2" count="0"/>
        </references>
      </pivotArea>
    </format>
    <format dxfId="7">
      <pivotArea grandRow="1" outline="0" collapsedLevelsAreSubtotals="1" fieldPosition="0"/>
    </format>
  </format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9DA0C83-8416-4A91-B566-9E6A9F075AEF}"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Quarters">
  <location ref="A26:B31" firstHeaderRow="1" firstDataRow="1" firstDataCol="1"/>
  <pivotFields count="16">
    <pivotField numFmtId="14" showAll="0">
      <items count="601">
        <item x="79"/>
        <item x="511"/>
        <item x="199"/>
        <item x="86"/>
        <item x="123"/>
        <item x="525"/>
        <item x="29"/>
        <item x="99"/>
        <item x="467"/>
        <item x="346"/>
        <item x="559"/>
        <item x="325"/>
        <item x="52"/>
        <item x="138"/>
        <item x="242"/>
        <item x="151"/>
        <item x="168"/>
        <item x="300"/>
        <item x="313"/>
        <item x="442"/>
        <item x="422"/>
        <item x="187"/>
        <item x="225"/>
        <item x="159"/>
        <item x="380"/>
        <item x="165"/>
        <item x="431"/>
        <item x="474"/>
        <item x="512"/>
        <item x="144"/>
        <item x="154"/>
        <item x="73"/>
        <item x="129"/>
        <item x="360"/>
        <item x="108"/>
        <item x="88"/>
        <item x="318"/>
        <item x="460"/>
        <item x="358"/>
        <item x="553"/>
        <item x="43"/>
        <item x="240"/>
        <item x="424"/>
        <item x="207"/>
        <item x="447"/>
        <item x="569"/>
        <item x="576"/>
        <item x="149"/>
        <item x="173"/>
        <item x="222"/>
        <item x="537"/>
        <item x="493"/>
        <item x="497"/>
        <item x="49"/>
        <item x="238"/>
        <item x="364"/>
        <item x="492"/>
        <item x="304"/>
        <item x="558"/>
        <item x="290"/>
        <item x="87"/>
        <item x="509"/>
        <item x="139"/>
        <item x="298"/>
        <item x="219"/>
        <item x="117"/>
        <item x="428"/>
        <item x="591"/>
        <item x="175"/>
        <item x="102"/>
        <item x="323"/>
        <item x="599"/>
        <item x="595"/>
        <item x="375"/>
        <item x="554"/>
        <item x="80"/>
        <item x="122"/>
        <item x="486"/>
        <item x="51"/>
        <item x="314"/>
        <item x="205"/>
        <item x="0"/>
        <item x="39"/>
        <item x="388"/>
        <item x="434"/>
        <item x="189"/>
        <item x="137"/>
        <item x="93"/>
        <item x="84"/>
        <item x="438"/>
        <item x="120"/>
        <item x="127"/>
        <item x="177"/>
        <item x="295"/>
        <item x="47"/>
        <item x="152"/>
        <item x="403"/>
        <item x="232"/>
        <item x="582"/>
        <item x="289"/>
        <item x="46"/>
        <item x="475"/>
        <item x="371"/>
        <item x="167"/>
        <item x="261"/>
        <item x="389"/>
        <item x="188"/>
        <item x="457"/>
        <item x="463"/>
        <item x="367"/>
        <item x="355"/>
        <item x="294"/>
        <item x="465"/>
        <item x="118"/>
        <item x="251"/>
        <item x="212"/>
        <item x="254"/>
        <item x="476"/>
        <item x="478"/>
        <item x="423"/>
        <item x="69"/>
        <item x="27"/>
        <item x="437"/>
        <item x="31"/>
        <item x="310"/>
        <item x="377"/>
        <item x="521"/>
        <item x="311"/>
        <item x="213"/>
        <item x="107"/>
        <item x="32"/>
        <item x="452"/>
        <item x="541"/>
        <item x="223"/>
        <item x="291"/>
        <item x="510"/>
        <item x="579"/>
        <item x="427"/>
        <item x="505"/>
        <item x="539"/>
        <item x="383"/>
        <item x="36"/>
        <item x="317"/>
        <item x="362"/>
        <item x="155"/>
        <item x="359"/>
        <item x="548"/>
        <item x="384"/>
        <item x="469"/>
        <item x="246"/>
        <item x="279"/>
        <item x="296"/>
        <item x="191"/>
        <item x="508"/>
        <item x="148"/>
        <item x="305"/>
        <item x="575"/>
        <item x="19"/>
        <item x="373"/>
        <item x="163"/>
        <item x="536"/>
        <item x="285"/>
        <item x="44"/>
        <item x="392"/>
        <item x="104"/>
        <item x="264"/>
        <item x="8"/>
        <item x="566"/>
        <item x="301"/>
        <item x="363"/>
        <item x="190"/>
        <item x="81"/>
        <item x="209"/>
        <item x="394"/>
        <item x="164"/>
        <item x="498"/>
        <item x="540"/>
        <item x="255"/>
        <item x="297"/>
        <item x="265"/>
        <item x="195"/>
        <item x="523"/>
        <item x="516"/>
        <item x="142"/>
        <item x="162"/>
        <item x="321"/>
        <item x="468"/>
        <item x="239"/>
        <item x="564"/>
        <item x="439"/>
        <item x="92"/>
        <item x="574"/>
        <item x="387"/>
        <item x="237"/>
        <item x="128"/>
        <item x="315"/>
        <item x="385"/>
        <item x="258"/>
        <item x="551"/>
        <item x="281"/>
        <item x="596"/>
        <item x="75"/>
        <item x="494"/>
        <item x="115"/>
        <item x="146"/>
        <item x="473"/>
        <item x="48"/>
        <item x="354"/>
        <item x="425"/>
        <item x="249"/>
        <item x="462"/>
        <item x="106"/>
        <item x="587"/>
        <item x="366"/>
        <item x="169"/>
        <item x="160"/>
        <item x="259"/>
        <item x="417"/>
        <item x="275"/>
        <item x="446"/>
        <item x="215"/>
        <item x="583"/>
        <item x="507"/>
        <item x="267"/>
        <item x="170"/>
        <item x="231"/>
        <item x="5"/>
        <item x="503"/>
        <item x="57"/>
        <item x="334"/>
        <item x="59"/>
        <item x="408"/>
        <item x="235"/>
        <item x="76"/>
        <item x="109"/>
        <item x="268"/>
        <item x="119"/>
        <item x="410"/>
        <item x="405"/>
        <item x="157"/>
        <item x="276"/>
        <item x="557"/>
        <item x="584"/>
        <item x="531"/>
        <item x="101"/>
        <item x="593"/>
        <item x="543"/>
        <item x="370"/>
        <item x="156"/>
        <item x="236"/>
        <item x="89"/>
        <item x="200"/>
        <item x="252"/>
        <item x="82"/>
        <item x="181"/>
        <item x="150"/>
        <item x="597"/>
        <item x="182"/>
        <item x="485"/>
        <item x="495"/>
        <item x="546"/>
        <item x="350"/>
        <item x="241"/>
        <item x="560"/>
        <item x="538"/>
        <item x="95"/>
        <item x="153"/>
        <item x="562"/>
        <item x="445"/>
        <item x="535"/>
        <item x="65"/>
        <item x="544"/>
        <item x="299"/>
        <item x="1"/>
        <item x="327"/>
        <item x="577"/>
        <item x="443"/>
        <item x="83"/>
        <item x="216"/>
        <item x="528"/>
        <item x="263"/>
        <item x="345"/>
        <item x="340"/>
        <item x="282"/>
        <item x="580"/>
        <item x="158"/>
        <item x="110"/>
        <item x="415"/>
        <item x="37"/>
        <item x="228"/>
        <item x="206"/>
        <item x="309"/>
        <item x="483"/>
        <item x="339"/>
        <item x="489"/>
        <item x="293"/>
        <item x="229"/>
        <item x="274"/>
        <item x="132"/>
        <item x="262"/>
        <item x="34"/>
        <item x="433"/>
        <item x="6"/>
        <item x="337"/>
        <item x="184"/>
        <item x="441"/>
        <item x="202"/>
        <item x="21"/>
        <item x="401"/>
        <item x="269"/>
        <item x="590"/>
        <item x="112"/>
        <item x="530"/>
        <item x="365"/>
        <item x="589"/>
        <item x="278"/>
        <item x="572"/>
        <item x="22"/>
        <item x="351"/>
        <item x="7"/>
        <item x="499"/>
        <item x="328"/>
        <item x="141"/>
        <item x="287"/>
        <item x="15"/>
        <item x="519"/>
        <item x="125"/>
        <item x="60"/>
        <item x="63"/>
        <item x="214"/>
        <item x="41"/>
        <item x="33"/>
        <item x="70"/>
        <item x="348"/>
        <item x="332"/>
        <item x="113"/>
        <item x="134"/>
        <item x="386"/>
        <item x="40"/>
        <item x="481"/>
        <item x="97"/>
        <item x="450"/>
        <item x="247"/>
        <item x="514"/>
        <item x="145"/>
        <item x="54"/>
        <item x="283"/>
        <item x="183"/>
        <item x="286"/>
        <item x="455"/>
        <item x="491"/>
        <item x="448"/>
        <item x="194"/>
        <item x="178"/>
        <item x="284"/>
        <item x="114"/>
        <item x="50"/>
        <item x="500"/>
        <item x="470"/>
        <item x="464"/>
        <item x="227"/>
        <item x="78"/>
        <item x="376"/>
        <item x="352"/>
        <item x="526"/>
        <item x="413"/>
        <item x="517"/>
        <item x="288"/>
        <item x="308"/>
        <item x="454"/>
        <item x="397"/>
        <item x="211"/>
        <item x="329"/>
        <item x="353"/>
        <item x="400"/>
        <item x="131"/>
        <item x="67"/>
        <item x="594"/>
        <item x="121"/>
        <item x="111"/>
        <item x="324"/>
        <item x="336"/>
        <item x="518"/>
        <item x="571"/>
        <item x="429"/>
        <item x="218"/>
        <item x="62"/>
        <item x="208"/>
        <item x="472"/>
        <item x="198"/>
        <item x="484"/>
        <item x="243"/>
        <item x="549"/>
        <item x="105"/>
        <item x="524"/>
        <item x="35"/>
        <item x="451"/>
        <item x="221"/>
        <item x="440"/>
        <item x="369"/>
        <item x="585"/>
        <item x="230"/>
        <item x="26"/>
        <item x="12"/>
        <item x="2"/>
        <item x="10"/>
        <item x="477"/>
        <item x="482"/>
        <item x="55"/>
        <item x="126"/>
        <item x="320"/>
        <item x="13"/>
        <item x="567"/>
        <item x="244"/>
        <item x="91"/>
        <item x="135"/>
        <item x="68"/>
        <item x="203"/>
        <item x="224"/>
        <item x="77"/>
        <item x="133"/>
        <item x="513"/>
        <item x="124"/>
        <item x="179"/>
        <item x="166"/>
        <item x="466"/>
        <item x="185"/>
        <item x="172"/>
        <item x="402"/>
        <item x="506"/>
        <item x="17"/>
        <item x="515"/>
        <item x="316"/>
        <item x="379"/>
        <item x="217"/>
        <item x="307"/>
        <item x="338"/>
        <item x="180"/>
        <item x="456"/>
        <item x="273"/>
        <item x="416"/>
        <item x="435"/>
        <item x="570"/>
        <item x="174"/>
        <item x="581"/>
        <item x="461"/>
        <item x="496"/>
        <item x="58"/>
        <item x="302"/>
        <item x="98"/>
        <item x="341"/>
        <item x="504"/>
        <item x="186"/>
        <item x="292"/>
        <item x="277"/>
        <item x="280"/>
        <item x="74"/>
        <item x="347"/>
        <item x="342"/>
        <item x="3"/>
        <item x="234"/>
        <item x="343"/>
        <item x="16"/>
        <item x="542"/>
        <item x="23"/>
        <item x="331"/>
        <item x="349"/>
        <item x="396"/>
        <item x="140"/>
        <item x="28"/>
        <item x="253"/>
        <item x="96"/>
        <item x="398"/>
        <item x="147"/>
        <item x="458"/>
        <item x="527"/>
        <item x="100"/>
        <item x="326"/>
        <item x="479"/>
        <item x="257"/>
        <item x="335"/>
        <item x="430"/>
        <item x="171"/>
        <item x="436"/>
        <item x="330"/>
        <item x="196"/>
        <item x="487"/>
        <item x="444"/>
        <item x="409"/>
        <item x="197"/>
        <item x="245"/>
        <item x="319"/>
        <item x="272"/>
        <item x="490"/>
        <item x="406"/>
        <item x="381"/>
        <item x="220"/>
        <item x="24"/>
        <item x="312"/>
        <item x="14"/>
        <item x="393"/>
        <item x="522"/>
        <item x="56"/>
        <item x="248"/>
        <item x="573"/>
        <item x="143"/>
        <item x="547"/>
        <item x="502"/>
        <item x="592"/>
        <item x="586"/>
        <item x="390"/>
        <item x="38"/>
        <item x="414"/>
        <item x="30"/>
        <item x="130"/>
        <item x="561"/>
        <item x="378"/>
        <item x="306"/>
        <item x="210"/>
        <item x="64"/>
        <item x="418"/>
        <item x="534"/>
        <item x="204"/>
        <item x="192"/>
        <item x="578"/>
        <item x="116"/>
        <item x="136"/>
        <item x="404"/>
        <item x="598"/>
        <item x="419"/>
        <item x="322"/>
        <item x="18"/>
        <item x="11"/>
        <item x="260"/>
        <item x="399"/>
        <item x="453"/>
        <item x="533"/>
        <item x="552"/>
        <item x="71"/>
        <item x="395"/>
        <item x="520"/>
        <item x="25"/>
        <item x="233"/>
        <item x="556"/>
        <item x="391"/>
        <item x="94"/>
        <item x="103"/>
        <item x="90"/>
        <item x="568"/>
        <item x="72"/>
        <item x="193"/>
        <item x="45"/>
        <item x="407"/>
        <item x="250"/>
        <item x="176"/>
        <item x="361"/>
        <item x="372"/>
        <item x="532"/>
        <item x="374"/>
        <item x="412"/>
        <item x="256"/>
        <item x="344"/>
        <item x="421"/>
        <item x="333"/>
        <item x="356"/>
        <item x="4"/>
        <item x="529"/>
        <item x="488"/>
        <item x="53"/>
        <item x="449"/>
        <item x="565"/>
        <item x="357"/>
        <item x="271"/>
        <item x="85"/>
        <item x="42"/>
        <item x="459"/>
        <item x="161"/>
        <item x="266"/>
        <item x="303"/>
        <item x="550"/>
        <item x="545"/>
        <item x="270"/>
        <item x="426"/>
        <item x="20"/>
        <item x="588"/>
        <item x="420"/>
        <item x="480"/>
        <item x="66"/>
        <item x="201"/>
        <item x="555"/>
        <item x="61"/>
        <item x="563"/>
        <item x="501"/>
        <item x="368"/>
        <item x="382"/>
        <item x="432"/>
        <item x="411"/>
        <item x="9"/>
        <item x="226"/>
        <item x="471"/>
        <item t="default"/>
      </items>
    </pivotField>
    <pivotField showAll="0">
      <items count="5">
        <item x="1"/>
        <item x="2"/>
        <item x="0"/>
        <item x="3"/>
        <item t="default"/>
      </items>
    </pivotField>
    <pivotField showAll="0">
      <items count="5">
        <item x="2"/>
        <item x="1"/>
        <item x="0"/>
        <item x="3"/>
        <item t="default"/>
      </items>
    </pivotField>
    <pivotField showAll="0">
      <items count="4">
        <item x="1"/>
        <item x="0"/>
        <item x="2"/>
        <item t="default"/>
      </items>
    </pivotField>
    <pivotField dataField="1" showAll="0">
      <items count="1197">
        <item x="78"/>
        <item x="100"/>
        <item x="135"/>
        <item x="575"/>
        <item x="174"/>
        <item x="610"/>
        <item x="730"/>
        <item x="508"/>
        <item x="55"/>
        <item x="315"/>
        <item x="1011"/>
        <item x="1113"/>
        <item x="1148"/>
        <item x="577"/>
        <item x="825"/>
        <item x="219"/>
        <item x="1166"/>
        <item x="375"/>
        <item x="672"/>
        <item x="563"/>
        <item x="214"/>
        <item x="981"/>
        <item x="615"/>
        <item x="355"/>
        <item x="109"/>
        <item x="103"/>
        <item x="145"/>
        <item x="516"/>
        <item x="953"/>
        <item x="889"/>
        <item x="998"/>
        <item x="849"/>
        <item x="553"/>
        <item x="476"/>
        <item x="443"/>
        <item x="625"/>
        <item x="1046"/>
        <item x="30"/>
        <item x="395"/>
        <item x="914"/>
        <item x="887"/>
        <item x="144"/>
        <item x="237"/>
        <item x="40"/>
        <item x="400"/>
        <item x="413"/>
        <item x="392"/>
        <item x="1172"/>
        <item x="172"/>
        <item x="149"/>
        <item x="69"/>
        <item x="325"/>
        <item x="283"/>
        <item x="346"/>
        <item x="1176"/>
        <item x="92"/>
        <item x="1020"/>
        <item x="943"/>
        <item x="1068"/>
        <item x="179"/>
        <item x="907"/>
        <item x="388"/>
        <item x="86"/>
        <item x="98"/>
        <item x="604"/>
        <item x="1006"/>
        <item x="382"/>
        <item x="222"/>
        <item x="331"/>
        <item x="217"/>
        <item x="1178"/>
        <item x="439"/>
        <item x="1137"/>
        <item x="756"/>
        <item x="743"/>
        <item x="793"/>
        <item x="28"/>
        <item x="671"/>
        <item x="840"/>
        <item x="710"/>
        <item x="364"/>
        <item x="105"/>
        <item x="115"/>
        <item x="409"/>
        <item x="712"/>
        <item x="350"/>
        <item x="674"/>
        <item x="139"/>
        <item x="527"/>
        <item x="197"/>
        <item x="1015"/>
        <item x="955"/>
        <item x="59"/>
        <item x="158"/>
        <item x="1026"/>
        <item x="776"/>
        <item x="425"/>
        <item x="728"/>
        <item x="383"/>
        <item x="1182"/>
        <item x="920"/>
        <item x="347"/>
        <item x="1136"/>
        <item x="454"/>
        <item x="75"/>
        <item x="1081"/>
        <item x="681"/>
        <item x="97"/>
        <item x="99"/>
        <item x="646"/>
        <item x="379"/>
        <item x="327"/>
        <item x="661"/>
        <item x="142"/>
        <item x="494"/>
        <item x="1175"/>
        <item x="265"/>
        <item x="330"/>
        <item x="565"/>
        <item x="853"/>
        <item x="540"/>
        <item x="258"/>
        <item x="833"/>
        <item x="1038"/>
        <item x="630"/>
        <item x="729"/>
        <item x="1070"/>
        <item x="123"/>
        <item x="1123"/>
        <item x="587"/>
        <item x="146"/>
        <item x="582"/>
        <item x="120"/>
        <item x="623"/>
        <item x="1104"/>
        <item x="1170"/>
        <item x="444"/>
        <item x="304"/>
        <item x="762"/>
        <item x="603"/>
        <item x="190"/>
        <item x="93"/>
        <item x="721"/>
        <item x="855"/>
        <item x="529"/>
        <item x="1069"/>
        <item x="1174"/>
        <item x="821"/>
        <item x="430"/>
        <item x="1162"/>
        <item x="50"/>
        <item x="1034"/>
        <item x="288"/>
        <item x="1187"/>
        <item x="1177"/>
        <item x="780"/>
        <item x="308"/>
        <item x="493"/>
        <item x="406"/>
        <item x="1049"/>
        <item x="345"/>
        <item x="488"/>
        <item x="545"/>
        <item x="733"/>
        <item x="858"/>
        <item x="1169"/>
        <item x="1050"/>
        <item x="1168"/>
        <item x="284"/>
        <item x="1110"/>
        <item x="440"/>
        <item x="396"/>
        <item x="918"/>
        <item x="768"/>
        <item x="724"/>
        <item x="617"/>
        <item x="62"/>
        <item x="1045"/>
        <item x="1016"/>
        <item x="1030"/>
        <item x="465"/>
        <item x="704"/>
        <item x="37"/>
        <item x="608"/>
        <item x="148"/>
        <item x="1075"/>
        <item x="171"/>
        <item x="463"/>
        <item x="134"/>
        <item x="453"/>
        <item x="173"/>
        <item x="831"/>
        <item x="515"/>
        <item x="535"/>
        <item x="1043"/>
        <item x="789"/>
        <item x="422"/>
        <item x="136"/>
        <item x="962"/>
        <item x="475"/>
        <item x="578"/>
        <item x="862"/>
        <item x="817"/>
        <item x="804"/>
        <item x="1158"/>
        <item x="195"/>
        <item x="467"/>
        <item x="177"/>
        <item x="814"/>
        <item x="452"/>
        <item x="913"/>
        <item x="445"/>
        <item x="57"/>
        <item x="585"/>
        <item x="960"/>
        <item x="792"/>
        <item x="626"/>
        <item x="361"/>
        <item x="1120"/>
        <item x="697"/>
        <item x="320"/>
        <item x="683"/>
        <item x="335"/>
        <item x="900"/>
        <item x="206"/>
        <item x="784"/>
        <item x="732"/>
        <item x="785"/>
        <item x="260"/>
        <item x="309"/>
        <item x="1139"/>
        <item x="1130"/>
        <item x="9"/>
        <item x="945"/>
        <item x="245"/>
        <item x="834"/>
        <item x="622"/>
        <item x="650"/>
        <item x="908"/>
        <item x="1053"/>
        <item x="456"/>
        <item x="916"/>
        <item x="902"/>
        <item x="827"/>
        <item x="151"/>
        <item x="352"/>
        <item x="464"/>
        <item x="957"/>
        <item x="746"/>
        <item x="875"/>
        <item x="901"/>
        <item x="911"/>
        <item x="693"/>
        <item x="274"/>
        <item x="193"/>
        <item x="951"/>
        <item x="501"/>
        <item x="289"/>
        <item x="1028"/>
        <item x="1145"/>
        <item x="160"/>
        <item x="25"/>
        <item x="338"/>
        <item x="959"/>
        <item x="727"/>
        <item x="1132"/>
        <item x="1084"/>
        <item x="45"/>
        <item x="725"/>
        <item x="49"/>
        <item x="381"/>
        <item x="261"/>
        <item x="1066"/>
        <item x="21"/>
        <item x="614"/>
        <item x="32"/>
        <item x="939"/>
        <item x="915"/>
        <item x="24"/>
        <item x="1156"/>
        <item x="368"/>
        <item x="15"/>
        <item x="102"/>
        <item x="490"/>
        <item x="218"/>
        <item x="600"/>
        <item x="270"/>
        <item x="885"/>
        <item x="241"/>
        <item x="507"/>
        <item x="663"/>
        <item x="1146"/>
        <item x="938"/>
        <item x="108"/>
        <item x="711"/>
        <item x="922"/>
        <item x="474"/>
        <item x="992"/>
        <item x="1033"/>
        <item x="299"/>
        <item x="324"/>
        <item x="1054"/>
        <item x="613"/>
        <item x="1000"/>
        <item x="353"/>
        <item x="645"/>
        <item x="298"/>
        <item x="253"/>
        <item x="740"/>
        <item x="94"/>
        <item x="766"/>
        <item x="38"/>
        <item x="832"/>
        <item x="567"/>
        <item x="965"/>
        <item x="971"/>
        <item x="380"/>
        <item x="616"/>
        <item x="1115"/>
        <item x="861"/>
        <item x="818"/>
        <item x="555"/>
        <item x="1057"/>
        <item x="1003"/>
        <item x="473"/>
        <item x="891"/>
        <item x="581"/>
        <item x="207"/>
        <item x="1025"/>
        <item x="638"/>
        <item x="707"/>
        <item x="921"/>
        <item x="1010"/>
        <item x="460"/>
        <item x="269"/>
        <item x="434"/>
        <item x="612"/>
        <item x="520"/>
        <item x="129"/>
        <item x="397"/>
        <item x="777"/>
        <item x="932"/>
        <item x="1023"/>
        <item x="843"/>
        <item x="696"/>
        <item x="870"/>
        <item x="877"/>
        <item x="764"/>
        <item x="941"/>
        <item x="850"/>
        <item x="1004"/>
        <item x="1085"/>
        <item x="127"/>
        <item x="595"/>
        <item x="221"/>
        <item x="892"/>
        <item x="470"/>
        <item x="429"/>
        <item x="141"/>
        <item x="874"/>
        <item x="424"/>
        <item x="111"/>
        <item x="1190"/>
        <item x="372"/>
        <item x="1060"/>
        <item x="761"/>
        <item x="293"/>
        <item x="186"/>
        <item x="54"/>
        <item x="735"/>
        <item x="198"/>
        <item x="737"/>
        <item x="848"/>
        <item x="1181"/>
        <item x="607"/>
        <item x="236"/>
        <item x="232"/>
        <item x="750"/>
        <item x="39"/>
        <item x="294"/>
        <item x="213"/>
        <item x="285"/>
        <item x="96"/>
        <item x="963"/>
        <item x="1103"/>
        <item x="708"/>
        <item x="212"/>
        <item x="897"/>
        <item x="239"/>
        <item x="1112"/>
        <item x="665"/>
        <item x="34"/>
        <item x="639"/>
        <item x="566"/>
        <item x="228"/>
        <item x="629"/>
        <item x="229"/>
        <item x="1"/>
        <item x="1167"/>
        <item x="121"/>
        <item x="842"/>
        <item x="243"/>
        <item x="275"/>
        <item x="385"/>
        <item x="280"/>
        <item x="879"/>
        <item x="147"/>
        <item x="414"/>
        <item x="76"/>
        <item x="1089"/>
        <item x="279"/>
        <item x="1131"/>
        <item x="808"/>
        <item x="336"/>
        <item x="1163"/>
        <item x="548"/>
        <item x="403"/>
        <item x="925"/>
        <item x="1106"/>
        <item x="12"/>
        <item x="87"/>
        <item x="698"/>
        <item x="131"/>
        <item x="437"/>
        <item x="14"/>
        <item x="31"/>
        <item x="845"/>
        <item x="1012"/>
        <item x="649"/>
        <item x="1184"/>
        <item x="61"/>
        <item x="389"/>
        <item x="975"/>
        <item x="367"/>
        <item x="110"/>
        <item x="1099"/>
        <item x="1027"/>
        <item x="435"/>
        <item x="982"/>
        <item x="83"/>
        <item x="104"/>
        <item x="747"/>
        <item x="586"/>
        <item x="533"/>
        <item x="167"/>
        <item x="1022"/>
        <item x="466"/>
        <item x="723"/>
        <item x="72"/>
        <item x="489"/>
        <item x="1140"/>
        <item x="643"/>
        <item x="374"/>
        <item x="890"/>
        <item x="709"/>
        <item x="192"/>
        <item x="865"/>
        <item x="503"/>
        <item x="819"/>
        <item x="1164"/>
        <item x="53"/>
        <item x="1155"/>
        <item x="64"/>
        <item x="1056"/>
        <item x="318"/>
        <item x="1135"/>
        <item x="522"/>
        <item x="745"/>
        <item x="899"/>
        <item x="978"/>
        <item x="1188"/>
        <item x="257"/>
        <item x="809"/>
        <item x="557"/>
        <item x="233"/>
        <item x="116"/>
        <item x="544"/>
        <item x="618"/>
        <item x="5"/>
        <item x="36"/>
        <item x="798"/>
        <item x="1024"/>
        <item x="356"/>
        <item x="966"/>
        <item x="66"/>
        <item x="751"/>
        <item x="41"/>
        <item x="1094"/>
        <item x="1087"/>
        <item x="644"/>
        <item x="47"/>
        <item x="458"/>
        <item x="332"/>
        <item x="796"/>
        <item x="16"/>
        <item x="89"/>
        <item x="748"/>
        <item x="692"/>
        <item x="1154"/>
        <item x="1144"/>
        <item x="620"/>
        <item x="22"/>
        <item x="450"/>
        <item x="774"/>
        <item x="574"/>
        <item x="1090"/>
        <item x="895"/>
        <item x="904"/>
        <item x="584"/>
        <item x="498"/>
        <item x="68"/>
        <item x="362"/>
        <item x="715"/>
        <item x="703"/>
        <item x="199"/>
        <item x="354"/>
        <item x="322"/>
        <item x="249"/>
        <item x="906"/>
        <item x="316"/>
        <item x="598"/>
        <item x="481"/>
        <item x="1073"/>
        <item x="88"/>
        <item x="551"/>
        <item x="806"/>
        <item x="1018"/>
        <item x="1061"/>
        <item x="673"/>
        <item x="800"/>
        <item x="686"/>
        <item x="864"/>
        <item x="196"/>
        <item x="244"/>
        <item x="1077"/>
        <item x="185"/>
        <item x="1008"/>
        <item x="386"/>
        <item x="930"/>
        <item x="844"/>
        <item x="543"/>
        <item x="455"/>
        <item x="659"/>
        <item x="415"/>
        <item x="491"/>
        <item x="1062"/>
        <item x="628"/>
        <item x="1080"/>
        <item x="866"/>
        <item x="140"/>
        <item x="896"/>
        <item x="1051"/>
        <item x="302"/>
        <item x="1035"/>
        <item x="1109"/>
        <item x="991"/>
        <item x="547"/>
        <item x="358"/>
        <item x="863"/>
        <item x="224"/>
        <item x="7"/>
        <item x="689"/>
        <item x="408"/>
        <item x="589"/>
        <item x="676"/>
        <item x="989"/>
        <item x="666"/>
        <item x="1134"/>
        <item x="771"/>
        <item x="731"/>
        <item x="479"/>
        <item x="967"/>
        <item x="161"/>
        <item x="1048"/>
        <item x="1088"/>
        <item x="691"/>
        <item x="813"/>
        <item x="235"/>
        <item x="869"/>
        <item x="1161"/>
        <item x="621"/>
        <item x="779"/>
        <item x="107"/>
        <item x="637"/>
        <item x="42"/>
        <item x="427"/>
        <item x="268"/>
        <item x="647"/>
        <item x="738"/>
        <item x="741"/>
        <item x="119"/>
        <item x="256"/>
        <item x="1092"/>
        <item x="801"/>
        <item x="749"/>
        <item x="132"/>
        <item x="300"/>
        <item x="441"/>
        <item x="1001"/>
        <item x="303"/>
        <item x="534"/>
        <item x="935"/>
        <item x="188"/>
        <item x="461"/>
        <item x="248"/>
        <item x="590"/>
        <item x="189"/>
        <item x="1047"/>
        <item x="660"/>
        <item x="839"/>
        <item x="558"/>
        <item x="138"/>
        <item x="1014"/>
        <item x="321"/>
        <item x="583"/>
        <item x="410"/>
        <item x="846"/>
        <item x="180"/>
        <item x="176"/>
        <item x="820"/>
        <item x="0"/>
        <item x="150"/>
        <item x="1108"/>
        <item x="506"/>
        <item x="722"/>
        <item x="1191"/>
        <item x="1186"/>
        <item x="187"/>
        <item x="371"/>
        <item x="988"/>
        <item x="754"/>
        <item x="964"/>
        <item x="126"/>
        <item x="2"/>
        <item x="726"/>
        <item x="1076"/>
        <item x="495"/>
        <item x="79"/>
        <item x="412"/>
        <item x="376"/>
        <item x="486"/>
        <item x="1180"/>
        <item x="782"/>
        <item x="773"/>
        <item x="340"/>
        <item x="337"/>
        <item x="702"/>
        <item x="1142"/>
        <item x="580"/>
        <item x="946"/>
        <item x="995"/>
        <item x="114"/>
        <item x="81"/>
        <item x="1032"/>
        <item x="451"/>
        <item x="940"/>
        <item x="788"/>
        <item x="210"/>
        <item x="884"/>
        <item x="684"/>
        <item x="700"/>
        <item x="6"/>
        <item x="640"/>
        <item x="1102"/>
        <item x="306"/>
        <item x="154"/>
        <item x="423"/>
        <item x="851"/>
        <item x="699"/>
        <item x="588"/>
        <item x="117"/>
        <item x="264"/>
        <item x="990"/>
        <item x="772"/>
        <item x="517"/>
        <item x="576"/>
        <item x="44"/>
        <item x="868"/>
        <item x="552"/>
        <item x="579"/>
        <item x="753"/>
        <item x="153"/>
        <item x="1149"/>
        <item x="163"/>
        <item x="84"/>
        <item x="128"/>
        <item x="836"/>
        <item x="624"/>
        <item x="420"/>
        <item x="976"/>
        <item x="418"/>
        <item x="391"/>
        <item x="1173"/>
        <item x="469"/>
        <item x="291"/>
        <item x="635"/>
        <item x="311"/>
        <item x="1021"/>
        <item x="537"/>
        <item x="449"/>
        <item x="1059"/>
        <item x="950"/>
        <item x="714"/>
        <item x="227"/>
        <item x="143"/>
        <item x="816"/>
        <item x="234"/>
        <item x="519"/>
        <item x="1111"/>
        <item x="923"/>
        <item x="73"/>
        <item x="958"/>
        <item x="987"/>
        <item x="1041"/>
        <item x="826"/>
        <item x="446"/>
        <item x="786"/>
        <item x="70"/>
        <item x="296"/>
        <item x="656"/>
        <item x="790"/>
        <item x="1036"/>
        <item x="215"/>
        <item x="559"/>
        <item x="883"/>
        <item x="156"/>
        <item x="531"/>
        <item x="162"/>
        <item x="984"/>
        <item x="886"/>
        <item x="539"/>
        <item x="759"/>
        <item x="550"/>
        <item x="301"/>
        <item x="770"/>
        <item x="980"/>
        <item x="1037"/>
        <item x="477"/>
        <item x="807"/>
        <item x="878"/>
        <item x="169"/>
        <item x="1138"/>
        <item x="974"/>
        <item x="1192"/>
        <item x="929"/>
        <item x="716"/>
        <item x="668"/>
        <item x="795"/>
        <item x="407"/>
        <item x="504"/>
        <item x="1107"/>
        <item x="736"/>
        <item x="658"/>
        <item x="876"/>
        <item x="969"/>
        <item x="357"/>
        <item x="401"/>
        <item x="67"/>
        <item x="369"/>
        <item x="1067"/>
        <item x="23"/>
        <item x="238"/>
        <item x="482"/>
        <item x="52"/>
        <item x="259"/>
        <item x="82"/>
        <item x="791"/>
        <item x="653"/>
        <item x="194"/>
        <item x="903"/>
        <item x="822"/>
        <item x="1121"/>
        <item x="231"/>
        <item x="1183"/>
        <item x="657"/>
        <item x="394"/>
        <item x="910"/>
        <item x="758"/>
        <item x="419"/>
        <item x="178"/>
        <item x="752"/>
        <item x="226"/>
        <item x="168"/>
        <item x="983"/>
        <item x="682"/>
        <item x="4"/>
        <item x="560"/>
        <item x="416"/>
        <item x="734"/>
        <item x="973"/>
        <item x="944"/>
        <item x="611"/>
        <item x="619"/>
        <item x="365"/>
        <item x="952"/>
        <item x="694"/>
        <item x="133"/>
        <item x="961"/>
        <item x="225"/>
        <item x="652"/>
        <item x="1055"/>
        <item x="572"/>
        <item x="313"/>
        <item x="277"/>
        <item x="208"/>
        <item x="631"/>
        <item x="366"/>
        <item x="1125"/>
        <item x="739"/>
        <item x="411"/>
        <item x="605"/>
        <item x="742"/>
        <item x="74"/>
        <item x="562"/>
        <item x="799"/>
        <item x="852"/>
        <item x="384"/>
        <item x="1119"/>
        <item x="695"/>
        <item x="669"/>
        <item x="1095"/>
        <item x="680"/>
        <item x="286"/>
        <item x="113"/>
        <item x="778"/>
        <item x="760"/>
        <item x="571"/>
        <item x="591"/>
        <item x="342"/>
        <item x="882"/>
        <item x="593"/>
        <item x="810"/>
        <item x="1064"/>
        <item x="282"/>
        <item x="312"/>
        <item x="58"/>
        <item x="339"/>
        <item x="972"/>
        <item x="370"/>
        <item x="35"/>
        <item x="33"/>
        <item x="781"/>
        <item x="319"/>
        <item x="1079"/>
        <item x="841"/>
        <item x="17"/>
        <item x="767"/>
        <item x="442"/>
        <item x="344"/>
        <item x="310"/>
        <item x="223"/>
        <item x="471"/>
        <item x="181"/>
        <item x="873"/>
        <item x="954"/>
        <item x="641"/>
        <item x="854"/>
        <item x="606"/>
        <item x="27"/>
        <item x="448"/>
        <item x="1114"/>
        <item x="71"/>
        <item x="468"/>
        <item x="1153"/>
        <item x="29"/>
        <item x="763"/>
        <item x="942"/>
        <item x="271"/>
        <item x="426"/>
        <item x="170"/>
        <item x="601"/>
        <item x="1185"/>
        <item x="847"/>
        <item x="667"/>
        <item x="824"/>
        <item x="457"/>
        <item x="317"/>
        <item x="985"/>
        <item x="905"/>
        <item x="642"/>
        <item x="713"/>
        <item x="881"/>
        <item x="872"/>
        <item x="546"/>
        <item x="433"/>
        <item x="220"/>
        <item x="654"/>
        <item x="48"/>
        <item x="596"/>
        <item x="122"/>
        <item x="634"/>
        <item x="1141"/>
        <item x="838"/>
        <item x="510"/>
        <item x="556"/>
        <item x="246"/>
        <item x="3"/>
        <item x="993"/>
        <item x="977"/>
        <item x="1083"/>
        <item x="26"/>
        <item x="216"/>
        <item x="979"/>
        <item x="1101"/>
        <item x="894"/>
        <item x="118"/>
        <item x="599"/>
        <item x="307"/>
        <item x="532"/>
        <item x="996"/>
        <item x="333"/>
        <item x="204"/>
        <item x="602"/>
        <item x="919"/>
        <item x="254"/>
        <item x="1157"/>
        <item x="1179"/>
        <item x="497"/>
        <item x="1143"/>
        <item x="1147"/>
        <item x="1193"/>
        <item x="1082"/>
        <item x="859"/>
        <item x="909"/>
        <item x="997"/>
        <item x="106"/>
        <item x="917"/>
        <item x="670"/>
        <item x="933"/>
        <item x="95"/>
        <item x="242"/>
        <item x="994"/>
        <item x="77"/>
        <item x="829"/>
        <item x="812"/>
        <item x="888"/>
        <item x="343"/>
        <item x="314"/>
        <item x="561"/>
        <item x="541"/>
        <item x="431"/>
        <item x="679"/>
        <item x="542"/>
        <item x="326"/>
        <item x="159"/>
        <item x="802"/>
        <item x="480"/>
        <item x="1071"/>
        <item x="205"/>
        <item x="1042"/>
        <item x="1074"/>
        <item x="360"/>
        <item x="675"/>
        <item x="837"/>
        <item x="1171"/>
        <item x="428"/>
        <item x="1029"/>
        <item x="432"/>
        <item x="276"/>
        <item x="706"/>
        <item x="1124"/>
        <item x="305"/>
        <item x="247"/>
        <item x="292"/>
        <item x="1128"/>
        <item x="1150"/>
        <item x="797"/>
        <item x="1127"/>
        <item x="948"/>
        <item x="1013"/>
        <item x="421"/>
        <item x="184"/>
        <item x="857"/>
        <item x="266"/>
        <item x="334"/>
        <item x="1063"/>
        <item x="203"/>
        <item x="438"/>
        <item x="209"/>
        <item x="65"/>
        <item x="278"/>
        <item x="514"/>
        <item x="569"/>
        <item x="323"/>
        <item x="101"/>
        <item x="1031"/>
        <item x="1160"/>
        <item x="528"/>
        <item x="947"/>
        <item x="377"/>
        <item x="130"/>
        <item x="592"/>
        <item x="898"/>
        <item x="1098"/>
        <item x="1189"/>
        <item x="526"/>
        <item x="152"/>
        <item x="1007"/>
        <item x="536"/>
        <item x="505"/>
        <item x="893"/>
        <item x="183"/>
        <item x="43"/>
        <item x="472"/>
        <item x="80"/>
        <item x="999"/>
        <item x="570"/>
        <item x="525"/>
        <item x="755"/>
        <item x="484"/>
        <item x="787"/>
        <item x="8"/>
        <item x="513"/>
        <item x="90"/>
        <item x="509"/>
        <item x="511"/>
        <item x="931"/>
        <item x="164"/>
        <item x="568"/>
        <item x="499"/>
        <item x="60"/>
        <item x="949"/>
        <item x="1152"/>
        <item x="1040"/>
        <item x="91"/>
        <item x="351"/>
        <item x="378"/>
        <item x="765"/>
        <item x="85"/>
        <item x="1105"/>
        <item x="609"/>
        <item x="860"/>
        <item x="202"/>
        <item x="880"/>
        <item x="718"/>
        <item x="705"/>
        <item x="530"/>
        <item x="166"/>
        <item x="18"/>
        <item x="1009"/>
        <item x="393"/>
        <item x="1072"/>
        <item x="744"/>
        <item x="521"/>
        <item x="404"/>
        <item x="688"/>
        <item x="112"/>
        <item x="720"/>
        <item x="867"/>
        <item x="1129"/>
        <item x="1118"/>
        <item x="290"/>
        <item x="211"/>
        <item x="1039"/>
        <item x="678"/>
        <item x="823"/>
        <item x="191"/>
        <item x="956"/>
        <item x="1195"/>
        <item x="518"/>
        <item x="1002"/>
        <item x="775"/>
        <item x="769"/>
        <item x="348"/>
        <item x="662"/>
        <item x="402"/>
        <item x="251"/>
        <item x="502"/>
        <item x="297"/>
        <item x="1086"/>
        <item x="436"/>
        <item x="934"/>
        <item x="200"/>
        <item x="1093"/>
        <item x="633"/>
        <item x="10"/>
        <item x="273"/>
        <item x="1017"/>
        <item x="936"/>
        <item x="685"/>
        <item x="1116"/>
        <item x="805"/>
        <item x="252"/>
        <item x="349"/>
        <item x="1005"/>
        <item x="835"/>
        <item x="687"/>
        <item x="597"/>
        <item x="1117"/>
        <item x="564"/>
        <item x="757"/>
        <item x="20"/>
        <item x="970"/>
        <item x="19"/>
        <item x="459"/>
        <item x="1091"/>
        <item x="405"/>
        <item x="46"/>
        <item x="263"/>
        <item x="783"/>
        <item x="201"/>
        <item x="373"/>
        <item x="250"/>
        <item x="1052"/>
        <item x="124"/>
        <item x="701"/>
        <item x="496"/>
        <item x="240"/>
        <item x="928"/>
        <item x="912"/>
        <item x="523"/>
        <item x="1096"/>
        <item x="182"/>
        <item x="717"/>
        <item x="549"/>
        <item x="524"/>
        <item x="137"/>
        <item x="125"/>
        <item x="363"/>
        <item x="447"/>
        <item x="462"/>
        <item x="655"/>
        <item x="165"/>
        <item x="926"/>
        <item x="1122"/>
        <item x="1065"/>
        <item x="690"/>
        <item x="155"/>
        <item x="794"/>
        <item x="1151"/>
        <item x="255"/>
        <item x="328"/>
        <item x="1019"/>
        <item x="828"/>
        <item x="573"/>
        <item x="856"/>
        <item x="359"/>
        <item x="719"/>
        <item x="512"/>
        <item x="398"/>
        <item x="483"/>
        <item x="803"/>
        <item x="11"/>
        <item x="1165"/>
        <item x="1044"/>
        <item x="1100"/>
        <item x="230"/>
        <item x="937"/>
        <item x="387"/>
        <item x="56"/>
        <item x="1097"/>
        <item x="632"/>
        <item x="830"/>
        <item x="871"/>
        <item x="262"/>
        <item x="487"/>
        <item x="924"/>
        <item x="968"/>
        <item x="554"/>
        <item x="485"/>
        <item x="478"/>
        <item x="627"/>
        <item x="538"/>
        <item x="677"/>
        <item x="417"/>
        <item x="399"/>
        <item x="51"/>
        <item x="1078"/>
        <item x="13"/>
        <item x="1126"/>
        <item x="1159"/>
        <item x="281"/>
        <item x="664"/>
        <item x="636"/>
        <item x="287"/>
        <item x="651"/>
        <item x="986"/>
        <item x="815"/>
        <item x="927"/>
        <item x="594"/>
        <item x="63"/>
        <item x="1058"/>
        <item x="648"/>
        <item x="329"/>
        <item x="492"/>
        <item x="267"/>
        <item x="811"/>
        <item x="390"/>
        <item x="157"/>
        <item x="295"/>
        <item x="341"/>
        <item x="1194"/>
        <item x="175"/>
        <item x="500"/>
        <item x="1133"/>
        <item x="272"/>
        <item t="default"/>
      </items>
    </pivotField>
    <pivotField showAll="0">
      <items count="1199">
        <item x="78"/>
        <item x="100"/>
        <item x="1115"/>
        <item x="609"/>
        <item x="219"/>
        <item x="729"/>
        <item x="1150"/>
        <item x="614"/>
        <item x="55"/>
        <item x="671"/>
        <item x="574"/>
        <item x="109"/>
        <item x="174"/>
        <item x="135"/>
        <item x="824"/>
        <item x="841"/>
        <item x="374"/>
        <item x="1168"/>
        <item x="507"/>
        <item x="562"/>
        <item x="314"/>
        <item x="394"/>
        <item x="214"/>
        <item x="442"/>
        <item x="576"/>
        <item x="982"/>
        <item x="354"/>
        <item x="954"/>
        <item x="30"/>
        <item x="145"/>
        <item x="475"/>
        <item x="103"/>
        <item x="849"/>
        <item x="515"/>
        <item x="172"/>
        <item x="887"/>
        <item x="399"/>
        <item x="237"/>
        <item x="412"/>
        <item x="283"/>
        <item x="889"/>
        <item x="999"/>
        <item x="1174"/>
        <item x="217"/>
        <item x="144"/>
        <item x="1046"/>
        <item x="552"/>
        <item x="943"/>
        <item x="914"/>
        <item x="115"/>
        <item x="624"/>
        <item x="86"/>
        <item x="40"/>
        <item x="92"/>
        <item x="349"/>
        <item x="1180"/>
        <item x="69"/>
        <item x="424"/>
        <item x="526"/>
        <item x="391"/>
        <item x="98"/>
        <item x="907"/>
        <item x="709"/>
        <item x="1139"/>
        <item x="1020"/>
        <item x="324"/>
        <item x="28"/>
        <item x="438"/>
        <item x="755"/>
        <item x="673"/>
        <item x="387"/>
        <item x="149"/>
        <item x="330"/>
        <item x="346"/>
        <item x="139"/>
        <item x="1138"/>
        <item x="222"/>
        <item x="197"/>
        <item x="792"/>
        <item x="1068"/>
        <item x="603"/>
        <item x="645"/>
        <item x="345"/>
        <item x="1178"/>
        <item x="329"/>
        <item x="363"/>
        <item x="179"/>
        <item x="381"/>
        <item x="742"/>
        <item x="1184"/>
        <item x="670"/>
        <item x="1026"/>
        <item x="105"/>
        <item x="326"/>
        <item x="59"/>
        <item x="1007"/>
        <item x="727"/>
        <item x="453"/>
        <item x="382"/>
        <item x="142"/>
        <item x="493"/>
        <item x="660"/>
        <item x="528"/>
        <item x="303"/>
        <item x="775"/>
        <item x="123"/>
        <item x="839"/>
        <item x="720"/>
        <item x="920"/>
        <item x="97"/>
        <item x="956"/>
        <item x="1081"/>
        <item x="622"/>
        <item x="158"/>
        <item x="586"/>
        <item x="75"/>
        <item x="711"/>
        <item x="408"/>
        <item x="1164"/>
        <item x="99"/>
        <item x="832"/>
        <item x="629"/>
        <item x="429"/>
        <item x="544"/>
        <item x="120"/>
        <item x="1015"/>
        <item x="728"/>
        <item x="602"/>
        <item x="190"/>
        <item x="50"/>
        <item x="1106"/>
        <item x="443"/>
        <item x="1038"/>
        <item x="1125"/>
        <item x="344"/>
        <item x="62"/>
        <item x="1016"/>
        <item x="146"/>
        <item x="539"/>
        <item x="1049"/>
        <item x="680"/>
        <item x="37"/>
        <item x="1030"/>
        <item x="1177"/>
        <item x="451"/>
        <item x="395"/>
        <item x="1070"/>
        <item x="265"/>
        <item x="853"/>
        <item x="195"/>
        <item x="177"/>
        <item x="813"/>
        <item x="803"/>
        <item x="288"/>
        <item x="696"/>
        <item x="258"/>
        <item x="761"/>
        <item x="830"/>
        <item x="723"/>
        <item x="245"/>
        <item x="1122"/>
        <item x="1075"/>
        <item x="581"/>
        <item x="564"/>
        <item x="151"/>
        <item x="378"/>
        <item x="616"/>
        <item x="961"/>
        <item x="952"/>
        <item x="57"/>
        <item x="625"/>
        <item x="788"/>
        <item x="49"/>
        <item x="820"/>
        <item x="514"/>
        <item x="1172"/>
        <item x="405"/>
        <item x="492"/>
        <item x="351"/>
        <item x="462"/>
        <item x="692"/>
        <item x="855"/>
        <item x="466"/>
        <item x="1045"/>
        <item x="307"/>
        <item x="862"/>
        <item x="779"/>
        <item x="319"/>
        <item x="171"/>
        <item x="487"/>
        <item x="93"/>
        <item x="1179"/>
        <item x="260"/>
        <item x="732"/>
        <item x="1069"/>
        <item x="908"/>
        <item x="1084"/>
        <item x="284"/>
        <item x="1176"/>
        <item x="1160"/>
        <item x="901"/>
        <item x="160"/>
        <item x="916"/>
        <item x="1050"/>
        <item x="148"/>
        <item x="463"/>
        <item x="206"/>
        <item x="464"/>
        <item x="1034"/>
        <item x="274"/>
        <item x="444"/>
        <item x="1189"/>
        <item x="963"/>
        <item x="662"/>
        <item x="421"/>
        <item x="108"/>
        <item x="38"/>
        <item x="682"/>
        <item x="858"/>
        <item x="1170"/>
        <item x="900"/>
        <item x="439"/>
        <item x="1112"/>
        <item x="337"/>
        <item x="45"/>
        <item x="783"/>
        <item x="938"/>
        <item x="9"/>
        <item x="261"/>
        <item x="134"/>
        <item x="193"/>
        <item x="1053"/>
        <item x="297"/>
        <item x="380"/>
        <item x="918"/>
        <item x="577"/>
        <item x="703"/>
        <item x="1171"/>
        <item x="767"/>
        <item x="289"/>
        <item x="452"/>
        <item x="566"/>
        <item x="607"/>
        <item x="946"/>
        <item x="506"/>
        <item x="102"/>
        <item x="32"/>
        <item x="534"/>
        <item x="218"/>
        <item x="902"/>
        <item x="911"/>
        <item x="173"/>
        <item x="1033"/>
        <item x="1132"/>
        <item x="136"/>
        <item x="826"/>
        <item x="500"/>
        <item x="913"/>
        <item x="1117"/>
        <item x="1148"/>
        <item x="784"/>
        <item x="1158"/>
        <item x="253"/>
        <item x="584"/>
        <item x="644"/>
        <item x="637"/>
        <item x="958"/>
        <item x="706"/>
        <item x="1043"/>
        <item x="371"/>
        <item x="323"/>
        <item x="613"/>
        <item x="870"/>
        <item x="724"/>
        <item x="379"/>
        <item x="1066"/>
        <item x="816"/>
        <item x="94"/>
        <item x="54"/>
        <item x="360"/>
        <item x="129"/>
        <item x="241"/>
        <item x="474"/>
        <item x="874"/>
        <item x="212"/>
        <item x="39"/>
        <item x="993"/>
        <item x="749"/>
        <item x="308"/>
        <item x="1025"/>
        <item x="731"/>
        <item x="833"/>
        <item x="791"/>
        <item x="121"/>
        <item x="221"/>
        <item x="877"/>
        <item x="469"/>
        <item x="519"/>
        <item x="885"/>
        <item x="455"/>
        <item x="745"/>
        <item x="739"/>
        <item x="615"/>
        <item x="1147"/>
        <item x="606"/>
        <item x="428"/>
        <item x="621"/>
        <item x="334"/>
        <item x="25"/>
        <item x="489"/>
        <item x="1141"/>
        <item x="765"/>
        <item x="960"/>
        <item x="875"/>
        <item x="776"/>
        <item x="1023"/>
        <item x="459"/>
        <item x="1057"/>
        <item x="726"/>
        <item x="892"/>
        <item x="293"/>
        <item x="1105"/>
        <item x="12"/>
        <item x="649"/>
        <item x="746"/>
        <item x="270"/>
        <item x="1028"/>
        <item x="24"/>
        <item x="285"/>
        <item x="111"/>
        <item x="722"/>
        <item x="213"/>
        <item x="710"/>
        <item x="1004"/>
        <item x="1001"/>
        <item x="643"/>
        <item x="1183"/>
        <item x="186"/>
        <item x="335"/>
        <item x="1134"/>
        <item x="848"/>
        <item x="1054"/>
        <item x="1114"/>
        <item x="1"/>
        <item x="472"/>
        <item x="21"/>
        <item x="396"/>
        <item x="664"/>
        <item x="747"/>
        <item x="433"/>
        <item x="83"/>
        <item x="1137"/>
        <item x="232"/>
        <item x="1011"/>
        <item x="239"/>
        <item x="915"/>
        <item x="87"/>
        <item x="795"/>
        <item x="1024"/>
        <item x="1062"/>
        <item x="941"/>
        <item x="127"/>
        <item x="207"/>
        <item x="1165"/>
        <item x="367"/>
        <item x="269"/>
        <item x="298"/>
        <item x="15"/>
        <item x="619"/>
        <item x="1157"/>
        <item x="599"/>
        <item x="236"/>
        <item x="1085"/>
        <item x="565"/>
        <item x="939"/>
        <item x="554"/>
        <item x="702"/>
        <item x="1133"/>
        <item x="547"/>
        <item x="141"/>
        <item x="707"/>
        <item x="760"/>
        <item x="817"/>
        <item x="972"/>
        <item x="899"/>
        <item x="932"/>
        <item x="842"/>
        <item x="198"/>
        <item x="583"/>
        <item x="891"/>
        <item x="922"/>
        <item x="1012"/>
        <item x="1009"/>
        <item x="964"/>
        <item x="861"/>
        <item x="612"/>
        <item x="864"/>
        <item x="863"/>
        <item x="31"/>
        <item x="436"/>
        <item x="778"/>
        <item x="229"/>
        <item x="315"/>
        <item x="497"/>
        <item x="14"/>
        <item x="473"/>
        <item x="597"/>
        <item x="865"/>
        <item x="1089"/>
        <item x="352"/>
        <item x="228"/>
        <item x="808"/>
        <item x="61"/>
        <item x="580"/>
        <item x="385"/>
        <item x="831"/>
        <item x="167"/>
        <item x="104"/>
        <item x="47"/>
        <item x="695"/>
        <item x="967"/>
        <item x="76"/>
        <item x="1080"/>
        <item x="96"/>
        <item x="843"/>
        <item x="478"/>
        <item x="966"/>
        <item x="147"/>
        <item x="317"/>
        <item x="423"/>
        <item x="1005"/>
        <item x="1142"/>
        <item x="66"/>
        <item x="1092"/>
        <item x="611"/>
        <item x="494"/>
        <item x="850"/>
        <item x="150"/>
        <item x="1136"/>
        <item x="110"/>
        <item x="921"/>
        <item x="235"/>
        <item x="36"/>
        <item x="685"/>
        <item x="1047"/>
        <item x="744"/>
        <item x="275"/>
        <item x="725"/>
        <item x="763"/>
        <item x="138"/>
        <item x="736"/>
        <item x="1104"/>
        <item x="1108"/>
        <item x="906"/>
        <item x="388"/>
        <item x="336"/>
        <item x="320"/>
        <item x="16"/>
        <item x="884"/>
        <item x="355"/>
        <item x="280"/>
        <item x="465"/>
        <item x="34"/>
        <item x="53"/>
        <item x="787"/>
        <item x="1169"/>
        <item x="701"/>
        <item x="375"/>
        <item x="578"/>
        <item x="648"/>
        <item x="550"/>
        <item x="546"/>
        <item x="373"/>
        <item x="233"/>
        <item x="1156"/>
        <item x="753"/>
        <item x="521"/>
        <item x="940"/>
        <item x="1056"/>
        <item x="879"/>
        <item x="162"/>
        <item x="366"/>
        <item x="770"/>
        <item x="1111"/>
        <item x="925"/>
        <item x="968"/>
        <item x="457"/>
        <item x="797"/>
        <item x="667"/>
        <item x="620"/>
        <item x="268"/>
        <item x="735"/>
        <item x="41"/>
        <item x="1186"/>
        <item x="904"/>
        <item x="402"/>
        <item x="594"/>
        <item x="585"/>
        <item x="1060"/>
        <item x="1035"/>
        <item x="634"/>
        <item x="81"/>
        <item x="628"/>
        <item x="243"/>
        <item x="1090"/>
        <item x="116"/>
        <item x="800"/>
        <item x="897"/>
        <item x="384"/>
        <item x="426"/>
        <item x="294"/>
        <item x="866"/>
        <item x="1022"/>
        <item x="636"/>
        <item x="196"/>
        <item x="1192"/>
        <item x="1018"/>
        <item x="543"/>
        <item x="734"/>
        <item x="818"/>
        <item x="44"/>
        <item x="989"/>
        <item x="1073"/>
        <item x="740"/>
        <item x="976"/>
        <item x="1032"/>
        <item x="168"/>
        <item x="1123"/>
        <item x="819"/>
        <item x="210"/>
        <item x="929"/>
        <item x="698"/>
        <item x="530"/>
        <item x="279"/>
        <item x="413"/>
        <item x="390"/>
        <item x="1100"/>
        <item x="1088"/>
        <item x="119"/>
        <item x="659"/>
        <item x="638"/>
        <item x="985"/>
        <item x="838"/>
        <item x="983"/>
        <item x="587"/>
        <item x="488"/>
        <item x="1027"/>
        <item x="910"/>
        <item x="194"/>
        <item x="42"/>
        <item x="1094"/>
        <item x="646"/>
        <item x="368"/>
        <item x="68"/>
        <item x="807"/>
        <item x="708"/>
        <item x="642"/>
        <item x="844"/>
        <item x="490"/>
        <item x="657"/>
        <item x="890"/>
        <item x="257"/>
        <item x="89"/>
        <item x="542"/>
        <item x="485"/>
        <item x="959"/>
        <item x="5"/>
        <item x="556"/>
        <item x="1185"/>
        <item x="799"/>
        <item x="448"/>
        <item x="406"/>
        <item x="357"/>
        <item x="1014"/>
        <item x="1061"/>
        <item x="131"/>
        <item x="1077"/>
        <item x="502"/>
        <item x="440"/>
        <item x="248"/>
        <item x="226"/>
        <item x="651"/>
        <item x="532"/>
        <item x="445"/>
        <item x="480"/>
        <item x="610"/>
        <item x="1190"/>
        <item x="805"/>
        <item x="74"/>
        <item x="0"/>
        <item x="773"/>
        <item x="4"/>
        <item x="658"/>
        <item x="192"/>
        <item x="672"/>
        <item x="697"/>
        <item x="88"/>
        <item x="249"/>
        <item x="588"/>
        <item x="688"/>
        <item x="1144"/>
        <item x="942"/>
        <item x="806"/>
        <item x="82"/>
        <item x="1146"/>
        <item x="71"/>
        <item x="411"/>
        <item x="845"/>
        <item x="505"/>
        <item x="460"/>
        <item x="277"/>
        <item x="1059"/>
        <item x="64"/>
        <item x="67"/>
        <item x="561"/>
        <item x="750"/>
        <item x="1166"/>
        <item x="72"/>
        <item x="1194"/>
        <item x="1116"/>
        <item x="434"/>
        <item x="321"/>
        <item x="714"/>
        <item x="301"/>
        <item x="691"/>
        <item x="299"/>
        <item x="1121"/>
        <item x="409"/>
        <item x="781"/>
        <item x="965"/>
        <item x="1079"/>
        <item x="752"/>
        <item x="886"/>
        <item x="154"/>
        <item x="895"/>
        <item x="244"/>
        <item x="590"/>
        <item x="665"/>
        <item x="70"/>
        <item x="117"/>
        <item x="538"/>
        <item x="79"/>
        <item x="107"/>
        <item x="589"/>
        <item x="17"/>
        <item x="840"/>
        <item x="410"/>
        <item x="981"/>
        <item x="1048"/>
        <item x="977"/>
        <item x="476"/>
        <item x="331"/>
        <item x="979"/>
        <item x="316"/>
        <item x="454"/>
        <item x="815"/>
        <item x="769"/>
        <item x="259"/>
        <item x="140"/>
        <item x="305"/>
        <item x="630"/>
        <item x="573"/>
        <item x="518"/>
        <item x="812"/>
        <item x="23"/>
        <item x="1002"/>
        <item x="748"/>
        <item x="617"/>
        <item x="909"/>
        <item x="633"/>
        <item x="852"/>
        <item x="533"/>
        <item x="215"/>
        <item x="407"/>
        <item x="801"/>
        <item x="468"/>
        <item x="254"/>
        <item x="595"/>
        <item x="699"/>
        <item x="869"/>
        <item x="449"/>
        <item x="48"/>
        <item x="29"/>
        <item x="189"/>
        <item x="152"/>
        <item x="188"/>
        <item x="170"/>
        <item x="156"/>
        <item x="1095"/>
        <item x="737"/>
        <item x="851"/>
        <item x="730"/>
        <item x="582"/>
        <item x="185"/>
        <item x="22"/>
        <item x="1087"/>
        <item x="777"/>
        <item x="496"/>
        <item x="947"/>
        <item x="639"/>
        <item x="1036"/>
        <item x="199"/>
        <item x="558"/>
        <item x="560"/>
        <item x="513"/>
        <item x="365"/>
        <item x="447"/>
        <item x="246"/>
        <item x="693"/>
        <item x="516"/>
        <item x="1083"/>
        <item x="479"/>
        <item x="132"/>
        <item x="605"/>
        <item x="311"/>
        <item x="361"/>
        <item x="133"/>
        <item x="1037"/>
        <item x="754"/>
        <item x="2"/>
        <item x="1021"/>
        <item x="291"/>
        <item x="52"/>
        <item x="353"/>
        <item x="545"/>
        <item x="432"/>
        <item x="828"/>
        <item x="896"/>
        <item x="992"/>
        <item x="575"/>
        <item x="310"/>
        <item x="26"/>
        <item x="1082"/>
        <item x="627"/>
        <item x="264"/>
        <item x="470"/>
        <item x="1149"/>
        <item x="878"/>
        <item x="393"/>
        <item x="978"/>
        <item x="974"/>
        <item x="143"/>
        <item x="90"/>
        <item x="945"/>
        <item x="690"/>
        <item x="312"/>
        <item x="991"/>
        <item x="796"/>
        <item x="655"/>
        <item x="675"/>
        <item x="1193"/>
        <item x="302"/>
        <item x="338"/>
        <item x="935"/>
        <item x="990"/>
        <item x="970"/>
        <item x="930"/>
        <item x="33"/>
        <item x="114"/>
        <item x="84"/>
        <item x="161"/>
        <item x="883"/>
        <item x="414"/>
        <item x="509"/>
        <item x="1076"/>
        <item x="1181"/>
        <item x="846"/>
        <item x="1175"/>
        <item x="339"/>
        <item x="58"/>
        <item x="834"/>
        <item x="450"/>
        <item x="1151"/>
        <item x="290"/>
        <item x="7"/>
        <item x="771"/>
        <item x="557"/>
        <item x="934"/>
        <item x="984"/>
        <item x="296"/>
        <item x="417"/>
        <item x="511"/>
        <item x="203"/>
        <item x="1042"/>
        <item x="1110"/>
        <item x="266"/>
        <item x="256"/>
        <item x="73"/>
        <item x="579"/>
        <item x="419"/>
        <item x="1067"/>
        <item x="1051"/>
        <item x="300"/>
        <item x="718"/>
        <item x="666"/>
        <item x="224"/>
        <item x="872"/>
        <item x="1163"/>
        <item x="571"/>
        <item x="876"/>
        <item x="169"/>
        <item x="683"/>
        <item x="1188"/>
        <item x="1098"/>
        <item x="551"/>
        <item x="668"/>
        <item x="370"/>
        <item x="1055"/>
        <item x="950"/>
        <item x="77"/>
        <item x="996"/>
        <item x="383"/>
        <item x="995"/>
        <item x="880"/>
        <item x="905"/>
        <item x="531"/>
        <item x="178"/>
        <item x="559"/>
        <item x="306"/>
        <item x="176"/>
        <item x="772"/>
        <item x="847"/>
        <item x="225"/>
        <item x="955"/>
        <item x="369"/>
        <item x="231"/>
        <item x="1153"/>
        <item x="1041"/>
        <item x="282"/>
        <item x="604"/>
        <item x="785"/>
        <item x="653"/>
        <item x="600"/>
        <item x="262"/>
        <item x="80"/>
        <item x="669"/>
        <item x="794"/>
        <item x="835"/>
        <item x="427"/>
        <item x="1182"/>
        <item x="888"/>
        <item x="1128"/>
        <item x="721"/>
        <item x="204"/>
        <item x="759"/>
        <item x="180"/>
        <item x="1019"/>
        <item x="1155"/>
        <item x="821"/>
        <item x="825"/>
        <item x="1130"/>
        <item x="273"/>
        <item x="322"/>
        <item x="364"/>
        <item x="1140"/>
        <item x="6"/>
        <item x="789"/>
        <item x="738"/>
        <item x="238"/>
        <item x="868"/>
        <item x="128"/>
        <item x="187"/>
        <item x="623"/>
        <item x="181"/>
        <item x="823"/>
        <item x="208"/>
        <item x="953"/>
        <item x="517"/>
        <item x="857"/>
        <item x="510"/>
        <item x="227"/>
        <item x="1103"/>
        <item x="1159"/>
        <item x="679"/>
        <item x="126"/>
        <item x="988"/>
        <item x="304"/>
        <item x="689"/>
        <item x="705"/>
        <item x="549"/>
        <item x="536"/>
        <item x="1143"/>
        <item x="811"/>
        <item x="347"/>
        <item x="1040"/>
        <item x="398"/>
        <item x="182"/>
        <item x="641"/>
        <item x="951"/>
        <item x="1113"/>
        <item x="882"/>
        <item x="780"/>
        <item x="163"/>
        <item x="512"/>
        <item x="286"/>
        <item x="923"/>
        <item x="881"/>
        <item x="944"/>
        <item x="343"/>
        <item x="1058"/>
        <item x="153"/>
        <item x="425"/>
        <item x="766"/>
        <item x="422"/>
        <item x="608"/>
        <item x="498"/>
        <item x="278"/>
        <item x="681"/>
        <item x="1195"/>
        <item x="975"/>
        <item x="631"/>
        <item x="1154"/>
        <item x="1013"/>
        <item x="1109"/>
        <item x="741"/>
        <item x="486"/>
        <item x="431"/>
        <item x="313"/>
        <item x="762"/>
        <item x="35"/>
        <item x="234"/>
        <item x="790"/>
        <item x="591"/>
        <item x="404"/>
        <item x="503"/>
        <item x="446"/>
        <item x="678"/>
        <item x="456"/>
        <item x="481"/>
        <item x="1187"/>
        <item x="1127"/>
        <item x="401"/>
        <item x="341"/>
        <item x="980"/>
        <item x="230"/>
        <item x="418"/>
        <item x="893"/>
        <item x="201"/>
        <item x="652"/>
        <item x="359"/>
        <item x="350"/>
        <item x="713"/>
        <item x="986"/>
        <item x="520"/>
        <item x="798"/>
        <item x="572"/>
        <item x="95"/>
        <item x="46"/>
        <item x="20"/>
        <item x="541"/>
        <item x="694"/>
        <item x="415"/>
        <item x="632"/>
        <item x="764"/>
        <item x="804"/>
        <item x="333"/>
        <item x="687"/>
        <item x="656"/>
        <item x="400"/>
        <item x="733"/>
        <item x="969"/>
        <item x="11"/>
        <item x="416"/>
        <item x="757"/>
        <item x="482"/>
        <item x="898"/>
        <item x="758"/>
        <item x="430"/>
        <item x="65"/>
        <item x="661"/>
        <item x="1065"/>
        <item x="1126"/>
        <item x="786"/>
        <item x="175"/>
        <item x="8"/>
        <item x="1091"/>
        <item x="91"/>
        <item x="903"/>
        <item x="873"/>
        <item x="356"/>
        <item x="712"/>
        <item x="467"/>
        <item x="318"/>
        <item x="1003"/>
        <item x="112"/>
        <item x="1119"/>
        <item x="220"/>
        <item x="255"/>
        <item x="973"/>
        <item x="471"/>
        <item x="1010"/>
        <item x="377"/>
        <item x="1129"/>
        <item x="837"/>
        <item x="535"/>
        <item x="715"/>
        <item x="937"/>
        <item x="962"/>
        <item x="325"/>
        <item x="60"/>
        <item x="276"/>
        <item x="340"/>
        <item x="1029"/>
        <item x="1074"/>
        <item x="933"/>
        <item x="809"/>
        <item x="1064"/>
        <item x="700"/>
        <item x="166"/>
        <item x="165"/>
        <item x="871"/>
        <item x="43"/>
        <item x="751"/>
        <item x="242"/>
        <item x="555"/>
        <item x="793"/>
        <item x="106"/>
        <item x="1052"/>
        <item x="592"/>
        <item x="118"/>
        <item x="601"/>
        <item x="949"/>
        <item x="677"/>
        <item x="113"/>
        <item x="1031"/>
        <item x="802"/>
        <item x="743"/>
        <item x="309"/>
        <item x="676"/>
        <item x="51"/>
        <item x="997"/>
        <item x="332"/>
        <item x="441"/>
        <item x="570"/>
        <item x="854"/>
        <item x="618"/>
        <item x="122"/>
        <item x="598"/>
        <item x="1008"/>
        <item x="247"/>
        <item x="461"/>
        <item x="704"/>
        <item x="183"/>
        <item x="403"/>
        <item x="216"/>
        <item x="205"/>
        <item x="1118"/>
        <item x="768"/>
        <item x="1145"/>
        <item x="495"/>
        <item x="27"/>
        <item x="1152"/>
        <item x="3"/>
        <item x="130"/>
        <item x="829"/>
        <item x="13"/>
        <item x="101"/>
        <item x="856"/>
        <item x="155"/>
        <item x="926"/>
        <item x="640"/>
        <item x="124"/>
        <item x="567"/>
        <item x="501"/>
        <item x="392"/>
        <item x="936"/>
        <item x="822"/>
        <item x="1096"/>
        <item x="292"/>
        <item x="209"/>
        <item x="137"/>
        <item x="537"/>
        <item x="240"/>
        <item x="420"/>
        <item x="477"/>
        <item x="971"/>
        <item x="931"/>
        <item x="223"/>
        <item x="271"/>
        <item x="717"/>
        <item x="1107"/>
        <item x="263"/>
        <item x="1120"/>
        <item x="200"/>
        <item x="1063"/>
        <item x="483"/>
        <item x="1072"/>
        <item x="635"/>
        <item x="894"/>
        <item x="860"/>
        <item x="504"/>
        <item x="1102"/>
        <item x="686"/>
        <item x="508"/>
        <item x="1006"/>
        <item x="18"/>
        <item x="437"/>
        <item x="362"/>
        <item x="859"/>
        <item x="1078"/>
        <item x="524"/>
        <item x="1093"/>
        <item x="499"/>
        <item x="994"/>
        <item x="372"/>
        <item x="650"/>
        <item x="211"/>
        <item x="569"/>
        <item x="522"/>
        <item x="1000"/>
        <item x="540"/>
        <item x="376"/>
        <item x="998"/>
        <item x="252"/>
        <item x="917"/>
        <item x="836"/>
        <item x="327"/>
        <item x="397"/>
        <item x="159"/>
        <item x="674"/>
        <item x="85"/>
        <item x="782"/>
        <item x="348"/>
        <item x="251"/>
        <item x="358"/>
        <item x="919"/>
        <item x="1124"/>
        <item x="756"/>
        <item x="1044"/>
        <item x="548"/>
        <item x="184"/>
        <item x="948"/>
        <item x="527"/>
        <item x="525"/>
        <item x="1086"/>
        <item x="912"/>
        <item x="1071"/>
        <item x="342"/>
        <item x="1162"/>
        <item x="774"/>
        <item x="529"/>
        <item x="1017"/>
        <item x="1173"/>
        <item x="684"/>
        <item x="1191"/>
        <item x="568"/>
        <item x="716"/>
        <item x="719"/>
        <item x="491"/>
        <item x="563"/>
        <item x="810"/>
        <item x="596"/>
        <item x="1099"/>
        <item x="867"/>
        <item x="164"/>
        <item x="1039"/>
        <item x="957"/>
        <item x="523"/>
        <item x="125"/>
        <item x="1167"/>
        <item x="202"/>
        <item x="593"/>
        <item x="250"/>
        <item x="928"/>
        <item x="1197"/>
        <item x="814"/>
        <item x="1131"/>
        <item x="924"/>
        <item x="328"/>
        <item x="10"/>
        <item x="1097"/>
        <item x="458"/>
        <item x="1101"/>
        <item x="267"/>
        <item x="435"/>
        <item x="281"/>
        <item x="191"/>
        <item x="654"/>
        <item x="386"/>
        <item x="987"/>
        <item x="1161"/>
        <item x="626"/>
        <item x="663"/>
        <item x="389"/>
        <item x="19"/>
        <item x="484"/>
        <item x="827"/>
        <item x="56"/>
        <item x="553"/>
        <item x="1135"/>
        <item x="287"/>
        <item x="927"/>
        <item x="647"/>
        <item x="63"/>
        <item x="1196"/>
        <item x="295"/>
        <item x="157"/>
        <item x="272"/>
        <item t="default"/>
      </items>
    </pivotField>
    <pivotField showAll="0"/>
    <pivotField showAll="0"/>
    <pivotField showAll="0">
      <items count="17">
        <item x="1"/>
        <item x="13"/>
        <item x="3"/>
        <item x="12"/>
        <item x="7"/>
        <item x="6"/>
        <item x="8"/>
        <item x="0"/>
        <item x="14"/>
        <item x="4"/>
        <item x="10"/>
        <item x="9"/>
        <item x="15"/>
        <item x="11"/>
        <item x="5"/>
        <item x="2"/>
        <item t="default"/>
      </items>
    </pivotField>
    <pivotField showAll="0"/>
    <pivotField numFmtId="10" showAll="0"/>
    <pivotField numFmtId="10" showAll="0">
      <items count="1201">
        <item x="19"/>
        <item x="191"/>
        <item x="379"/>
        <item x="1089"/>
        <item x="343"/>
        <item x="1194"/>
        <item x="1175"/>
        <item x="335"/>
        <item x="840"/>
        <item x="180"/>
        <item x="223"/>
        <item x="920"/>
        <item x="846"/>
        <item x="435"/>
        <item x="1053"/>
        <item x="595"/>
        <item x="187"/>
        <item x="354"/>
        <item x="1073"/>
        <item x="224"/>
        <item x="735"/>
        <item x="126"/>
        <item x="716"/>
        <item x="1101"/>
        <item x="618"/>
        <item x="1133"/>
        <item x="828"/>
        <item x="202"/>
        <item x="474"/>
        <item x="940"/>
        <item x="698"/>
        <item x="650"/>
        <item x="619"/>
        <item x="1143"/>
        <item x="714"/>
        <item x="436"/>
        <item x="931"/>
        <item x="346"/>
        <item x="362"/>
        <item x="423"/>
        <item x="722"/>
        <item x="980"/>
        <item x="752"/>
        <item x="554"/>
        <item x="409"/>
        <item x="569"/>
        <item x="553"/>
        <item x="164"/>
        <item x="271"/>
        <item x="56"/>
        <item x="415"/>
        <item x="63"/>
        <item x="22"/>
        <item x="712"/>
        <item x="1165"/>
        <item x="7"/>
        <item x="1193"/>
        <item x="72"/>
        <item x="639"/>
        <item x="792"/>
        <item x="287"/>
        <item x="759"/>
        <item x="272"/>
        <item x="1062"/>
        <item x="995"/>
        <item x="357"/>
        <item x="625"/>
        <item x="176"/>
        <item x="1136"/>
        <item x="1008"/>
        <item x="1164"/>
        <item x="294"/>
        <item x="199"/>
        <item x="157"/>
        <item x="1000"/>
        <item x="153"/>
        <item x="10"/>
        <item x="1173"/>
        <item x="1199"/>
        <item x="475"/>
        <item x="485"/>
        <item x="184"/>
        <item x="890"/>
        <item x="918"/>
        <item x="1180"/>
        <item x="922"/>
        <item x="923"/>
        <item x="131"/>
        <item x="999"/>
        <item x="295"/>
        <item x="1030"/>
        <item x="641"/>
        <item x="159"/>
        <item x="967"/>
        <item x="675"/>
        <item x="15"/>
        <item x="459"/>
        <item x="528"/>
        <item x="526"/>
        <item x="949"/>
        <item x="655"/>
        <item x="1168"/>
        <item x="234"/>
        <item x="1036"/>
        <item x="868"/>
        <item x="450"/>
        <item x="163"/>
        <item x="368"/>
        <item x="904"/>
        <item x="916"/>
        <item x="991"/>
        <item x="1184"/>
        <item x="1105"/>
        <item x="1191"/>
        <item x="808"/>
        <item x="571"/>
        <item x="256"/>
        <item x="1041"/>
        <item x="648"/>
        <item x="1104"/>
        <item x="627"/>
        <item x="958"/>
        <item x="353"/>
        <item x="161"/>
        <item x="541"/>
        <item x="837"/>
        <item x="676"/>
        <item x="622"/>
        <item x="817"/>
        <item x="628"/>
        <item x="64"/>
        <item x="895"/>
        <item x="860"/>
        <item x="179"/>
        <item x="21"/>
        <item x="401"/>
        <item x="113"/>
        <item x="600"/>
        <item x="963"/>
        <item x="387"/>
        <item x="1045"/>
        <item x="876"/>
        <item x="533"/>
        <item x="720"/>
        <item x="898"/>
        <item x="332"/>
        <item x="1017"/>
        <item x="613"/>
        <item x="6"/>
        <item x="135"/>
        <item x="1178"/>
        <item x="530"/>
        <item x="897"/>
        <item x="93"/>
        <item x="993"/>
        <item x="414"/>
        <item x="192"/>
        <item x="612"/>
        <item x="928"/>
        <item x="1163"/>
        <item x="1071"/>
        <item x="773"/>
        <item x="27"/>
        <item x="764"/>
        <item x="1190"/>
        <item x="593"/>
        <item x="832"/>
        <item x="574"/>
        <item x="149"/>
        <item x="371"/>
        <item x="1198"/>
        <item x="279"/>
        <item x="657"/>
        <item x="691"/>
        <item x="315"/>
        <item x="929"/>
        <item x="250"/>
        <item x="952"/>
        <item x="869"/>
        <item x="758"/>
        <item x="565"/>
        <item x="185"/>
        <item x="442"/>
        <item x="558"/>
        <item x="664"/>
        <item x="727"/>
        <item x="537"/>
        <item x="859"/>
        <item x="624"/>
        <item x="128"/>
        <item x="456"/>
        <item x="1103"/>
        <item x="1112"/>
        <item x="1013"/>
        <item x="1066"/>
        <item x="810"/>
        <item x="653"/>
        <item x="997"/>
        <item x="768"/>
        <item x="504"/>
        <item x="924"/>
        <item x="310"/>
        <item x="1099"/>
        <item x="629"/>
        <item x="732"/>
        <item x="597"/>
        <item x="961"/>
        <item x="377"/>
        <item x="1115"/>
        <item x="936"/>
        <item x="503"/>
        <item x="855"/>
        <item x="775"/>
        <item x="919"/>
        <item x="281"/>
        <item x="303"/>
        <item x="385"/>
        <item x="482"/>
        <item x="564"/>
        <item x="581"/>
        <item x="361"/>
        <item x="734"/>
        <item x="125"/>
        <item x="577"/>
        <item x="524"/>
        <item x="915"/>
        <item x="847"/>
        <item x="85"/>
        <item x="1029"/>
        <item x="243"/>
        <item x="1174"/>
        <item x="25"/>
        <item x="851"/>
        <item x="925"/>
        <item x="751"/>
        <item x="416"/>
        <item x="685"/>
        <item x="173"/>
        <item x="1192"/>
        <item x="309"/>
        <item x="891"/>
        <item x="1019"/>
        <item x="681"/>
        <item x="1048"/>
        <item x="1001"/>
        <item x="227"/>
        <item x="836"/>
        <item x="174"/>
        <item x="419"/>
        <item x="299"/>
        <item x="984"/>
        <item x="1088"/>
        <item x="643"/>
        <item x="746"/>
        <item x="570"/>
        <item x="976"/>
        <item x="438"/>
        <item x="1111"/>
        <item x="791"/>
        <item x="844"/>
        <item x="856"/>
        <item x="508"/>
        <item x="1172"/>
        <item x="1070"/>
        <item x="692"/>
        <item x="1102"/>
        <item x="1169"/>
        <item x="834"/>
        <item x="709"/>
        <item x="575"/>
        <item x="989"/>
        <item x="1006"/>
        <item x="974"/>
        <item x="862"/>
        <item x="1149"/>
        <item x="525"/>
        <item x="696"/>
        <item x="24"/>
        <item x="489"/>
        <item x="1065"/>
        <item x="580"/>
        <item x="3"/>
        <item x="136"/>
        <item x="382"/>
        <item x="608"/>
        <item x="896"/>
        <item x="737"/>
        <item x="1181"/>
        <item x="1114"/>
        <item x="1100"/>
        <item x="977"/>
        <item x="319"/>
        <item x="392"/>
        <item x="731"/>
        <item x="684"/>
        <item x="717"/>
        <item x="1052"/>
        <item x="550"/>
        <item x="421"/>
        <item x="1195"/>
        <item x="505"/>
        <item x="988"/>
        <item x="440"/>
        <item x="1106"/>
        <item x="251"/>
        <item x="132"/>
        <item x="585"/>
        <item x="122"/>
        <item x="557"/>
        <item x="1078"/>
        <item x="973"/>
        <item x="424"/>
        <item x="704"/>
        <item x="216"/>
        <item x="509"/>
        <item x="695"/>
        <item x="799"/>
        <item x="292"/>
        <item x="484"/>
        <item x="913"/>
        <item x="340"/>
        <item x="818"/>
        <item x="257"/>
        <item x="826"/>
        <item x="34"/>
        <item x="144"/>
        <item x="258"/>
        <item x="715"/>
        <item x="880"/>
        <item x="403"/>
        <item x="957"/>
        <item x="453"/>
        <item x="408"/>
        <item x="552"/>
        <item x="757"/>
        <item x="790"/>
        <item x="1129"/>
        <item x="325"/>
        <item x="322"/>
        <item x="451"/>
        <item x="892"/>
        <item x="1148"/>
        <item x="1147"/>
        <item x="5"/>
        <item x="40"/>
        <item x="780"/>
        <item x="211"/>
        <item x="349"/>
        <item x="604"/>
        <item x="209"/>
        <item x="914"/>
        <item x="535"/>
        <item x="599"/>
        <item x="861"/>
        <item x="682"/>
        <item x="488"/>
        <item x="308"/>
        <item x="18"/>
        <item x="455"/>
        <item x="114"/>
        <item x="549"/>
        <item x="738"/>
        <item x="582"/>
        <item x="874"/>
        <item x="711"/>
        <item x="1171"/>
        <item x="468"/>
        <item x="671"/>
        <item x="733"/>
        <item x="1024"/>
        <item x="1188"/>
        <item x="158"/>
        <item x="870"/>
        <item x="140"/>
        <item x="1043"/>
        <item x="932"/>
        <item x="265"/>
        <item x="926"/>
        <item x="998"/>
        <item x="333"/>
        <item x="555"/>
        <item x="1074"/>
        <item x="556"/>
        <item x="983"/>
        <item x="244"/>
        <item x="786"/>
        <item x="1179"/>
        <item x="1109"/>
        <item x="1137"/>
        <item x="342"/>
        <item x="1142"/>
        <item x="821"/>
        <item x="783"/>
        <item x="252"/>
        <item x="270"/>
        <item x="118"/>
        <item x="774"/>
        <item x="819"/>
        <item x="743"/>
        <item x="854"/>
        <item x="420"/>
        <item x="772"/>
        <item x="1056"/>
        <item x="718"/>
        <item x="586"/>
        <item x="602"/>
        <item x="188"/>
        <item x="220"/>
        <item x="945"/>
        <item x="280"/>
        <item x="1126"/>
        <item x="134"/>
        <item x="742"/>
        <item x="205"/>
        <item x="1154"/>
        <item x="813"/>
        <item x="1046"/>
        <item x="105"/>
        <item x="238"/>
        <item x="493"/>
        <item x="583"/>
        <item x="1095"/>
        <item x="249"/>
        <item x="1122"/>
        <item x="2"/>
        <item x="838"/>
        <item x="189"/>
        <item x="418"/>
        <item x="89"/>
        <item x="815"/>
        <item x="713"/>
        <item x="406"/>
        <item x="933"/>
        <item x="355"/>
        <item x="1153"/>
        <item x="106"/>
        <item x="367"/>
        <item x="101"/>
        <item x="534"/>
        <item x="390"/>
        <item x="359"/>
        <item x="1096"/>
        <item x="795"/>
        <item x="749"/>
        <item x="568"/>
        <item x="284"/>
        <item x="88"/>
        <item x="275"/>
        <item x="69"/>
        <item x="490"/>
        <item x="1003"/>
        <item x="822"/>
        <item x="1050"/>
        <item x="516"/>
        <item x="328"/>
        <item x="130"/>
        <item x="247"/>
        <item x="373"/>
        <item x="214"/>
        <item x="222"/>
        <item x="398"/>
        <item x="84"/>
        <item x="96"/>
        <item x="1007"/>
        <item x="242"/>
        <item x="1002"/>
        <item x="649"/>
        <item x="578"/>
        <item x="673"/>
        <item x="992"/>
        <item x="1177"/>
        <item x="200"/>
        <item x="523"/>
        <item x="35"/>
        <item x="393"/>
        <item x="785"/>
        <item x="806"/>
        <item x="481"/>
        <item x="687"/>
        <item x="934"/>
        <item x="207"/>
        <item x="666"/>
        <item x="302"/>
        <item x="544"/>
        <item x="269"/>
        <item x="73"/>
        <item x="954"/>
        <item x="264"/>
        <item x="286"/>
        <item x="465"/>
        <item x="950"/>
        <item x="776"/>
        <item x="948"/>
        <item x="823"/>
        <item x="231"/>
        <item x="1110"/>
        <item x="1072"/>
        <item x="388"/>
        <item x="987"/>
        <item x="1022"/>
        <item x="267"/>
        <item x="116"/>
        <item x="183"/>
        <item x="1076"/>
        <item x="107"/>
        <item x="363"/>
        <item x="1063"/>
        <item x="594"/>
        <item x="326"/>
        <item x="1189"/>
        <item x="576"/>
        <item x="365"/>
        <item x="1031"/>
        <item x="883"/>
        <item x="800"/>
        <item x="1009"/>
        <item x="473"/>
        <item x="263"/>
        <item x="68"/>
        <item x="208"/>
        <item x="972"/>
        <item x="374"/>
        <item x="329"/>
        <item x="1033"/>
        <item x="959"/>
        <item x="1012"/>
        <item x="389"/>
        <item x="767"/>
        <item x="276"/>
        <item x="148"/>
        <item x="680"/>
        <item x="502"/>
        <item x="169"/>
        <item x="457"/>
        <item x="590"/>
        <item x="1058"/>
        <item x="1079"/>
        <item x="364"/>
        <item x="301"/>
        <item x="921"/>
        <item x="659"/>
        <item x="763"/>
        <item x="141"/>
        <item x="739"/>
        <item x="781"/>
        <item x="1134"/>
        <item x="434"/>
        <item x="937"/>
        <item x="344"/>
        <item x="178"/>
        <item x="689"/>
        <item x="147"/>
        <item x="466"/>
        <item x="522"/>
        <item x="311"/>
        <item x="640"/>
        <item x="540"/>
        <item x="1087"/>
        <item x="422"/>
        <item x="877"/>
        <item x="886"/>
        <item x="517"/>
        <item x="240"/>
        <item x="1131"/>
        <item x="793"/>
        <item x="560"/>
        <item x="1170"/>
        <item x="1005"/>
        <item x="1080"/>
        <item x="761"/>
        <item x="705"/>
        <item x="103"/>
        <item x="198"/>
        <item x="589"/>
        <item x="43"/>
        <item x="850"/>
        <item x="143"/>
        <item x="798"/>
        <item x="291"/>
        <item x="300"/>
        <item x="404"/>
        <item x="296"/>
        <item x="110"/>
        <item x="228"/>
        <item x="884"/>
        <item x="563"/>
        <item x="53"/>
        <item x="76"/>
        <item x="75"/>
        <item x="964"/>
        <item x="426"/>
        <item x="397"/>
        <item x="942"/>
        <item x="762"/>
        <item x="981"/>
        <item x="1069"/>
        <item x="1023"/>
        <item x="225"/>
        <item x="965"/>
        <item x="431"/>
        <item x="99"/>
        <item x="760"/>
        <item x="137"/>
        <item x="41"/>
        <item x="1098"/>
        <item x="725"/>
        <item x="605"/>
        <item x="852"/>
        <item x="656"/>
        <item x="827"/>
        <item x="769"/>
        <item x="233"/>
        <item x="744"/>
        <item x="124"/>
        <item x="700"/>
        <item x="127"/>
        <item x="543"/>
        <item x="536"/>
        <item x="1176"/>
        <item x="55"/>
        <item x="331"/>
        <item x="1047"/>
        <item x="1128"/>
        <item x="410"/>
        <item x="229"/>
        <item x="472"/>
        <item x="95"/>
        <item x="358"/>
        <item x="461"/>
        <item x="845"/>
        <item x="908"/>
        <item x="60"/>
        <item x="478"/>
        <item x="458"/>
        <item x="492"/>
        <item x="1068"/>
        <item x="542"/>
        <item x="375"/>
        <item x="1075"/>
        <item x="491"/>
        <item x="538"/>
        <item x="1083"/>
        <item x="1120"/>
        <item x="166"/>
        <item x="888"/>
        <item x="181"/>
        <item x="811"/>
        <item x="882"/>
        <item x="678"/>
        <item x="1091"/>
        <item x="825"/>
        <item x="1092"/>
        <item x="708"/>
        <item x="971"/>
        <item x="378"/>
        <item x="642"/>
        <item x="947"/>
        <item x="282"/>
        <item x="1020"/>
        <item x="927"/>
        <item x="903"/>
        <item x="1057"/>
        <item x="384"/>
        <item x="79"/>
        <item x="155"/>
        <item x="383"/>
        <item x="501"/>
        <item x="766"/>
        <item x="879"/>
        <item x="65"/>
        <item x="636"/>
        <item x="236"/>
        <item x="1059"/>
        <item x="651"/>
        <item x="496"/>
        <item x="360"/>
        <item x="445"/>
        <item x="1040"/>
        <item x="985"/>
        <item x="171"/>
        <item x="745"/>
        <item x="966"/>
        <item x="334"/>
        <item x="97"/>
        <item x="1144"/>
        <item x="59"/>
        <item x="306"/>
        <item x="905"/>
        <item x="370"/>
        <item x="1011"/>
        <item x="679"/>
        <item x="145"/>
        <item x="146"/>
        <item x="469"/>
        <item x="857"/>
        <item x="899"/>
        <item x="787"/>
        <item x="8"/>
        <item x="946"/>
        <item x="572"/>
        <item x="669"/>
        <item x="506"/>
        <item x="1157"/>
        <item x="824"/>
        <item x="104"/>
        <item x="356"/>
        <item x="1162"/>
        <item x="912"/>
        <item x="196"/>
        <item x="441"/>
        <item x="61"/>
        <item x="91"/>
        <item x="901"/>
        <item x="92"/>
        <item x="14"/>
        <item x="614"/>
        <item x="1197"/>
        <item x="728"/>
        <item x="1145"/>
        <item x="730"/>
        <item x="784"/>
        <item x="112"/>
        <item x="314"/>
        <item x="683"/>
        <item x="1039"/>
        <item x="843"/>
        <item x="782"/>
        <item x="98"/>
        <item x="1158"/>
        <item x="248"/>
        <item x="1127"/>
        <item x="1038"/>
        <item x="437"/>
        <item x="559"/>
        <item x="740"/>
        <item x="830"/>
        <item x="0"/>
        <item x="462"/>
        <item x="463"/>
        <item x="956"/>
        <item x="460"/>
        <item x="756"/>
        <item x="439"/>
        <item x="36"/>
        <item x="394"/>
        <item x="241"/>
        <item x="9"/>
        <item x="167"/>
        <item x="232"/>
        <item x="31"/>
        <item x="566"/>
        <item x="288"/>
        <item x="432"/>
        <item x="318"/>
        <item x="52"/>
        <item x="1004"/>
        <item x="13"/>
        <item x="16"/>
        <item x="601"/>
        <item x="1054"/>
        <item x="412"/>
        <item x="1016"/>
        <item x="1055"/>
        <item x="1090"/>
        <item x="894"/>
        <item x="765"/>
        <item x="994"/>
        <item x="647"/>
        <item x="616"/>
        <item x="117"/>
        <item x="42"/>
        <item x="978"/>
        <item x="156"/>
        <item x="1028"/>
        <item x="237"/>
        <item x="701"/>
        <item x="154"/>
        <item x="975"/>
        <item x="1025"/>
        <item x="186"/>
        <item x="777"/>
        <item x="848"/>
        <item x="1014"/>
        <item x="1146"/>
        <item x="592"/>
        <item x="867"/>
        <item x="1161"/>
        <item x="1015"/>
        <item x="519"/>
        <item x="688"/>
        <item x="289"/>
        <item x="351"/>
        <item x="803"/>
        <item x="794"/>
        <item x="729"/>
        <item x="239"/>
        <item x="1121"/>
        <item x="654"/>
        <item x="215"/>
        <item x="849"/>
        <item x="812"/>
        <item x="1135"/>
        <item x="1160"/>
        <item x="165"/>
        <item x="955"/>
        <item x="617"/>
        <item x="119"/>
        <item x="400"/>
        <item x="662"/>
        <item x="548"/>
        <item x="866"/>
        <item x="313"/>
        <item x="551"/>
        <item x="1185"/>
        <item x="206"/>
        <item x="753"/>
        <item x="1152"/>
        <item x="521"/>
        <item x="833"/>
        <item x="863"/>
        <item x="111"/>
        <item x="677"/>
        <item x="906"/>
        <item x="816"/>
        <item x="66"/>
        <item x="413"/>
        <item x="278"/>
        <item x="51"/>
        <item x="1141"/>
        <item x="28"/>
        <item x="665"/>
        <item x="476"/>
        <item x="58"/>
        <item x="839"/>
        <item x="660"/>
        <item x="204"/>
        <item x="1037"/>
        <item x="1108"/>
        <item x="139"/>
        <item x="872"/>
        <item x="193"/>
        <item x="1116"/>
        <item x="741"/>
        <item x="444"/>
        <item x="630"/>
        <item x="1093"/>
        <item x="86"/>
        <item x="706"/>
        <item x="893"/>
        <item x="944"/>
        <item x="213"/>
        <item x="133"/>
        <item x="515"/>
        <item x="907"/>
        <item x="467"/>
        <item x="255"/>
        <item x="305"/>
        <item x="637"/>
        <item x="842"/>
        <item x="938"/>
        <item x="33"/>
        <item x="633"/>
        <item x="809"/>
        <item x="1156"/>
        <item x="805"/>
        <item x="694"/>
        <item x="339"/>
        <item x="427"/>
        <item x="454"/>
        <item x="499"/>
        <item x="968"/>
        <item x="672"/>
        <item x="1113"/>
        <item x="670"/>
        <item x="307"/>
        <item x="667"/>
        <item x="197"/>
        <item x="520"/>
        <item x="1167"/>
        <item x="486"/>
        <item x="293"/>
        <item x="402"/>
        <item x="1"/>
        <item x="770"/>
        <item x="285"/>
        <item x="889"/>
        <item x="661"/>
        <item x="20"/>
        <item x="532"/>
        <item x="858"/>
        <item x="609"/>
        <item x="23"/>
        <item x="500"/>
        <item x="820"/>
        <item x="47"/>
        <item x="513"/>
        <item x="873"/>
        <item x="1186"/>
        <item x="801"/>
        <item x="324"/>
        <item x="320"/>
        <item x="982"/>
        <item x="1061"/>
        <item x="46"/>
        <item x="1067"/>
        <item x="771"/>
        <item x="621"/>
        <item x="789"/>
        <item x="477"/>
        <item x="120"/>
        <item x="1132"/>
        <item x="70"/>
        <item x="1150"/>
        <item x="366"/>
        <item x="969"/>
        <item x="610"/>
        <item x="87"/>
        <item x="686"/>
        <item x="428"/>
        <item x="32"/>
        <item x="338"/>
        <item x="724"/>
        <item x="1182"/>
        <item x="539"/>
        <item x="547"/>
        <item x="494"/>
        <item x="1027"/>
        <item x="1042"/>
        <item x="429"/>
        <item x="268"/>
        <item x="260"/>
        <item x="878"/>
        <item x="471"/>
        <item x="259"/>
        <item x="142"/>
        <item x="94"/>
        <item x="283"/>
        <item x="201"/>
        <item x="917"/>
        <item x="1051"/>
        <item x="887"/>
        <item x="996"/>
        <item x="323"/>
        <item x="483"/>
        <item x="464"/>
        <item x="190"/>
        <item x="990"/>
        <item x="511"/>
        <item x="312"/>
        <item x="710"/>
        <item x="381"/>
        <item x="1107"/>
        <item x="11"/>
        <item x="274"/>
        <item x="900"/>
        <item x="77"/>
        <item x="778"/>
        <item x="405"/>
        <item x="573"/>
        <item x="45"/>
        <item x="102"/>
        <item x="970"/>
        <item x="1077"/>
        <item x="603"/>
        <item x="380"/>
        <item x="909"/>
        <item x="417"/>
        <item x="1097"/>
        <item x="218"/>
        <item x="587"/>
        <item x="109"/>
        <item x="470"/>
        <item x="336"/>
        <item x="261"/>
        <item x="447"/>
        <item x="221"/>
        <item x="83"/>
        <item x="80"/>
        <item x="510"/>
        <item x="1034"/>
        <item x="674"/>
        <item x="50"/>
        <item x="1196"/>
        <item x="1159"/>
        <item x="230"/>
        <item x="348"/>
        <item x="449"/>
        <item x="588"/>
        <item x="902"/>
        <item x="606"/>
        <item x="1035"/>
        <item x="607"/>
        <item x="507"/>
        <item x="853"/>
        <item x="210"/>
        <item x="645"/>
        <item x="631"/>
        <item x="396"/>
        <item x="448"/>
        <item x="67"/>
        <item x="807"/>
        <item x="345"/>
        <item x="57"/>
        <item x="498"/>
        <item x="518"/>
        <item x="160"/>
        <item x="123"/>
        <item x="1183"/>
        <item x="446"/>
        <item x="433"/>
        <item x="699"/>
        <item x="253"/>
        <item x="546"/>
        <item x="129"/>
        <item x="1044"/>
        <item x="598"/>
        <item x="78"/>
        <item x="979"/>
        <item x="316"/>
        <item x="623"/>
        <item x="626"/>
        <item x="411"/>
        <item x="960"/>
        <item x="235"/>
        <item x="81"/>
        <item x="487"/>
        <item x="962"/>
        <item x="82"/>
        <item x="754"/>
        <item x="391"/>
        <item x="707"/>
        <item x="1138"/>
        <item x="831"/>
        <item x="1139"/>
        <item x="26"/>
        <item x="632"/>
        <item x="638"/>
        <item x="615"/>
        <item x="30"/>
        <item x="44"/>
        <item x="172"/>
        <item x="182"/>
        <item x="266"/>
        <item x="881"/>
        <item x="951"/>
        <item x="203"/>
        <item x="1151"/>
        <item x="273"/>
        <item x="12"/>
        <item x="430"/>
        <item x="29"/>
        <item x="443"/>
        <item x="1082"/>
        <item x="321"/>
        <item x="170"/>
        <item x="386"/>
        <item x="1086"/>
        <item x="219"/>
        <item x="584"/>
        <item x="1119"/>
        <item x="217"/>
        <item x="327"/>
        <item x="1084"/>
        <item x="1049"/>
        <item x="723"/>
        <item x="1085"/>
        <item x="1026"/>
        <item x="246"/>
        <item x="865"/>
        <item x="871"/>
        <item x="407"/>
        <item x="479"/>
        <item x="138"/>
        <item x="690"/>
        <item x="100"/>
        <item x="875"/>
        <item x="693"/>
        <item x="352"/>
        <item x="939"/>
        <item x="1166"/>
        <item x="591"/>
        <item x="747"/>
        <item x="829"/>
        <item x="1094"/>
        <item x="1123"/>
        <item x="797"/>
        <item x="1032"/>
        <item x="841"/>
        <item x="941"/>
        <item x="721"/>
        <item x="277"/>
        <item x="4"/>
        <item x="796"/>
        <item x="399"/>
        <item x="376"/>
        <item x="17"/>
        <item x="658"/>
        <item x="562"/>
        <item x="750"/>
        <item x="115"/>
        <item x="620"/>
        <item x="986"/>
        <item x="702"/>
        <item x="48"/>
        <item x="703"/>
        <item x="226"/>
        <item x="1187"/>
        <item x="37"/>
        <item x="596"/>
        <item x="341"/>
        <item x="347"/>
        <item x="1140"/>
        <item x="497"/>
        <item x="663"/>
        <item x="1010"/>
        <item x="635"/>
        <item x="1021"/>
        <item x="545"/>
        <item x="531"/>
        <item x="369"/>
        <item x="54"/>
        <item x="304"/>
        <item x="611"/>
        <item x="150"/>
        <item x="108"/>
        <item x="121"/>
        <item x="1081"/>
        <item x="337"/>
        <item x="748"/>
        <item x="726"/>
        <item x="39"/>
        <item x="480"/>
        <item x="634"/>
        <item x="527"/>
        <item x="788"/>
        <item x="350"/>
        <item x="864"/>
        <item x="561"/>
        <item x="804"/>
        <item x="194"/>
        <item x="62"/>
        <item x="1124"/>
        <item x="1018"/>
        <item x="317"/>
        <item x="1155"/>
        <item x="567"/>
        <item x="74"/>
        <item x="652"/>
        <item x="254"/>
        <item x="90"/>
        <item x="930"/>
        <item x="885"/>
        <item x="290"/>
        <item x="262"/>
        <item x="372"/>
        <item x="579"/>
        <item x="644"/>
        <item x="195"/>
        <item x="814"/>
        <item x="911"/>
        <item x="297"/>
        <item x="779"/>
        <item x="298"/>
        <item x="177"/>
        <item x="212"/>
        <item x="1130"/>
        <item x="495"/>
        <item x="646"/>
        <item x="935"/>
        <item x="1118"/>
        <item x="529"/>
        <item x="175"/>
        <item x="755"/>
        <item x="910"/>
        <item x="1117"/>
        <item x="1125"/>
        <item x="514"/>
        <item x="802"/>
        <item x="697"/>
        <item x="835"/>
        <item x="452"/>
        <item x="71"/>
        <item x="953"/>
        <item x="395"/>
        <item x="168"/>
        <item x="943"/>
        <item x="151"/>
        <item x="162"/>
        <item x="1060"/>
        <item x="719"/>
        <item x="49"/>
        <item x="668"/>
        <item x="245"/>
        <item x="736"/>
        <item x="152"/>
        <item x="330"/>
        <item x="512"/>
        <item x="38"/>
        <item x="1064"/>
        <item x="425"/>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5">
        <item sd="0" x="0"/>
        <item sd="0" x="1"/>
        <item sd="0" x="2"/>
        <item sd="0" x="3"/>
        <item t="default"/>
      </items>
    </pivotField>
    <pivotField dragToRow="0" dragToCol="0" dragToPage="0" showAll="0" defaultSubtotal="0"/>
  </pivotFields>
  <rowFields count="2">
    <field x="13"/>
    <field x="12"/>
  </rowFields>
  <rowItems count="5">
    <i>
      <x v="1"/>
    </i>
    <i>
      <x v="2"/>
    </i>
    <i>
      <x v="3"/>
    </i>
    <i>
      <x v="4"/>
    </i>
    <i t="grand">
      <x/>
    </i>
  </rowItems>
  <colItems count="1">
    <i/>
  </colItems>
  <dataFields count="1">
    <dataField name="Sum of Revenue_USD" fld="4" baseField="0" baseItem="0" numFmtId="164"/>
  </dataFields>
  <formats count="1">
    <format dxfId="9">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AA10347-40D3-4455-92EE-CC7A97F44FE6}"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Region">
  <location ref="A11:B16" firstHeaderRow="1" firstDataRow="1" firstDataCol="1"/>
  <pivotFields count="16">
    <pivotField numFmtId="14" showAll="0">
      <items count="601">
        <item x="79"/>
        <item x="511"/>
        <item x="199"/>
        <item x="86"/>
        <item x="123"/>
        <item x="525"/>
        <item x="29"/>
        <item x="99"/>
        <item x="467"/>
        <item x="346"/>
        <item x="559"/>
        <item x="325"/>
        <item x="52"/>
        <item x="138"/>
        <item x="242"/>
        <item x="151"/>
        <item x="168"/>
        <item x="300"/>
        <item x="313"/>
        <item x="442"/>
        <item x="422"/>
        <item x="187"/>
        <item x="225"/>
        <item x="159"/>
        <item x="380"/>
        <item x="165"/>
        <item x="431"/>
        <item x="474"/>
        <item x="512"/>
        <item x="144"/>
        <item x="154"/>
        <item x="73"/>
        <item x="129"/>
        <item x="360"/>
        <item x="108"/>
        <item x="88"/>
        <item x="318"/>
        <item x="460"/>
        <item x="358"/>
        <item x="553"/>
        <item x="43"/>
        <item x="240"/>
        <item x="424"/>
        <item x="207"/>
        <item x="447"/>
        <item x="569"/>
        <item x="576"/>
        <item x="149"/>
        <item x="173"/>
        <item x="222"/>
        <item x="537"/>
        <item x="493"/>
        <item x="497"/>
        <item x="49"/>
        <item x="238"/>
        <item x="364"/>
        <item x="492"/>
        <item x="304"/>
        <item x="558"/>
        <item x="290"/>
        <item x="87"/>
        <item x="509"/>
        <item x="139"/>
        <item x="298"/>
        <item x="219"/>
        <item x="117"/>
        <item x="428"/>
        <item x="591"/>
        <item x="175"/>
        <item x="102"/>
        <item x="323"/>
        <item x="599"/>
        <item x="595"/>
        <item x="375"/>
        <item x="554"/>
        <item x="80"/>
        <item x="122"/>
        <item x="486"/>
        <item x="51"/>
        <item x="314"/>
        <item x="205"/>
        <item x="0"/>
        <item x="39"/>
        <item x="388"/>
        <item x="434"/>
        <item x="189"/>
        <item x="137"/>
        <item x="93"/>
        <item x="84"/>
        <item x="438"/>
        <item x="120"/>
        <item x="127"/>
        <item x="177"/>
        <item x="295"/>
        <item x="47"/>
        <item x="152"/>
        <item x="403"/>
        <item x="232"/>
        <item x="582"/>
        <item x="289"/>
        <item x="46"/>
        <item x="475"/>
        <item x="371"/>
        <item x="167"/>
        <item x="261"/>
        <item x="389"/>
        <item x="188"/>
        <item x="457"/>
        <item x="463"/>
        <item x="367"/>
        <item x="355"/>
        <item x="294"/>
        <item x="465"/>
        <item x="118"/>
        <item x="251"/>
        <item x="212"/>
        <item x="254"/>
        <item x="476"/>
        <item x="478"/>
        <item x="423"/>
        <item x="69"/>
        <item x="27"/>
        <item x="437"/>
        <item x="31"/>
        <item x="310"/>
        <item x="377"/>
        <item x="521"/>
        <item x="311"/>
        <item x="213"/>
        <item x="107"/>
        <item x="32"/>
        <item x="452"/>
        <item x="541"/>
        <item x="223"/>
        <item x="291"/>
        <item x="510"/>
        <item x="579"/>
        <item x="427"/>
        <item x="505"/>
        <item x="539"/>
        <item x="383"/>
        <item x="36"/>
        <item x="317"/>
        <item x="362"/>
        <item x="155"/>
        <item x="359"/>
        <item x="548"/>
        <item x="384"/>
        <item x="469"/>
        <item x="246"/>
        <item x="279"/>
        <item x="296"/>
        <item x="191"/>
        <item x="508"/>
        <item x="148"/>
        <item x="305"/>
        <item x="575"/>
        <item x="19"/>
        <item x="373"/>
        <item x="163"/>
        <item x="536"/>
        <item x="285"/>
        <item x="44"/>
        <item x="392"/>
        <item x="104"/>
        <item x="264"/>
        <item x="8"/>
        <item x="566"/>
        <item x="301"/>
        <item x="363"/>
        <item x="190"/>
        <item x="81"/>
        <item x="209"/>
        <item x="394"/>
        <item x="164"/>
        <item x="498"/>
        <item x="540"/>
        <item x="255"/>
        <item x="297"/>
        <item x="265"/>
        <item x="195"/>
        <item x="523"/>
        <item x="516"/>
        <item x="142"/>
        <item x="162"/>
        <item x="321"/>
        <item x="468"/>
        <item x="239"/>
        <item x="564"/>
        <item x="439"/>
        <item x="92"/>
        <item x="574"/>
        <item x="387"/>
        <item x="237"/>
        <item x="128"/>
        <item x="315"/>
        <item x="385"/>
        <item x="258"/>
        <item x="551"/>
        <item x="281"/>
        <item x="596"/>
        <item x="75"/>
        <item x="494"/>
        <item x="115"/>
        <item x="146"/>
        <item x="473"/>
        <item x="48"/>
        <item x="354"/>
        <item x="425"/>
        <item x="249"/>
        <item x="462"/>
        <item x="106"/>
        <item x="587"/>
        <item x="366"/>
        <item x="169"/>
        <item x="160"/>
        <item x="259"/>
        <item x="417"/>
        <item x="275"/>
        <item x="446"/>
        <item x="215"/>
        <item x="583"/>
        <item x="507"/>
        <item x="267"/>
        <item x="170"/>
        <item x="231"/>
        <item x="5"/>
        <item x="503"/>
        <item x="57"/>
        <item x="334"/>
        <item x="59"/>
        <item x="408"/>
        <item x="235"/>
        <item x="76"/>
        <item x="109"/>
        <item x="268"/>
        <item x="119"/>
        <item x="410"/>
        <item x="405"/>
        <item x="157"/>
        <item x="276"/>
        <item x="557"/>
        <item x="584"/>
        <item x="531"/>
        <item x="101"/>
        <item x="593"/>
        <item x="543"/>
        <item x="370"/>
        <item x="156"/>
        <item x="236"/>
        <item x="89"/>
        <item x="200"/>
        <item x="252"/>
        <item x="82"/>
        <item x="181"/>
        <item x="150"/>
        <item x="597"/>
        <item x="182"/>
        <item x="485"/>
        <item x="495"/>
        <item x="546"/>
        <item x="350"/>
        <item x="241"/>
        <item x="560"/>
        <item x="538"/>
        <item x="95"/>
        <item x="153"/>
        <item x="562"/>
        <item x="445"/>
        <item x="535"/>
        <item x="65"/>
        <item x="544"/>
        <item x="299"/>
        <item x="1"/>
        <item x="327"/>
        <item x="577"/>
        <item x="443"/>
        <item x="83"/>
        <item x="216"/>
        <item x="528"/>
        <item x="263"/>
        <item x="345"/>
        <item x="340"/>
        <item x="282"/>
        <item x="580"/>
        <item x="158"/>
        <item x="110"/>
        <item x="415"/>
        <item x="37"/>
        <item x="228"/>
        <item x="206"/>
        <item x="309"/>
        <item x="483"/>
        <item x="339"/>
        <item x="489"/>
        <item x="293"/>
        <item x="229"/>
        <item x="274"/>
        <item x="132"/>
        <item x="262"/>
        <item x="34"/>
        <item x="433"/>
        <item x="6"/>
        <item x="337"/>
        <item x="184"/>
        <item x="441"/>
        <item x="202"/>
        <item x="21"/>
        <item x="401"/>
        <item x="269"/>
        <item x="590"/>
        <item x="112"/>
        <item x="530"/>
        <item x="365"/>
        <item x="589"/>
        <item x="278"/>
        <item x="572"/>
        <item x="22"/>
        <item x="351"/>
        <item x="7"/>
        <item x="499"/>
        <item x="328"/>
        <item x="141"/>
        <item x="287"/>
        <item x="15"/>
        <item x="519"/>
        <item x="125"/>
        <item x="60"/>
        <item x="63"/>
        <item x="214"/>
        <item x="41"/>
        <item x="33"/>
        <item x="70"/>
        <item x="348"/>
        <item x="332"/>
        <item x="113"/>
        <item x="134"/>
        <item x="386"/>
        <item x="40"/>
        <item x="481"/>
        <item x="97"/>
        <item x="450"/>
        <item x="247"/>
        <item x="514"/>
        <item x="145"/>
        <item x="54"/>
        <item x="283"/>
        <item x="183"/>
        <item x="286"/>
        <item x="455"/>
        <item x="491"/>
        <item x="448"/>
        <item x="194"/>
        <item x="178"/>
        <item x="284"/>
        <item x="114"/>
        <item x="50"/>
        <item x="500"/>
        <item x="470"/>
        <item x="464"/>
        <item x="227"/>
        <item x="78"/>
        <item x="376"/>
        <item x="352"/>
        <item x="526"/>
        <item x="413"/>
        <item x="517"/>
        <item x="288"/>
        <item x="308"/>
        <item x="454"/>
        <item x="397"/>
        <item x="211"/>
        <item x="329"/>
        <item x="353"/>
        <item x="400"/>
        <item x="131"/>
        <item x="67"/>
        <item x="594"/>
        <item x="121"/>
        <item x="111"/>
        <item x="324"/>
        <item x="336"/>
        <item x="518"/>
        <item x="571"/>
        <item x="429"/>
        <item x="218"/>
        <item x="62"/>
        <item x="208"/>
        <item x="472"/>
        <item x="198"/>
        <item x="484"/>
        <item x="243"/>
        <item x="549"/>
        <item x="105"/>
        <item x="524"/>
        <item x="35"/>
        <item x="451"/>
        <item x="221"/>
        <item x="440"/>
        <item x="369"/>
        <item x="585"/>
        <item x="230"/>
        <item x="26"/>
        <item x="12"/>
        <item x="2"/>
        <item x="10"/>
        <item x="477"/>
        <item x="482"/>
        <item x="55"/>
        <item x="126"/>
        <item x="320"/>
        <item x="13"/>
        <item x="567"/>
        <item x="244"/>
        <item x="91"/>
        <item x="135"/>
        <item x="68"/>
        <item x="203"/>
        <item x="224"/>
        <item x="77"/>
        <item x="133"/>
        <item x="513"/>
        <item x="124"/>
        <item x="179"/>
        <item x="166"/>
        <item x="466"/>
        <item x="185"/>
        <item x="172"/>
        <item x="402"/>
        <item x="506"/>
        <item x="17"/>
        <item x="515"/>
        <item x="316"/>
        <item x="379"/>
        <item x="217"/>
        <item x="307"/>
        <item x="338"/>
        <item x="180"/>
        <item x="456"/>
        <item x="273"/>
        <item x="416"/>
        <item x="435"/>
        <item x="570"/>
        <item x="174"/>
        <item x="581"/>
        <item x="461"/>
        <item x="496"/>
        <item x="58"/>
        <item x="302"/>
        <item x="98"/>
        <item x="341"/>
        <item x="504"/>
        <item x="186"/>
        <item x="292"/>
        <item x="277"/>
        <item x="280"/>
        <item x="74"/>
        <item x="347"/>
        <item x="342"/>
        <item x="3"/>
        <item x="234"/>
        <item x="343"/>
        <item x="16"/>
        <item x="542"/>
        <item x="23"/>
        <item x="331"/>
        <item x="349"/>
        <item x="396"/>
        <item x="140"/>
        <item x="28"/>
        <item x="253"/>
        <item x="96"/>
        <item x="398"/>
        <item x="147"/>
        <item x="458"/>
        <item x="527"/>
        <item x="100"/>
        <item x="326"/>
        <item x="479"/>
        <item x="257"/>
        <item x="335"/>
        <item x="430"/>
        <item x="171"/>
        <item x="436"/>
        <item x="330"/>
        <item x="196"/>
        <item x="487"/>
        <item x="444"/>
        <item x="409"/>
        <item x="197"/>
        <item x="245"/>
        <item x="319"/>
        <item x="272"/>
        <item x="490"/>
        <item x="406"/>
        <item x="381"/>
        <item x="220"/>
        <item x="24"/>
        <item x="312"/>
        <item x="14"/>
        <item x="393"/>
        <item x="522"/>
        <item x="56"/>
        <item x="248"/>
        <item x="573"/>
        <item x="143"/>
        <item x="547"/>
        <item x="502"/>
        <item x="592"/>
        <item x="586"/>
        <item x="390"/>
        <item x="38"/>
        <item x="414"/>
        <item x="30"/>
        <item x="130"/>
        <item x="561"/>
        <item x="378"/>
        <item x="306"/>
        <item x="210"/>
        <item x="64"/>
        <item x="418"/>
        <item x="534"/>
        <item x="204"/>
        <item x="192"/>
        <item x="578"/>
        <item x="116"/>
        <item x="136"/>
        <item x="404"/>
        <item x="598"/>
        <item x="419"/>
        <item x="322"/>
        <item x="18"/>
        <item x="11"/>
        <item x="260"/>
        <item x="399"/>
        <item x="453"/>
        <item x="533"/>
        <item x="552"/>
        <item x="71"/>
        <item x="395"/>
        <item x="520"/>
        <item x="25"/>
        <item x="233"/>
        <item x="556"/>
        <item x="391"/>
        <item x="94"/>
        <item x="103"/>
        <item x="90"/>
        <item x="568"/>
        <item x="72"/>
        <item x="193"/>
        <item x="45"/>
        <item x="407"/>
        <item x="250"/>
        <item x="176"/>
        <item x="361"/>
        <item x="372"/>
        <item x="532"/>
        <item x="374"/>
        <item x="412"/>
        <item x="256"/>
        <item x="344"/>
        <item x="421"/>
        <item x="333"/>
        <item x="356"/>
        <item x="4"/>
        <item x="529"/>
        <item x="488"/>
        <item x="53"/>
        <item x="449"/>
        <item x="565"/>
        <item x="357"/>
        <item x="271"/>
        <item x="85"/>
        <item x="42"/>
        <item x="459"/>
        <item x="161"/>
        <item x="266"/>
        <item x="303"/>
        <item x="550"/>
        <item x="545"/>
        <item x="270"/>
        <item x="426"/>
        <item x="20"/>
        <item x="588"/>
        <item x="420"/>
        <item x="480"/>
        <item x="66"/>
        <item x="201"/>
        <item x="555"/>
        <item x="61"/>
        <item x="563"/>
        <item x="501"/>
        <item x="368"/>
        <item x="382"/>
        <item x="432"/>
        <item x="411"/>
        <item x="9"/>
        <item x="226"/>
        <item x="471"/>
        <item t="default"/>
      </items>
    </pivotField>
    <pivotField axis="axisRow" showAll="0">
      <items count="5">
        <item x="1"/>
        <item x="2"/>
        <item x="0"/>
        <item x="3"/>
        <item t="default"/>
      </items>
    </pivotField>
    <pivotField showAll="0">
      <items count="5">
        <item x="2"/>
        <item x="1"/>
        <item x="0"/>
        <item x="3"/>
        <item t="default"/>
      </items>
    </pivotField>
    <pivotField showAll="0">
      <items count="4">
        <item x="1"/>
        <item x="0"/>
        <item x="2"/>
        <item t="default"/>
      </items>
    </pivotField>
    <pivotField showAll="0">
      <items count="1197">
        <item x="78"/>
        <item x="100"/>
        <item x="135"/>
        <item x="575"/>
        <item x="174"/>
        <item x="610"/>
        <item x="730"/>
        <item x="508"/>
        <item x="55"/>
        <item x="315"/>
        <item x="1011"/>
        <item x="1113"/>
        <item x="1148"/>
        <item x="577"/>
        <item x="825"/>
        <item x="219"/>
        <item x="1166"/>
        <item x="375"/>
        <item x="672"/>
        <item x="563"/>
        <item x="214"/>
        <item x="981"/>
        <item x="615"/>
        <item x="355"/>
        <item x="109"/>
        <item x="103"/>
        <item x="145"/>
        <item x="516"/>
        <item x="953"/>
        <item x="889"/>
        <item x="998"/>
        <item x="849"/>
        <item x="553"/>
        <item x="476"/>
        <item x="443"/>
        <item x="625"/>
        <item x="1046"/>
        <item x="30"/>
        <item x="395"/>
        <item x="914"/>
        <item x="887"/>
        <item x="144"/>
        <item x="237"/>
        <item x="40"/>
        <item x="400"/>
        <item x="413"/>
        <item x="392"/>
        <item x="1172"/>
        <item x="172"/>
        <item x="149"/>
        <item x="69"/>
        <item x="325"/>
        <item x="283"/>
        <item x="346"/>
        <item x="1176"/>
        <item x="92"/>
        <item x="1020"/>
        <item x="943"/>
        <item x="1068"/>
        <item x="179"/>
        <item x="907"/>
        <item x="388"/>
        <item x="86"/>
        <item x="98"/>
        <item x="604"/>
        <item x="1006"/>
        <item x="382"/>
        <item x="222"/>
        <item x="331"/>
        <item x="217"/>
        <item x="1178"/>
        <item x="439"/>
        <item x="1137"/>
        <item x="756"/>
        <item x="743"/>
        <item x="793"/>
        <item x="28"/>
        <item x="671"/>
        <item x="840"/>
        <item x="710"/>
        <item x="364"/>
        <item x="105"/>
        <item x="115"/>
        <item x="409"/>
        <item x="712"/>
        <item x="350"/>
        <item x="674"/>
        <item x="139"/>
        <item x="527"/>
        <item x="197"/>
        <item x="1015"/>
        <item x="955"/>
        <item x="59"/>
        <item x="158"/>
        <item x="1026"/>
        <item x="776"/>
        <item x="425"/>
        <item x="728"/>
        <item x="383"/>
        <item x="1182"/>
        <item x="920"/>
        <item x="347"/>
        <item x="1136"/>
        <item x="454"/>
        <item x="75"/>
        <item x="1081"/>
        <item x="681"/>
        <item x="97"/>
        <item x="99"/>
        <item x="646"/>
        <item x="379"/>
        <item x="327"/>
        <item x="661"/>
        <item x="142"/>
        <item x="494"/>
        <item x="1175"/>
        <item x="265"/>
        <item x="330"/>
        <item x="565"/>
        <item x="853"/>
        <item x="540"/>
        <item x="258"/>
        <item x="833"/>
        <item x="1038"/>
        <item x="630"/>
        <item x="729"/>
        <item x="1070"/>
        <item x="123"/>
        <item x="1123"/>
        <item x="587"/>
        <item x="146"/>
        <item x="582"/>
        <item x="120"/>
        <item x="623"/>
        <item x="1104"/>
        <item x="1170"/>
        <item x="444"/>
        <item x="304"/>
        <item x="762"/>
        <item x="603"/>
        <item x="190"/>
        <item x="93"/>
        <item x="721"/>
        <item x="855"/>
        <item x="529"/>
        <item x="1069"/>
        <item x="1174"/>
        <item x="821"/>
        <item x="430"/>
        <item x="1162"/>
        <item x="50"/>
        <item x="1034"/>
        <item x="288"/>
        <item x="1187"/>
        <item x="1177"/>
        <item x="780"/>
        <item x="308"/>
        <item x="493"/>
        <item x="406"/>
        <item x="1049"/>
        <item x="345"/>
        <item x="488"/>
        <item x="545"/>
        <item x="733"/>
        <item x="858"/>
        <item x="1169"/>
        <item x="1050"/>
        <item x="1168"/>
        <item x="284"/>
        <item x="1110"/>
        <item x="440"/>
        <item x="396"/>
        <item x="918"/>
        <item x="768"/>
        <item x="724"/>
        <item x="617"/>
        <item x="62"/>
        <item x="1045"/>
        <item x="1016"/>
        <item x="1030"/>
        <item x="465"/>
        <item x="704"/>
        <item x="37"/>
        <item x="608"/>
        <item x="148"/>
        <item x="1075"/>
        <item x="171"/>
        <item x="463"/>
        <item x="134"/>
        <item x="453"/>
        <item x="173"/>
        <item x="831"/>
        <item x="515"/>
        <item x="535"/>
        <item x="1043"/>
        <item x="789"/>
        <item x="422"/>
        <item x="136"/>
        <item x="962"/>
        <item x="475"/>
        <item x="578"/>
        <item x="862"/>
        <item x="817"/>
        <item x="804"/>
        <item x="1158"/>
        <item x="195"/>
        <item x="467"/>
        <item x="177"/>
        <item x="814"/>
        <item x="452"/>
        <item x="913"/>
        <item x="445"/>
        <item x="57"/>
        <item x="585"/>
        <item x="960"/>
        <item x="792"/>
        <item x="626"/>
        <item x="361"/>
        <item x="1120"/>
        <item x="697"/>
        <item x="320"/>
        <item x="683"/>
        <item x="335"/>
        <item x="900"/>
        <item x="206"/>
        <item x="784"/>
        <item x="732"/>
        <item x="785"/>
        <item x="260"/>
        <item x="309"/>
        <item x="1139"/>
        <item x="1130"/>
        <item x="9"/>
        <item x="945"/>
        <item x="245"/>
        <item x="834"/>
        <item x="622"/>
        <item x="650"/>
        <item x="908"/>
        <item x="1053"/>
        <item x="456"/>
        <item x="916"/>
        <item x="902"/>
        <item x="827"/>
        <item x="151"/>
        <item x="352"/>
        <item x="464"/>
        <item x="957"/>
        <item x="746"/>
        <item x="875"/>
        <item x="901"/>
        <item x="911"/>
        <item x="693"/>
        <item x="274"/>
        <item x="193"/>
        <item x="951"/>
        <item x="501"/>
        <item x="289"/>
        <item x="1028"/>
        <item x="1145"/>
        <item x="160"/>
        <item x="25"/>
        <item x="338"/>
        <item x="959"/>
        <item x="727"/>
        <item x="1132"/>
        <item x="1084"/>
        <item x="45"/>
        <item x="725"/>
        <item x="49"/>
        <item x="381"/>
        <item x="261"/>
        <item x="1066"/>
        <item x="21"/>
        <item x="614"/>
        <item x="32"/>
        <item x="939"/>
        <item x="915"/>
        <item x="24"/>
        <item x="1156"/>
        <item x="368"/>
        <item x="15"/>
        <item x="102"/>
        <item x="490"/>
        <item x="218"/>
        <item x="600"/>
        <item x="270"/>
        <item x="885"/>
        <item x="241"/>
        <item x="507"/>
        <item x="663"/>
        <item x="1146"/>
        <item x="938"/>
        <item x="108"/>
        <item x="711"/>
        <item x="922"/>
        <item x="474"/>
        <item x="992"/>
        <item x="1033"/>
        <item x="299"/>
        <item x="324"/>
        <item x="1054"/>
        <item x="613"/>
        <item x="1000"/>
        <item x="353"/>
        <item x="645"/>
        <item x="298"/>
        <item x="253"/>
        <item x="740"/>
        <item x="94"/>
        <item x="766"/>
        <item x="38"/>
        <item x="832"/>
        <item x="567"/>
        <item x="965"/>
        <item x="971"/>
        <item x="380"/>
        <item x="616"/>
        <item x="1115"/>
        <item x="861"/>
        <item x="818"/>
        <item x="555"/>
        <item x="1057"/>
        <item x="1003"/>
        <item x="473"/>
        <item x="891"/>
        <item x="581"/>
        <item x="207"/>
        <item x="1025"/>
        <item x="638"/>
        <item x="707"/>
        <item x="921"/>
        <item x="1010"/>
        <item x="460"/>
        <item x="269"/>
        <item x="434"/>
        <item x="612"/>
        <item x="520"/>
        <item x="129"/>
        <item x="397"/>
        <item x="777"/>
        <item x="932"/>
        <item x="1023"/>
        <item x="843"/>
        <item x="696"/>
        <item x="870"/>
        <item x="877"/>
        <item x="764"/>
        <item x="941"/>
        <item x="850"/>
        <item x="1004"/>
        <item x="1085"/>
        <item x="127"/>
        <item x="595"/>
        <item x="221"/>
        <item x="892"/>
        <item x="470"/>
        <item x="429"/>
        <item x="141"/>
        <item x="874"/>
        <item x="424"/>
        <item x="111"/>
        <item x="1190"/>
        <item x="372"/>
        <item x="1060"/>
        <item x="761"/>
        <item x="293"/>
        <item x="186"/>
        <item x="54"/>
        <item x="735"/>
        <item x="198"/>
        <item x="737"/>
        <item x="848"/>
        <item x="1181"/>
        <item x="607"/>
        <item x="236"/>
        <item x="232"/>
        <item x="750"/>
        <item x="39"/>
        <item x="294"/>
        <item x="213"/>
        <item x="285"/>
        <item x="96"/>
        <item x="963"/>
        <item x="1103"/>
        <item x="708"/>
        <item x="212"/>
        <item x="897"/>
        <item x="239"/>
        <item x="1112"/>
        <item x="665"/>
        <item x="34"/>
        <item x="639"/>
        <item x="566"/>
        <item x="228"/>
        <item x="629"/>
        <item x="229"/>
        <item x="1"/>
        <item x="1167"/>
        <item x="121"/>
        <item x="842"/>
        <item x="243"/>
        <item x="275"/>
        <item x="385"/>
        <item x="280"/>
        <item x="879"/>
        <item x="147"/>
        <item x="414"/>
        <item x="76"/>
        <item x="1089"/>
        <item x="279"/>
        <item x="1131"/>
        <item x="808"/>
        <item x="336"/>
        <item x="1163"/>
        <item x="548"/>
        <item x="403"/>
        <item x="925"/>
        <item x="1106"/>
        <item x="12"/>
        <item x="87"/>
        <item x="698"/>
        <item x="131"/>
        <item x="437"/>
        <item x="14"/>
        <item x="31"/>
        <item x="845"/>
        <item x="1012"/>
        <item x="649"/>
        <item x="1184"/>
        <item x="61"/>
        <item x="389"/>
        <item x="975"/>
        <item x="367"/>
        <item x="110"/>
        <item x="1099"/>
        <item x="1027"/>
        <item x="435"/>
        <item x="982"/>
        <item x="83"/>
        <item x="104"/>
        <item x="747"/>
        <item x="586"/>
        <item x="533"/>
        <item x="167"/>
        <item x="1022"/>
        <item x="466"/>
        <item x="723"/>
        <item x="72"/>
        <item x="489"/>
        <item x="1140"/>
        <item x="643"/>
        <item x="374"/>
        <item x="890"/>
        <item x="709"/>
        <item x="192"/>
        <item x="865"/>
        <item x="503"/>
        <item x="819"/>
        <item x="1164"/>
        <item x="53"/>
        <item x="1155"/>
        <item x="64"/>
        <item x="1056"/>
        <item x="318"/>
        <item x="1135"/>
        <item x="522"/>
        <item x="745"/>
        <item x="899"/>
        <item x="978"/>
        <item x="1188"/>
        <item x="257"/>
        <item x="809"/>
        <item x="557"/>
        <item x="233"/>
        <item x="116"/>
        <item x="544"/>
        <item x="618"/>
        <item x="5"/>
        <item x="36"/>
        <item x="798"/>
        <item x="1024"/>
        <item x="356"/>
        <item x="966"/>
        <item x="66"/>
        <item x="751"/>
        <item x="41"/>
        <item x="1094"/>
        <item x="1087"/>
        <item x="644"/>
        <item x="47"/>
        <item x="458"/>
        <item x="332"/>
        <item x="796"/>
        <item x="16"/>
        <item x="89"/>
        <item x="748"/>
        <item x="692"/>
        <item x="1154"/>
        <item x="1144"/>
        <item x="620"/>
        <item x="22"/>
        <item x="450"/>
        <item x="774"/>
        <item x="574"/>
        <item x="1090"/>
        <item x="895"/>
        <item x="904"/>
        <item x="584"/>
        <item x="498"/>
        <item x="68"/>
        <item x="362"/>
        <item x="715"/>
        <item x="703"/>
        <item x="199"/>
        <item x="354"/>
        <item x="322"/>
        <item x="249"/>
        <item x="906"/>
        <item x="316"/>
        <item x="598"/>
        <item x="481"/>
        <item x="1073"/>
        <item x="88"/>
        <item x="551"/>
        <item x="806"/>
        <item x="1018"/>
        <item x="1061"/>
        <item x="673"/>
        <item x="800"/>
        <item x="686"/>
        <item x="864"/>
        <item x="196"/>
        <item x="244"/>
        <item x="1077"/>
        <item x="185"/>
        <item x="1008"/>
        <item x="386"/>
        <item x="930"/>
        <item x="844"/>
        <item x="543"/>
        <item x="455"/>
        <item x="659"/>
        <item x="415"/>
        <item x="491"/>
        <item x="1062"/>
        <item x="628"/>
        <item x="1080"/>
        <item x="866"/>
        <item x="140"/>
        <item x="896"/>
        <item x="1051"/>
        <item x="302"/>
        <item x="1035"/>
        <item x="1109"/>
        <item x="991"/>
        <item x="547"/>
        <item x="358"/>
        <item x="863"/>
        <item x="224"/>
        <item x="7"/>
        <item x="689"/>
        <item x="408"/>
        <item x="589"/>
        <item x="676"/>
        <item x="989"/>
        <item x="666"/>
        <item x="1134"/>
        <item x="771"/>
        <item x="731"/>
        <item x="479"/>
        <item x="967"/>
        <item x="161"/>
        <item x="1048"/>
        <item x="1088"/>
        <item x="691"/>
        <item x="813"/>
        <item x="235"/>
        <item x="869"/>
        <item x="1161"/>
        <item x="621"/>
        <item x="779"/>
        <item x="107"/>
        <item x="637"/>
        <item x="42"/>
        <item x="427"/>
        <item x="268"/>
        <item x="647"/>
        <item x="738"/>
        <item x="741"/>
        <item x="119"/>
        <item x="256"/>
        <item x="1092"/>
        <item x="801"/>
        <item x="749"/>
        <item x="132"/>
        <item x="300"/>
        <item x="441"/>
        <item x="1001"/>
        <item x="303"/>
        <item x="534"/>
        <item x="935"/>
        <item x="188"/>
        <item x="461"/>
        <item x="248"/>
        <item x="590"/>
        <item x="189"/>
        <item x="1047"/>
        <item x="660"/>
        <item x="839"/>
        <item x="558"/>
        <item x="138"/>
        <item x="1014"/>
        <item x="321"/>
        <item x="583"/>
        <item x="410"/>
        <item x="846"/>
        <item x="180"/>
        <item x="176"/>
        <item x="820"/>
        <item x="0"/>
        <item x="150"/>
        <item x="1108"/>
        <item x="506"/>
        <item x="722"/>
        <item x="1191"/>
        <item x="1186"/>
        <item x="187"/>
        <item x="371"/>
        <item x="988"/>
        <item x="754"/>
        <item x="964"/>
        <item x="126"/>
        <item x="2"/>
        <item x="726"/>
        <item x="1076"/>
        <item x="495"/>
        <item x="79"/>
        <item x="412"/>
        <item x="376"/>
        <item x="486"/>
        <item x="1180"/>
        <item x="782"/>
        <item x="773"/>
        <item x="340"/>
        <item x="337"/>
        <item x="702"/>
        <item x="1142"/>
        <item x="580"/>
        <item x="946"/>
        <item x="995"/>
        <item x="114"/>
        <item x="81"/>
        <item x="1032"/>
        <item x="451"/>
        <item x="940"/>
        <item x="788"/>
        <item x="210"/>
        <item x="884"/>
        <item x="684"/>
        <item x="700"/>
        <item x="6"/>
        <item x="640"/>
        <item x="1102"/>
        <item x="306"/>
        <item x="154"/>
        <item x="423"/>
        <item x="851"/>
        <item x="699"/>
        <item x="588"/>
        <item x="117"/>
        <item x="264"/>
        <item x="990"/>
        <item x="772"/>
        <item x="517"/>
        <item x="576"/>
        <item x="44"/>
        <item x="868"/>
        <item x="552"/>
        <item x="579"/>
        <item x="753"/>
        <item x="153"/>
        <item x="1149"/>
        <item x="163"/>
        <item x="84"/>
        <item x="128"/>
        <item x="836"/>
        <item x="624"/>
        <item x="420"/>
        <item x="976"/>
        <item x="418"/>
        <item x="391"/>
        <item x="1173"/>
        <item x="469"/>
        <item x="291"/>
        <item x="635"/>
        <item x="311"/>
        <item x="1021"/>
        <item x="537"/>
        <item x="449"/>
        <item x="1059"/>
        <item x="950"/>
        <item x="714"/>
        <item x="227"/>
        <item x="143"/>
        <item x="816"/>
        <item x="234"/>
        <item x="519"/>
        <item x="1111"/>
        <item x="923"/>
        <item x="73"/>
        <item x="958"/>
        <item x="987"/>
        <item x="1041"/>
        <item x="826"/>
        <item x="446"/>
        <item x="786"/>
        <item x="70"/>
        <item x="296"/>
        <item x="656"/>
        <item x="790"/>
        <item x="1036"/>
        <item x="215"/>
        <item x="559"/>
        <item x="883"/>
        <item x="156"/>
        <item x="531"/>
        <item x="162"/>
        <item x="984"/>
        <item x="886"/>
        <item x="539"/>
        <item x="759"/>
        <item x="550"/>
        <item x="301"/>
        <item x="770"/>
        <item x="980"/>
        <item x="1037"/>
        <item x="477"/>
        <item x="807"/>
        <item x="878"/>
        <item x="169"/>
        <item x="1138"/>
        <item x="974"/>
        <item x="1192"/>
        <item x="929"/>
        <item x="716"/>
        <item x="668"/>
        <item x="795"/>
        <item x="407"/>
        <item x="504"/>
        <item x="1107"/>
        <item x="736"/>
        <item x="658"/>
        <item x="876"/>
        <item x="969"/>
        <item x="357"/>
        <item x="401"/>
        <item x="67"/>
        <item x="369"/>
        <item x="1067"/>
        <item x="23"/>
        <item x="238"/>
        <item x="482"/>
        <item x="52"/>
        <item x="259"/>
        <item x="82"/>
        <item x="791"/>
        <item x="653"/>
        <item x="194"/>
        <item x="903"/>
        <item x="822"/>
        <item x="1121"/>
        <item x="231"/>
        <item x="1183"/>
        <item x="657"/>
        <item x="394"/>
        <item x="910"/>
        <item x="758"/>
        <item x="419"/>
        <item x="178"/>
        <item x="752"/>
        <item x="226"/>
        <item x="168"/>
        <item x="983"/>
        <item x="682"/>
        <item x="4"/>
        <item x="560"/>
        <item x="416"/>
        <item x="734"/>
        <item x="973"/>
        <item x="944"/>
        <item x="611"/>
        <item x="619"/>
        <item x="365"/>
        <item x="952"/>
        <item x="694"/>
        <item x="133"/>
        <item x="961"/>
        <item x="225"/>
        <item x="652"/>
        <item x="1055"/>
        <item x="572"/>
        <item x="313"/>
        <item x="277"/>
        <item x="208"/>
        <item x="631"/>
        <item x="366"/>
        <item x="1125"/>
        <item x="739"/>
        <item x="411"/>
        <item x="605"/>
        <item x="742"/>
        <item x="74"/>
        <item x="562"/>
        <item x="799"/>
        <item x="852"/>
        <item x="384"/>
        <item x="1119"/>
        <item x="695"/>
        <item x="669"/>
        <item x="1095"/>
        <item x="680"/>
        <item x="286"/>
        <item x="113"/>
        <item x="778"/>
        <item x="760"/>
        <item x="571"/>
        <item x="591"/>
        <item x="342"/>
        <item x="882"/>
        <item x="593"/>
        <item x="810"/>
        <item x="1064"/>
        <item x="282"/>
        <item x="312"/>
        <item x="58"/>
        <item x="339"/>
        <item x="972"/>
        <item x="370"/>
        <item x="35"/>
        <item x="33"/>
        <item x="781"/>
        <item x="319"/>
        <item x="1079"/>
        <item x="841"/>
        <item x="17"/>
        <item x="767"/>
        <item x="442"/>
        <item x="344"/>
        <item x="310"/>
        <item x="223"/>
        <item x="471"/>
        <item x="181"/>
        <item x="873"/>
        <item x="954"/>
        <item x="641"/>
        <item x="854"/>
        <item x="606"/>
        <item x="27"/>
        <item x="448"/>
        <item x="1114"/>
        <item x="71"/>
        <item x="468"/>
        <item x="1153"/>
        <item x="29"/>
        <item x="763"/>
        <item x="942"/>
        <item x="271"/>
        <item x="426"/>
        <item x="170"/>
        <item x="601"/>
        <item x="1185"/>
        <item x="847"/>
        <item x="667"/>
        <item x="824"/>
        <item x="457"/>
        <item x="317"/>
        <item x="985"/>
        <item x="905"/>
        <item x="642"/>
        <item x="713"/>
        <item x="881"/>
        <item x="872"/>
        <item x="546"/>
        <item x="433"/>
        <item x="220"/>
        <item x="654"/>
        <item x="48"/>
        <item x="596"/>
        <item x="122"/>
        <item x="634"/>
        <item x="1141"/>
        <item x="838"/>
        <item x="510"/>
        <item x="556"/>
        <item x="246"/>
        <item x="3"/>
        <item x="993"/>
        <item x="977"/>
        <item x="1083"/>
        <item x="26"/>
        <item x="216"/>
        <item x="979"/>
        <item x="1101"/>
        <item x="894"/>
        <item x="118"/>
        <item x="599"/>
        <item x="307"/>
        <item x="532"/>
        <item x="996"/>
        <item x="333"/>
        <item x="204"/>
        <item x="602"/>
        <item x="919"/>
        <item x="254"/>
        <item x="1157"/>
        <item x="1179"/>
        <item x="497"/>
        <item x="1143"/>
        <item x="1147"/>
        <item x="1193"/>
        <item x="1082"/>
        <item x="859"/>
        <item x="909"/>
        <item x="997"/>
        <item x="106"/>
        <item x="917"/>
        <item x="670"/>
        <item x="933"/>
        <item x="95"/>
        <item x="242"/>
        <item x="994"/>
        <item x="77"/>
        <item x="829"/>
        <item x="812"/>
        <item x="888"/>
        <item x="343"/>
        <item x="314"/>
        <item x="561"/>
        <item x="541"/>
        <item x="431"/>
        <item x="679"/>
        <item x="542"/>
        <item x="326"/>
        <item x="159"/>
        <item x="802"/>
        <item x="480"/>
        <item x="1071"/>
        <item x="205"/>
        <item x="1042"/>
        <item x="1074"/>
        <item x="360"/>
        <item x="675"/>
        <item x="837"/>
        <item x="1171"/>
        <item x="428"/>
        <item x="1029"/>
        <item x="432"/>
        <item x="276"/>
        <item x="706"/>
        <item x="1124"/>
        <item x="305"/>
        <item x="247"/>
        <item x="292"/>
        <item x="1128"/>
        <item x="1150"/>
        <item x="797"/>
        <item x="1127"/>
        <item x="948"/>
        <item x="1013"/>
        <item x="421"/>
        <item x="184"/>
        <item x="857"/>
        <item x="266"/>
        <item x="334"/>
        <item x="1063"/>
        <item x="203"/>
        <item x="438"/>
        <item x="209"/>
        <item x="65"/>
        <item x="278"/>
        <item x="514"/>
        <item x="569"/>
        <item x="323"/>
        <item x="101"/>
        <item x="1031"/>
        <item x="1160"/>
        <item x="528"/>
        <item x="947"/>
        <item x="377"/>
        <item x="130"/>
        <item x="592"/>
        <item x="898"/>
        <item x="1098"/>
        <item x="1189"/>
        <item x="526"/>
        <item x="152"/>
        <item x="1007"/>
        <item x="536"/>
        <item x="505"/>
        <item x="893"/>
        <item x="183"/>
        <item x="43"/>
        <item x="472"/>
        <item x="80"/>
        <item x="999"/>
        <item x="570"/>
        <item x="525"/>
        <item x="755"/>
        <item x="484"/>
        <item x="787"/>
        <item x="8"/>
        <item x="513"/>
        <item x="90"/>
        <item x="509"/>
        <item x="511"/>
        <item x="931"/>
        <item x="164"/>
        <item x="568"/>
        <item x="499"/>
        <item x="60"/>
        <item x="949"/>
        <item x="1152"/>
        <item x="1040"/>
        <item x="91"/>
        <item x="351"/>
        <item x="378"/>
        <item x="765"/>
        <item x="85"/>
        <item x="1105"/>
        <item x="609"/>
        <item x="860"/>
        <item x="202"/>
        <item x="880"/>
        <item x="718"/>
        <item x="705"/>
        <item x="530"/>
        <item x="166"/>
        <item x="18"/>
        <item x="1009"/>
        <item x="393"/>
        <item x="1072"/>
        <item x="744"/>
        <item x="521"/>
        <item x="404"/>
        <item x="688"/>
        <item x="112"/>
        <item x="720"/>
        <item x="867"/>
        <item x="1129"/>
        <item x="1118"/>
        <item x="290"/>
        <item x="211"/>
        <item x="1039"/>
        <item x="678"/>
        <item x="823"/>
        <item x="191"/>
        <item x="956"/>
        <item x="1195"/>
        <item x="518"/>
        <item x="1002"/>
        <item x="775"/>
        <item x="769"/>
        <item x="348"/>
        <item x="662"/>
        <item x="402"/>
        <item x="251"/>
        <item x="502"/>
        <item x="297"/>
        <item x="1086"/>
        <item x="436"/>
        <item x="934"/>
        <item x="200"/>
        <item x="1093"/>
        <item x="633"/>
        <item x="10"/>
        <item x="273"/>
        <item x="1017"/>
        <item x="936"/>
        <item x="685"/>
        <item x="1116"/>
        <item x="805"/>
        <item x="252"/>
        <item x="349"/>
        <item x="1005"/>
        <item x="835"/>
        <item x="687"/>
        <item x="597"/>
        <item x="1117"/>
        <item x="564"/>
        <item x="757"/>
        <item x="20"/>
        <item x="970"/>
        <item x="19"/>
        <item x="459"/>
        <item x="1091"/>
        <item x="405"/>
        <item x="46"/>
        <item x="263"/>
        <item x="783"/>
        <item x="201"/>
        <item x="373"/>
        <item x="250"/>
        <item x="1052"/>
        <item x="124"/>
        <item x="701"/>
        <item x="496"/>
        <item x="240"/>
        <item x="928"/>
        <item x="912"/>
        <item x="523"/>
        <item x="1096"/>
        <item x="182"/>
        <item x="717"/>
        <item x="549"/>
        <item x="524"/>
        <item x="137"/>
        <item x="125"/>
        <item x="363"/>
        <item x="447"/>
        <item x="462"/>
        <item x="655"/>
        <item x="165"/>
        <item x="926"/>
        <item x="1122"/>
        <item x="1065"/>
        <item x="690"/>
        <item x="155"/>
        <item x="794"/>
        <item x="1151"/>
        <item x="255"/>
        <item x="328"/>
        <item x="1019"/>
        <item x="828"/>
        <item x="573"/>
        <item x="856"/>
        <item x="359"/>
        <item x="719"/>
        <item x="512"/>
        <item x="398"/>
        <item x="483"/>
        <item x="803"/>
        <item x="11"/>
        <item x="1165"/>
        <item x="1044"/>
        <item x="1100"/>
        <item x="230"/>
        <item x="937"/>
        <item x="387"/>
        <item x="56"/>
        <item x="1097"/>
        <item x="632"/>
        <item x="830"/>
        <item x="871"/>
        <item x="262"/>
        <item x="487"/>
        <item x="924"/>
        <item x="968"/>
        <item x="554"/>
        <item x="485"/>
        <item x="478"/>
        <item x="627"/>
        <item x="538"/>
        <item x="677"/>
        <item x="417"/>
        <item x="399"/>
        <item x="51"/>
        <item x="1078"/>
        <item x="13"/>
        <item x="1126"/>
        <item x="1159"/>
        <item x="281"/>
        <item x="664"/>
        <item x="636"/>
        <item x="287"/>
        <item x="651"/>
        <item x="986"/>
        <item x="815"/>
        <item x="927"/>
        <item x="594"/>
        <item x="63"/>
        <item x="1058"/>
        <item x="648"/>
        <item x="329"/>
        <item x="492"/>
        <item x="267"/>
        <item x="811"/>
        <item x="390"/>
        <item x="157"/>
        <item x="295"/>
        <item x="341"/>
        <item x="1194"/>
        <item x="175"/>
        <item x="500"/>
        <item x="1133"/>
        <item x="272"/>
        <item t="default"/>
      </items>
    </pivotField>
    <pivotField showAll="0">
      <items count="1199">
        <item x="78"/>
        <item x="100"/>
        <item x="1115"/>
        <item x="609"/>
        <item x="219"/>
        <item x="729"/>
        <item x="1150"/>
        <item x="614"/>
        <item x="55"/>
        <item x="671"/>
        <item x="574"/>
        <item x="109"/>
        <item x="174"/>
        <item x="135"/>
        <item x="824"/>
        <item x="841"/>
        <item x="374"/>
        <item x="1168"/>
        <item x="507"/>
        <item x="562"/>
        <item x="314"/>
        <item x="394"/>
        <item x="214"/>
        <item x="442"/>
        <item x="576"/>
        <item x="982"/>
        <item x="354"/>
        <item x="954"/>
        <item x="30"/>
        <item x="145"/>
        <item x="475"/>
        <item x="103"/>
        <item x="849"/>
        <item x="515"/>
        <item x="172"/>
        <item x="887"/>
        <item x="399"/>
        <item x="237"/>
        <item x="412"/>
        <item x="283"/>
        <item x="889"/>
        <item x="999"/>
        <item x="1174"/>
        <item x="217"/>
        <item x="144"/>
        <item x="1046"/>
        <item x="552"/>
        <item x="943"/>
        <item x="914"/>
        <item x="115"/>
        <item x="624"/>
        <item x="86"/>
        <item x="40"/>
        <item x="92"/>
        <item x="349"/>
        <item x="1180"/>
        <item x="69"/>
        <item x="424"/>
        <item x="526"/>
        <item x="391"/>
        <item x="98"/>
        <item x="907"/>
        <item x="709"/>
        <item x="1139"/>
        <item x="1020"/>
        <item x="324"/>
        <item x="28"/>
        <item x="438"/>
        <item x="755"/>
        <item x="673"/>
        <item x="387"/>
        <item x="149"/>
        <item x="330"/>
        <item x="346"/>
        <item x="139"/>
        <item x="1138"/>
        <item x="222"/>
        <item x="197"/>
        <item x="792"/>
        <item x="1068"/>
        <item x="603"/>
        <item x="645"/>
        <item x="345"/>
        <item x="1178"/>
        <item x="329"/>
        <item x="363"/>
        <item x="179"/>
        <item x="381"/>
        <item x="742"/>
        <item x="1184"/>
        <item x="670"/>
        <item x="1026"/>
        <item x="105"/>
        <item x="326"/>
        <item x="59"/>
        <item x="1007"/>
        <item x="727"/>
        <item x="453"/>
        <item x="382"/>
        <item x="142"/>
        <item x="493"/>
        <item x="660"/>
        <item x="528"/>
        <item x="303"/>
        <item x="775"/>
        <item x="123"/>
        <item x="839"/>
        <item x="720"/>
        <item x="920"/>
        <item x="97"/>
        <item x="956"/>
        <item x="1081"/>
        <item x="622"/>
        <item x="158"/>
        <item x="586"/>
        <item x="75"/>
        <item x="711"/>
        <item x="408"/>
        <item x="1164"/>
        <item x="99"/>
        <item x="832"/>
        <item x="629"/>
        <item x="429"/>
        <item x="544"/>
        <item x="120"/>
        <item x="1015"/>
        <item x="728"/>
        <item x="602"/>
        <item x="190"/>
        <item x="50"/>
        <item x="1106"/>
        <item x="443"/>
        <item x="1038"/>
        <item x="1125"/>
        <item x="344"/>
        <item x="62"/>
        <item x="1016"/>
        <item x="146"/>
        <item x="539"/>
        <item x="1049"/>
        <item x="680"/>
        <item x="37"/>
        <item x="1030"/>
        <item x="1177"/>
        <item x="451"/>
        <item x="395"/>
        <item x="1070"/>
        <item x="265"/>
        <item x="853"/>
        <item x="195"/>
        <item x="177"/>
        <item x="813"/>
        <item x="803"/>
        <item x="288"/>
        <item x="696"/>
        <item x="258"/>
        <item x="761"/>
        <item x="830"/>
        <item x="723"/>
        <item x="245"/>
        <item x="1122"/>
        <item x="1075"/>
        <item x="581"/>
        <item x="564"/>
        <item x="151"/>
        <item x="378"/>
        <item x="616"/>
        <item x="961"/>
        <item x="952"/>
        <item x="57"/>
        <item x="625"/>
        <item x="788"/>
        <item x="49"/>
        <item x="820"/>
        <item x="514"/>
        <item x="1172"/>
        <item x="405"/>
        <item x="492"/>
        <item x="351"/>
        <item x="462"/>
        <item x="692"/>
        <item x="855"/>
        <item x="466"/>
        <item x="1045"/>
        <item x="307"/>
        <item x="862"/>
        <item x="779"/>
        <item x="319"/>
        <item x="171"/>
        <item x="487"/>
        <item x="93"/>
        <item x="1179"/>
        <item x="260"/>
        <item x="732"/>
        <item x="1069"/>
        <item x="908"/>
        <item x="1084"/>
        <item x="284"/>
        <item x="1176"/>
        <item x="1160"/>
        <item x="901"/>
        <item x="160"/>
        <item x="916"/>
        <item x="1050"/>
        <item x="148"/>
        <item x="463"/>
        <item x="206"/>
        <item x="464"/>
        <item x="1034"/>
        <item x="274"/>
        <item x="444"/>
        <item x="1189"/>
        <item x="963"/>
        <item x="662"/>
        <item x="421"/>
        <item x="108"/>
        <item x="38"/>
        <item x="682"/>
        <item x="858"/>
        <item x="1170"/>
        <item x="900"/>
        <item x="439"/>
        <item x="1112"/>
        <item x="337"/>
        <item x="45"/>
        <item x="783"/>
        <item x="938"/>
        <item x="9"/>
        <item x="261"/>
        <item x="134"/>
        <item x="193"/>
        <item x="1053"/>
        <item x="297"/>
        <item x="380"/>
        <item x="918"/>
        <item x="577"/>
        <item x="703"/>
        <item x="1171"/>
        <item x="767"/>
        <item x="289"/>
        <item x="452"/>
        <item x="566"/>
        <item x="607"/>
        <item x="946"/>
        <item x="506"/>
        <item x="102"/>
        <item x="32"/>
        <item x="534"/>
        <item x="218"/>
        <item x="902"/>
        <item x="911"/>
        <item x="173"/>
        <item x="1033"/>
        <item x="1132"/>
        <item x="136"/>
        <item x="826"/>
        <item x="500"/>
        <item x="913"/>
        <item x="1117"/>
        <item x="1148"/>
        <item x="784"/>
        <item x="1158"/>
        <item x="253"/>
        <item x="584"/>
        <item x="644"/>
        <item x="637"/>
        <item x="958"/>
        <item x="706"/>
        <item x="1043"/>
        <item x="371"/>
        <item x="323"/>
        <item x="613"/>
        <item x="870"/>
        <item x="724"/>
        <item x="379"/>
        <item x="1066"/>
        <item x="816"/>
        <item x="94"/>
        <item x="54"/>
        <item x="360"/>
        <item x="129"/>
        <item x="241"/>
        <item x="474"/>
        <item x="874"/>
        <item x="212"/>
        <item x="39"/>
        <item x="993"/>
        <item x="749"/>
        <item x="308"/>
        <item x="1025"/>
        <item x="731"/>
        <item x="833"/>
        <item x="791"/>
        <item x="121"/>
        <item x="221"/>
        <item x="877"/>
        <item x="469"/>
        <item x="519"/>
        <item x="885"/>
        <item x="455"/>
        <item x="745"/>
        <item x="739"/>
        <item x="615"/>
        <item x="1147"/>
        <item x="606"/>
        <item x="428"/>
        <item x="621"/>
        <item x="334"/>
        <item x="25"/>
        <item x="489"/>
        <item x="1141"/>
        <item x="765"/>
        <item x="960"/>
        <item x="875"/>
        <item x="776"/>
        <item x="1023"/>
        <item x="459"/>
        <item x="1057"/>
        <item x="726"/>
        <item x="892"/>
        <item x="293"/>
        <item x="1105"/>
        <item x="12"/>
        <item x="649"/>
        <item x="746"/>
        <item x="270"/>
        <item x="1028"/>
        <item x="24"/>
        <item x="285"/>
        <item x="111"/>
        <item x="722"/>
        <item x="213"/>
        <item x="710"/>
        <item x="1004"/>
        <item x="1001"/>
        <item x="643"/>
        <item x="1183"/>
        <item x="186"/>
        <item x="335"/>
        <item x="1134"/>
        <item x="848"/>
        <item x="1054"/>
        <item x="1114"/>
        <item x="1"/>
        <item x="472"/>
        <item x="21"/>
        <item x="396"/>
        <item x="664"/>
        <item x="747"/>
        <item x="433"/>
        <item x="83"/>
        <item x="1137"/>
        <item x="232"/>
        <item x="1011"/>
        <item x="239"/>
        <item x="915"/>
        <item x="87"/>
        <item x="795"/>
        <item x="1024"/>
        <item x="1062"/>
        <item x="941"/>
        <item x="127"/>
        <item x="207"/>
        <item x="1165"/>
        <item x="367"/>
        <item x="269"/>
        <item x="298"/>
        <item x="15"/>
        <item x="619"/>
        <item x="1157"/>
        <item x="599"/>
        <item x="236"/>
        <item x="1085"/>
        <item x="565"/>
        <item x="939"/>
        <item x="554"/>
        <item x="702"/>
        <item x="1133"/>
        <item x="547"/>
        <item x="141"/>
        <item x="707"/>
        <item x="760"/>
        <item x="817"/>
        <item x="972"/>
        <item x="899"/>
        <item x="932"/>
        <item x="842"/>
        <item x="198"/>
        <item x="583"/>
        <item x="891"/>
        <item x="922"/>
        <item x="1012"/>
        <item x="1009"/>
        <item x="964"/>
        <item x="861"/>
        <item x="612"/>
        <item x="864"/>
        <item x="863"/>
        <item x="31"/>
        <item x="436"/>
        <item x="778"/>
        <item x="229"/>
        <item x="315"/>
        <item x="497"/>
        <item x="14"/>
        <item x="473"/>
        <item x="597"/>
        <item x="865"/>
        <item x="1089"/>
        <item x="352"/>
        <item x="228"/>
        <item x="808"/>
        <item x="61"/>
        <item x="580"/>
        <item x="385"/>
        <item x="831"/>
        <item x="167"/>
        <item x="104"/>
        <item x="47"/>
        <item x="695"/>
        <item x="967"/>
        <item x="76"/>
        <item x="1080"/>
        <item x="96"/>
        <item x="843"/>
        <item x="478"/>
        <item x="966"/>
        <item x="147"/>
        <item x="317"/>
        <item x="423"/>
        <item x="1005"/>
        <item x="1142"/>
        <item x="66"/>
        <item x="1092"/>
        <item x="611"/>
        <item x="494"/>
        <item x="850"/>
        <item x="150"/>
        <item x="1136"/>
        <item x="110"/>
        <item x="921"/>
        <item x="235"/>
        <item x="36"/>
        <item x="685"/>
        <item x="1047"/>
        <item x="744"/>
        <item x="275"/>
        <item x="725"/>
        <item x="763"/>
        <item x="138"/>
        <item x="736"/>
        <item x="1104"/>
        <item x="1108"/>
        <item x="906"/>
        <item x="388"/>
        <item x="336"/>
        <item x="320"/>
        <item x="16"/>
        <item x="884"/>
        <item x="355"/>
        <item x="280"/>
        <item x="465"/>
        <item x="34"/>
        <item x="53"/>
        <item x="787"/>
        <item x="1169"/>
        <item x="701"/>
        <item x="375"/>
        <item x="578"/>
        <item x="648"/>
        <item x="550"/>
        <item x="546"/>
        <item x="373"/>
        <item x="233"/>
        <item x="1156"/>
        <item x="753"/>
        <item x="521"/>
        <item x="940"/>
        <item x="1056"/>
        <item x="879"/>
        <item x="162"/>
        <item x="366"/>
        <item x="770"/>
        <item x="1111"/>
        <item x="925"/>
        <item x="968"/>
        <item x="457"/>
        <item x="797"/>
        <item x="667"/>
        <item x="620"/>
        <item x="268"/>
        <item x="735"/>
        <item x="41"/>
        <item x="1186"/>
        <item x="904"/>
        <item x="402"/>
        <item x="594"/>
        <item x="585"/>
        <item x="1060"/>
        <item x="1035"/>
        <item x="634"/>
        <item x="81"/>
        <item x="628"/>
        <item x="243"/>
        <item x="1090"/>
        <item x="116"/>
        <item x="800"/>
        <item x="897"/>
        <item x="384"/>
        <item x="426"/>
        <item x="294"/>
        <item x="866"/>
        <item x="1022"/>
        <item x="636"/>
        <item x="196"/>
        <item x="1192"/>
        <item x="1018"/>
        <item x="543"/>
        <item x="734"/>
        <item x="818"/>
        <item x="44"/>
        <item x="989"/>
        <item x="1073"/>
        <item x="740"/>
        <item x="976"/>
        <item x="1032"/>
        <item x="168"/>
        <item x="1123"/>
        <item x="819"/>
        <item x="210"/>
        <item x="929"/>
        <item x="698"/>
        <item x="530"/>
        <item x="279"/>
        <item x="413"/>
        <item x="390"/>
        <item x="1100"/>
        <item x="1088"/>
        <item x="119"/>
        <item x="659"/>
        <item x="638"/>
        <item x="985"/>
        <item x="838"/>
        <item x="983"/>
        <item x="587"/>
        <item x="488"/>
        <item x="1027"/>
        <item x="910"/>
        <item x="194"/>
        <item x="42"/>
        <item x="1094"/>
        <item x="646"/>
        <item x="368"/>
        <item x="68"/>
        <item x="807"/>
        <item x="708"/>
        <item x="642"/>
        <item x="844"/>
        <item x="490"/>
        <item x="657"/>
        <item x="890"/>
        <item x="257"/>
        <item x="89"/>
        <item x="542"/>
        <item x="485"/>
        <item x="959"/>
        <item x="5"/>
        <item x="556"/>
        <item x="1185"/>
        <item x="799"/>
        <item x="448"/>
        <item x="406"/>
        <item x="357"/>
        <item x="1014"/>
        <item x="1061"/>
        <item x="131"/>
        <item x="1077"/>
        <item x="502"/>
        <item x="440"/>
        <item x="248"/>
        <item x="226"/>
        <item x="651"/>
        <item x="532"/>
        <item x="445"/>
        <item x="480"/>
        <item x="610"/>
        <item x="1190"/>
        <item x="805"/>
        <item x="74"/>
        <item x="0"/>
        <item x="773"/>
        <item x="4"/>
        <item x="658"/>
        <item x="192"/>
        <item x="672"/>
        <item x="697"/>
        <item x="88"/>
        <item x="249"/>
        <item x="588"/>
        <item x="688"/>
        <item x="1144"/>
        <item x="942"/>
        <item x="806"/>
        <item x="82"/>
        <item x="1146"/>
        <item x="71"/>
        <item x="411"/>
        <item x="845"/>
        <item x="505"/>
        <item x="460"/>
        <item x="277"/>
        <item x="1059"/>
        <item x="64"/>
        <item x="67"/>
        <item x="561"/>
        <item x="750"/>
        <item x="1166"/>
        <item x="72"/>
        <item x="1194"/>
        <item x="1116"/>
        <item x="434"/>
        <item x="321"/>
        <item x="714"/>
        <item x="301"/>
        <item x="691"/>
        <item x="299"/>
        <item x="1121"/>
        <item x="409"/>
        <item x="781"/>
        <item x="965"/>
        <item x="1079"/>
        <item x="752"/>
        <item x="886"/>
        <item x="154"/>
        <item x="895"/>
        <item x="244"/>
        <item x="590"/>
        <item x="665"/>
        <item x="70"/>
        <item x="117"/>
        <item x="538"/>
        <item x="79"/>
        <item x="107"/>
        <item x="589"/>
        <item x="17"/>
        <item x="840"/>
        <item x="410"/>
        <item x="981"/>
        <item x="1048"/>
        <item x="977"/>
        <item x="476"/>
        <item x="331"/>
        <item x="979"/>
        <item x="316"/>
        <item x="454"/>
        <item x="815"/>
        <item x="769"/>
        <item x="259"/>
        <item x="140"/>
        <item x="305"/>
        <item x="630"/>
        <item x="573"/>
        <item x="518"/>
        <item x="812"/>
        <item x="23"/>
        <item x="1002"/>
        <item x="748"/>
        <item x="617"/>
        <item x="909"/>
        <item x="633"/>
        <item x="852"/>
        <item x="533"/>
        <item x="215"/>
        <item x="407"/>
        <item x="801"/>
        <item x="468"/>
        <item x="254"/>
        <item x="595"/>
        <item x="699"/>
        <item x="869"/>
        <item x="449"/>
        <item x="48"/>
        <item x="29"/>
        <item x="189"/>
        <item x="152"/>
        <item x="188"/>
        <item x="170"/>
        <item x="156"/>
        <item x="1095"/>
        <item x="737"/>
        <item x="851"/>
        <item x="730"/>
        <item x="582"/>
        <item x="185"/>
        <item x="22"/>
        <item x="1087"/>
        <item x="777"/>
        <item x="496"/>
        <item x="947"/>
        <item x="639"/>
        <item x="1036"/>
        <item x="199"/>
        <item x="558"/>
        <item x="560"/>
        <item x="513"/>
        <item x="365"/>
        <item x="447"/>
        <item x="246"/>
        <item x="693"/>
        <item x="516"/>
        <item x="1083"/>
        <item x="479"/>
        <item x="132"/>
        <item x="605"/>
        <item x="311"/>
        <item x="361"/>
        <item x="133"/>
        <item x="1037"/>
        <item x="754"/>
        <item x="2"/>
        <item x="1021"/>
        <item x="291"/>
        <item x="52"/>
        <item x="353"/>
        <item x="545"/>
        <item x="432"/>
        <item x="828"/>
        <item x="896"/>
        <item x="992"/>
        <item x="575"/>
        <item x="310"/>
        <item x="26"/>
        <item x="1082"/>
        <item x="627"/>
        <item x="264"/>
        <item x="470"/>
        <item x="1149"/>
        <item x="878"/>
        <item x="393"/>
        <item x="978"/>
        <item x="974"/>
        <item x="143"/>
        <item x="90"/>
        <item x="945"/>
        <item x="690"/>
        <item x="312"/>
        <item x="991"/>
        <item x="796"/>
        <item x="655"/>
        <item x="675"/>
        <item x="1193"/>
        <item x="302"/>
        <item x="338"/>
        <item x="935"/>
        <item x="990"/>
        <item x="970"/>
        <item x="930"/>
        <item x="33"/>
        <item x="114"/>
        <item x="84"/>
        <item x="161"/>
        <item x="883"/>
        <item x="414"/>
        <item x="509"/>
        <item x="1076"/>
        <item x="1181"/>
        <item x="846"/>
        <item x="1175"/>
        <item x="339"/>
        <item x="58"/>
        <item x="834"/>
        <item x="450"/>
        <item x="1151"/>
        <item x="290"/>
        <item x="7"/>
        <item x="771"/>
        <item x="557"/>
        <item x="934"/>
        <item x="984"/>
        <item x="296"/>
        <item x="417"/>
        <item x="511"/>
        <item x="203"/>
        <item x="1042"/>
        <item x="1110"/>
        <item x="266"/>
        <item x="256"/>
        <item x="73"/>
        <item x="579"/>
        <item x="419"/>
        <item x="1067"/>
        <item x="1051"/>
        <item x="300"/>
        <item x="718"/>
        <item x="666"/>
        <item x="224"/>
        <item x="872"/>
        <item x="1163"/>
        <item x="571"/>
        <item x="876"/>
        <item x="169"/>
        <item x="683"/>
        <item x="1188"/>
        <item x="1098"/>
        <item x="551"/>
        <item x="668"/>
        <item x="370"/>
        <item x="1055"/>
        <item x="950"/>
        <item x="77"/>
        <item x="996"/>
        <item x="383"/>
        <item x="995"/>
        <item x="880"/>
        <item x="905"/>
        <item x="531"/>
        <item x="178"/>
        <item x="559"/>
        <item x="306"/>
        <item x="176"/>
        <item x="772"/>
        <item x="847"/>
        <item x="225"/>
        <item x="955"/>
        <item x="369"/>
        <item x="231"/>
        <item x="1153"/>
        <item x="1041"/>
        <item x="282"/>
        <item x="604"/>
        <item x="785"/>
        <item x="653"/>
        <item x="600"/>
        <item x="262"/>
        <item x="80"/>
        <item x="669"/>
        <item x="794"/>
        <item x="835"/>
        <item x="427"/>
        <item x="1182"/>
        <item x="888"/>
        <item x="1128"/>
        <item x="721"/>
        <item x="204"/>
        <item x="759"/>
        <item x="180"/>
        <item x="1019"/>
        <item x="1155"/>
        <item x="821"/>
        <item x="825"/>
        <item x="1130"/>
        <item x="273"/>
        <item x="322"/>
        <item x="364"/>
        <item x="1140"/>
        <item x="6"/>
        <item x="789"/>
        <item x="738"/>
        <item x="238"/>
        <item x="868"/>
        <item x="128"/>
        <item x="187"/>
        <item x="623"/>
        <item x="181"/>
        <item x="823"/>
        <item x="208"/>
        <item x="953"/>
        <item x="517"/>
        <item x="857"/>
        <item x="510"/>
        <item x="227"/>
        <item x="1103"/>
        <item x="1159"/>
        <item x="679"/>
        <item x="126"/>
        <item x="988"/>
        <item x="304"/>
        <item x="689"/>
        <item x="705"/>
        <item x="549"/>
        <item x="536"/>
        <item x="1143"/>
        <item x="811"/>
        <item x="347"/>
        <item x="1040"/>
        <item x="398"/>
        <item x="182"/>
        <item x="641"/>
        <item x="951"/>
        <item x="1113"/>
        <item x="882"/>
        <item x="780"/>
        <item x="163"/>
        <item x="512"/>
        <item x="286"/>
        <item x="923"/>
        <item x="881"/>
        <item x="944"/>
        <item x="343"/>
        <item x="1058"/>
        <item x="153"/>
        <item x="425"/>
        <item x="766"/>
        <item x="422"/>
        <item x="608"/>
        <item x="498"/>
        <item x="278"/>
        <item x="681"/>
        <item x="1195"/>
        <item x="975"/>
        <item x="631"/>
        <item x="1154"/>
        <item x="1013"/>
        <item x="1109"/>
        <item x="741"/>
        <item x="486"/>
        <item x="431"/>
        <item x="313"/>
        <item x="762"/>
        <item x="35"/>
        <item x="234"/>
        <item x="790"/>
        <item x="591"/>
        <item x="404"/>
        <item x="503"/>
        <item x="446"/>
        <item x="678"/>
        <item x="456"/>
        <item x="481"/>
        <item x="1187"/>
        <item x="1127"/>
        <item x="401"/>
        <item x="341"/>
        <item x="980"/>
        <item x="230"/>
        <item x="418"/>
        <item x="893"/>
        <item x="201"/>
        <item x="652"/>
        <item x="359"/>
        <item x="350"/>
        <item x="713"/>
        <item x="986"/>
        <item x="520"/>
        <item x="798"/>
        <item x="572"/>
        <item x="95"/>
        <item x="46"/>
        <item x="20"/>
        <item x="541"/>
        <item x="694"/>
        <item x="415"/>
        <item x="632"/>
        <item x="764"/>
        <item x="804"/>
        <item x="333"/>
        <item x="687"/>
        <item x="656"/>
        <item x="400"/>
        <item x="733"/>
        <item x="969"/>
        <item x="11"/>
        <item x="416"/>
        <item x="757"/>
        <item x="482"/>
        <item x="898"/>
        <item x="758"/>
        <item x="430"/>
        <item x="65"/>
        <item x="661"/>
        <item x="1065"/>
        <item x="1126"/>
        <item x="786"/>
        <item x="175"/>
        <item x="8"/>
        <item x="1091"/>
        <item x="91"/>
        <item x="903"/>
        <item x="873"/>
        <item x="356"/>
        <item x="712"/>
        <item x="467"/>
        <item x="318"/>
        <item x="1003"/>
        <item x="112"/>
        <item x="1119"/>
        <item x="220"/>
        <item x="255"/>
        <item x="973"/>
        <item x="471"/>
        <item x="1010"/>
        <item x="377"/>
        <item x="1129"/>
        <item x="837"/>
        <item x="535"/>
        <item x="715"/>
        <item x="937"/>
        <item x="962"/>
        <item x="325"/>
        <item x="60"/>
        <item x="276"/>
        <item x="340"/>
        <item x="1029"/>
        <item x="1074"/>
        <item x="933"/>
        <item x="809"/>
        <item x="1064"/>
        <item x="700"/>
        <item x="166"/>
        <item x="165"/>
        <item x="871"/>
        <item x="43"/>
        <item x="751"/>
        <item x="242"/>
        <item x="555"/>
        <item x="793"/>
        <item x="106"/>
        <item x="1052"/>
        <item x="592"/>
        <item x="118"/>
        <item x="601"/>
        <item x="949"/>
        <item x="677"/>
        <item x="113"/>
        <item x="1031"/>
        <item x="802"/>
        <item x="743"/>
        <item x="309"/>
        <item x="676"/>
        <item x="51"/>
        <item x="997"/>
        <item x="332"/>
        <item x="441"/>
        <item x="570"/>
        <item x="854"/>
        <item x="618"/>
        <item x="122"/>
        <item x="598"/>
        <item x="1008"/>
        <item x="247"/>
        <item x="461"/>
        <item x="704"/>
        <item x="183"/>
        <item x="403"/>
        <item x="216"/>
        <item x="205"/>
        <item x="1118"/>
        <item x="768"/>
        <item x="1145"/>
        <item x="495"/>
        <item x="27"/>
        <item x="1152"/>
        <item x="3"/>
        <item x="130"/>
        <item x="829"/>
        <item x="13"/>
        <item x="101"/>
        <item x="856"/>
        <item x="155"/>
        <item x="926"/>
        <item x="640"/>
        <item x="124"/>
        <item x="567"/>
        <item x="501"/>
        <item x="392"/>
        <item x="936"/>
        <item x="822"/>
        <item x="1096"/>
        <item x="292"/>
        <item x="209"/>
        <item x="137"/>
        <item x="537"/>
        <item x="240"/>
        <item x="420"/>
        <item x="477"/>
        <item x="971"/>
        <item x="931"/>
        <item x="223"/>
        <item x="271"/>
        <item x="717"/>
        <item x="1107"/>
        <item x="263"/>
        <item x="1120"/>
        <item x="200"/>
        <item x="1063"/>
        <item x="483"/>
        <item x="1072"/>
        <item x="635"/>
        <item x="894"/>
        <item x="860"/>
        <item x="504"/>
        <item x="1102"/>
        <item x="686"/>
        <item x="508"/>
        <item x="1006"/>
        <item x="18"/>
        <item x="437"/>
        <item x="362"/>
        <item x="859"/>
        <item x="1078"/>
        <item x="524"/>
        <item x="1093"/>
        <item x="499"/>
        <item x="994"/>
        <item x="372"/>
        <item x="650"/>
        <item x="211"/>
        <item x="569"/>
        <item x="522"/>
        <item x="1000"/>
        <item x="540"/>
        <item x="376"/>
        <item x="998"/>
        <item x="252"/>
        <item x="917"/>
        <item x="836"/>
        <item x="327"/>
        <item x="397"/>
        <item x="159"/>
        <item x="674"/>
        <item x="85"/>
        <item x="782"/>
        <item x="348"/>
        <item x="251"/>
        <item x="358"/>
        <item x="919"/>
        <item x="1124"/>
        <item x="756"/>
        <item x="1044"/>
        <item x="548"/>
        <item x="184"/>
        <item x="948"/>
        <item x="527"/>
        <item x="525"/>
        <item x="1086"/>
        <item x="912"/>
        <item x="1071"/>
        <item x="342"/>
        <item x="1162"/>
        <item x="774"/>
        <item x="529"/>
        <item x="1017"/>
        <item x="1173"/>
        <item x="684"/>
        <item x="1191"/>
        <item x="568"/>
        <item x="716"/>
        <item x="719"/>
        <item x="491"/>
        <item x="563"/>
        <item x="810"/>
        <item x="596"/>
        <item x="1099"/>
        <item x="867"/>
        <item x="164"/>
        <item x="1039"/>
        <item x="957"/>
        <item x="523"/>
        <item x="125"/>
        <item x="1167"/>
        <item x="202"/>
        <item x="593"/>
        <item x="250"/>
        <item x="928"/>
        <item x="1197"/>
        <item x="814"/>
        <item x="1131"/>
        <item x="924"/>
        <item x="328"/>
        <item x="10"/>
        <item x="1097"/>
        <item x="458"/>
        <item x="1101"/>
        <item x="267"/>
        <item x="435"/>
        <item x="281"/>
        <item x="191"/>
        <item x="654"/>
        <item x="386"/>
        <item x="987"/>
        <item x="1161"/>
        <item x="626"/>
        <item x="663"/>
        <item x="389"/>
        <item x="19"/>
        <item x="484"/>
        <item x="827"/>
        <item x="56"/>
        <item x="553"/>
        <item x="1135"/>
        <item x="287"/>
        <item x="927"/>
        <item x="647"/>
        <item x="63"/>
        <item x="1196"/>
        <item x="295"/>
        <item x="157"/>
        <item x="272"/>
        <item t="default"/>
      </items>
    </pivotField>
    <pivotField showAll="0"/>
    <pivotField showAll="0"/>
    <pivotField showAll="0">
      <items count="17">
        <item x="1"/>
        <item x="13"/>
        <item x="3"/>
        <item x="12"/>
        <item x="7"/>
        <item x="6"/>
        <item x="8"/>
        <item x="0"/>
        <item x="14"/>
        <item x="4"/>
        <item x="10"/>
        <item x="9"/>
        <item x="15"/>
        <item x="11"/>
        <item x="5"/>
        <item x="2"/>
        <item t="default"/>
      </items>
    </pivotField>
    <pivotField dataField="1" showAll="0"/>
    <pivotField numFmtId="10" showAll="0"/>
    <pivotField numFmtId="10" showAll="0">
      <items count="1201">
        <item x="19"/>
        <item x="191"/>
        <item x="379"/>
        <item x="1089"/>
        <item x="343"/>
        <item x="1194"/>
        <item x="1175"/>
        <item x="335"/>
        <item x="840"/>
        <item x="180"/>
        <item x="223"/>
        <item x="920"/>
        <item x="846"/>
        <item x="435"/>
        <item x="1053"/>
        <item x="595"/>
        <item x="187"/>
        <item x="354"/>
        <item x="1073"/>
        <item x="224"/>
        <item x="735"/>
        <item x="126"/>
        <item x="716"/>
        <item x="1101"/>
        <item x="618"/>
        <item x="1133"/>
        <item x="828"/>
        <item x="202"/>
        <item x="474"/>
        <item x="940"/>
        <item x="698"/>
        <item x="650"/>
        <item x="619"/>
        <item x="1143"/>
        <item x="714"/>
        <item x="436"/>
        <item x="931"/>
        <item x="346"/>
        <item x="362"/>
        <item x="423"/>
        <item x="722"/>
        <item x="980"/>
        <item x="752"/>
        <item x="554"/>
        <item x="409"/>
        <item x="569"/>
        <item x="553"/>
        <item x="164"/>
        <item x="271"/>
        <item x="56"/>
        <item x="415"/>
        <item x="63"/>
        <item x="22"/>
        <item x="712"/>
        <item x="1165"/>
        <item x="7"/>
        <item x="1193"/>
        <item x="72"/>
        <item x="639"/>
        <item x="792"/>
        <item x="287"/>
        <item x="759"/>
        <item x="272"/>
        <item x="1062"/>
        <item x="995"/>
        <item x="357"/>
        <item x="625"/>
        <item x="176"/>
        <item x="1136"/>
        <item x="1008"/>
        <item x="1164"/>
        <item x="294"/>
        <item x="199"/>
        <item x="157"/>
        <item x="1000"/>
        <item x="153"/>
        <item x="10"/>
        <item x="1173"/>
        <item x="1199"/>
        <item x="475"/>
        <item x="485"/>
        <item x="184"/>
        <item x="890"/>
        <item x="918"/>
        <item x="1180"/>
        <item x="922"/>
        <item x="923"/>
        <item x="131"/>
        <item x="999"/>
        <item x="295"/>
        <item x="1030"/>
        <item x="641"/>
        <item x="159"/>
        <item x="967"/>
        <item x="675"/>
        <item x="15"/>
        <item x="459"/>
        <item x="528"/>
        <item x="526"/>
        <item x="949"/>
        <item x="655"/>
        <item x="1168"/>
        <item x="234"/>
        <item x="1036"/>
        <item x="868"/>
        <item x="450"/>
        <item x="163"/>
        <item x="368"/>
        <item x="904"/>
        <item x="916"/>
        <item x="991"/>
        <item x="1184"/>
        <item x="1105"/>
        <item x="1191"/>
        <item x="808"/>
        <item x="571"/>
        <item x="256"/>
        <item x="1041"/>
        <item x="648"/>
        <item x="1104"/>
        <item x="627"/>
        <item x="958"/>
        <item x="353"/>
        <item x="161"/>
        <item x="541"/>
        <item x="837"/>
        <item x="676"/>
        <item x="622"/>
        <item x="817"/>
        <item x="628"/>
        <item x="64"/>
        <item x="895"/>
        <item x="860"/>
        <item x="179"/>
        <item x="21"/>
        <item x="401"/>
        <item x="113"/>
        <item x="600"/>
        <item x="963"/>
        <item x="387"/>
        <item x="1045"/>
        <item x="876"/>
        <item x="533"/>
        <item x="720"/>
        <item x="898"/>
        <item x="332"/>
        <item x="1017"/>
        <item x="613"/>
        <item x="6"/>
        <item x="135"/>
        <item x="1178"/>
        <item x="530"/>
        <item x="897"/>
        <item x="93"/>
        <item x="993"/>
        <item x="414"/>
        <item x="192"/>
        <item x="612"/>
        <item x="928"/>
        <item x="1163"/>
        <item x="1071"/>
        <item x="773"/>
        <item x="27"/>
        <item x="764"/>
        <item x="1190"/>
        <item x="593"/>
        <item x="832"/>
        <item x="574"/>
        <item x="149"/>
        <item x="371"/>
        <item x="1198"/>
        <item x="279"/>
        <item x="657"/>
        <item x="691"/>
        <item x="315"/>
        <item x="929"/>
        <item x="250"/>
        <item x="952"/>
        <item x="869"/>
        <item x="758"/>
        <item x="565"/>
        <item x="185"/>
        <item x="442"/>
        <item x="558"/>
        <item x="664"/>
        <item x="727"/>
        <item x="537"/>
        <item x="859"/>
        <item x="624"/>
        <item x="128"/>
        <item x="456"/>
        <item x="1103"/>
        <item x="1112"/>
        <item x="1013"/>
        <item x="1066"/>
        <item x="810"/>
        <item x="653"/>
        <item x="997"/>
        <item x="768"/>
        <item x="504"/>
        <item x="924"/>
        <item x="310"/>
        <item x="1099"/>
        <item x="629"/>
        <item x="732"/>
        <item x="597"/>
        <item x="961"/>
        <item x="377"/>
        <item x="1115"/>
        <item x="936"/>
        <item x="503"/>
        <item x="855"/>
        <item x="775"/>
        <item x="919"/>
        <item x="281"/>
        <item x="303"/>
        <item x="385"/>
        <item x="482"/>
        <item x="564"/>
        <item x="581"/>
        <item x="361"/>
        <item x="734"/>
        <item x="125"/>
        <item x="577"/>
        <item x="524"/>
        <item x="915"/>
        <item x="847"/>
        <item x="85"/>
        <item x="1029"/>
        <item x="243"/>
        <item x="1174"/>
        <item x="25"/>
        <item x="851"/>
        <item x="925"/>
        <item x="751"/>
        <item x="416"/>
        <item x="685"/>
        <item x="173"/>
        <item x="1192"/>
        <item x="309"/>
        <item x="891"/>
        <item x="1019"/>
        <item x="681"/>
        <item x="1048"/>
        <item x="1001"/>
        <item x="227"/>
        <item x="836"/>
        <item x="174"/>
        <item x="419"/>
        <item x="299"/>
        <item x="984"/>
        <item x="1088"/>
        <item x="643"/>
        <item x="746"/>
        <item x="570"/>
        <item x="976"/>
        <item x="438"/>
        <item x="1111"/>
        <item x="791"/>
        <item x="844"/>
        <item x="856"/>
        <item x="508"/>
        <item x="1172"/>
        <item x="1070"/>
        <item x="692"/>
        <item x="1102"/>
        <item x="1169"/>
        <item x="834"/>
        <item x="709"/>
        <item x="575"/>
        <item x="989"/>
        <item x="1006"/>
        <item x="974"/>
        <item x="862"/>
        <item x="1149"/>
        <item x="525"/>
        <item x="696"/>
        <item x="24"/>
        <item x="489"/>
        <item x="1065"/>
        <item x="580"/>
        <item x="3"/>
        <item x="136"/>
        <item x="382"/>
        <item x="608"/>
        <item x="896"/>
        <item x="737"/>
        <item x="1181"/>
        <item x="1114"/>
        <item x="1100"/>
        <item x="977"/>
        <item x="319"/>
        <item x="392"/>
        <item x="731"/>
        <item x="684"/>
        <item x="717"/>
        <item x="1052"/>
        <item x="550"/>
        <item x="421"/>
        <item x="1195"/>
        <item x="505"/>
        <item x="988"/>
        <item x="440"/>
        <item x="1106"/>
        <item x="251"/>
        <item x="132"/>
        <item x="585"/>
        <item x="122"/>
        <item x="557"/>
        <item x="1078"/>
        <item x="973"/>
        <item x="424"/>
        <item x="704"/>
        <item x="216"/>
        <item x="509"/>
        <item x="695"/>
        <item x="799"/>
        <item x="292"/>
        <item x="484"/>
        <item x="913"/>
        <item x="340"/>
        <item x="818"/>
        <item x="257"/>
        <item x="826"/>
        <item x="34"/>
        <item x="144"/>
        <item x="258"/>
        <item x="715"/>
        <item x="880"/>
        <item x="403"/>
        <item x="957"/>
        <item x="453"/>
        <item x="408"/>
        <item x="552"/>
        <item x="757"/>
        <item x="790"/>
        <item x="1129"/>
        <item x="325"/>
        <item x="322"/>
        <item x="451"/>
        <item x="892"/>
        <item x="1148"/>
        <item x="1147"/>
        <item x="5"/>
        <item x="40"/>
        <item x="780"/>
        <item x="211"/>
        <item x="349"/>
        <item x="604"/>
        <item x="209"/>
        <item x="914"/>
        <item x="535"/>
        <item x="599"/>
        <item x="861"/>
        <item x="682"/>
        <item x="488"/>
        <item x="308"/>
        <item x="18"/>
        <item x="455"/>
        <item x="114"/>
        <item x="549"/>
        <item x="738"/>
        <item x="582"/>
        <item x="874"/>
        <item x="711"/>
        <item x="1171"/>
        <item x="468"/>
        <item x="671"/>
        <item x="733"/>
        <item x="1024"/>
        <item x="1188"/>
        <item x="158"/>
        <item x="870"/>
        <item x="140"/>
        <item x="1043"/>
        <item x="932"/>
        <item x="265"/>
        <item x="926"/>
        <item x="998"/>
        <item x="333"/>
        <item x="555"/>
        <item x="1074"/>
        <item x="556"/>
        <item x="983"/>
        <item x="244"/>
        <item x="786"/>
        <item x="1179"/>
        <item x="1109"/>
        <item x="1137"/>
        <item x="342"/>
        <item x="1142"/>
        <item x="821"/>
        <item x="783"/>
        <item x="252"/>
        <item x="270"/>
        <item x="118"/>
        <item x="774"/>
        <item x="819"/>
        <item x="743"/>
        <item x="854"/>
        <item x="420"/>
        <item x="772"/>
        <item x="1056"/>
        <item x="718"/>
        <item x="586"/>
        <item x="602"/>
        <item x="188"/>
        <item x="220"/>
        <item x="945"/>
        <item x="280"/>
        <item x="1126"/>
        <item x="134"/>
        <item x="742"/>
        <item x="205"/>
        <item x="1154"/>
        <item x="813"/>
        <item x="1046"/>
        <item x="105"/>
        <item x="238"/>
        <item x="493"/>
        <item x="583"/>
        <item x="1095"/>
        <item x="249"/>
        <item x="1122"/>
        <item x="2"/>
        <item x="838"/>
        <item x="189"/>
        <item x="418"/>
        <item x="89"/>
        <item x="815"/>
        <item x="713"/>
        <item x="406"/>
        <item x="933"/>
        <item x="355"/>
        <item x="1153"/>
        <item x="106"/>
        <item x="367"/>
        <item x="101"/>
        <item x="534"/>
        <item x="390"/>
        <item x="359"/>
        <item x="1096"/>
        <item x="795"/>
        <item x="749"/>
        <item x="568"/>
        <item x="284"/>
        <item x="88"/>
        <item x="275"/>
        <item x="69"/>
        <item x="490"/>
        <item x="1003"/>
        <item x="822"/>
        <item x="1050"/>
        <item x="516"/>
        <item x="328"/>
        <item x="130"/>
        <item x="247"/>
        <item x="373"/>
        <item x="214"/>
        <item x="222"/>
        <item x="398"/>
        <item x="84"/>
        <item x="96"/>
        <item x="1007"/>
        <item x="242"/>
        <item x="1002"/>
        <item x="649"/>
        <item x="578"/>
        <item x="673"/>
        <item x="992"/>
        <item x="1177"/>
        <item x="200"/>
        <item x="523"/>
        <item x="35"/>
        <item x="393"/>
        <item x="785"/>
        <item x="806"/>
        <item x="481"/>
        <item x="687"/>
        <item x="934"/>
        <item x="207"/>
        <item x="666"/>
        <item x="302"/>
        <item x="544"/>
        <item x="269"/>
        <item x="73"/>
        <item x="954"/>
        <item x="264"/>
        <item x="286"/>
        <item x="465"/>
        <item x="950"/>
        <item x="776"/>
        <item x="948"/>
        <item x="823"/>
        <item x="231"/>
        <item x="1110"/>
        <item x="1072"/>
        <item x="388"/>
        <item x="987"/>
        <item x="1022"/>
        <item x="267"/>
        <item x="116"/>
        <item x="183"/>
        <item x="1076"/>
        <item x="107"/>
        <item x="363"/>
        <item x="1063"/>
        <item x="594"/>
        <item x="326"/>
        <item x="1189"/>
        <item x="576"/>
        <item x="365"/>
        <item x="1031"/>
        <item x="883"/>
        <item x="800"/>
        <item x="1009"/>
        <item x="473"/>
        <item x="263"/>
        <item x="68"/>
        <item x="208"/>
        <item x="972"/>
        <item x="374"/>
        <item x="329"/>
        <item x="1033"/>
        <item x="959"/>
        <item x="1012"/>
        <item x="389"/>
        <item x="767"/>
        <item x="276"/>
        <item x="148"/>
        <item x="680"/>
        <item x="502"/>
        <item x="169"/>
        <item x="457"/>
        <item x="590"/>
        <item x="1058"/>
        <item x="1079"/>
        <item x="364"/>
        <item x="301"/>
        <item x="921"/>
        <item x="659"/>
        <item x="763"/>
        <item x="141"/>
        <item x="739"/>
        <item x="781"/>
        <item x="1134"/>
        <item x="434"/>
        <item x="937"/>
        <item x="344"/>
        <item x="178"/>
        <item x="689"/>
        <item x="147"/>
        <item x="466"/>
        <item x="522"/>
        <item x="311"/>
        <item x="640"/>
        <item x="540"/>
        <item x="1087"/>
        <item x="422"/>
        <item x="877"/>
        <item x="886"/>
        <item x="517"/>
        <item x="240"/>
        <item x="1131"/>
        <item x="793"/>
        <item x="560"/>
        <item x="1170"/>
        <item x="1005"/>
        <item x="1080"/>
        <item x="761"/>
        <item x="705"/>
        <item x="103"/>
        <item x="198"/>
        <item x="589"/>
        <item x="43"/>
        <item x="850"/>
        <item x="143"/>
        <item x="798"/>
        <item x="291"/>
        <item x="300"/>
        <item x="404"/>
        <item x="296"/>
        <item x="110"/>
        <item x="228"/>
        <item x="884"/>
        <item x="563"/>
        <item x="53"/>
        <item x="76"/>
        <item x="75"/>
        <item x="964"/>
        <item x="426"/>
        <item x="397"/>
        <item x="942"/>
        <item x="762"/>
        <item x="981"/>
        <item x="1069"/>
        <item x="1023"/>
        <item x="225"/>
        <item x="965"/>
        <item x="431"/>
        <item x="99"/>
        <item x="760"/>
        <item x="137"/>
        <item x="41"/>
        <item x="1098"/>
        <item x="725"/>
        <item x="605"/>
        <item x="852"/>
        <item x="656"/>
        <item x="827"/>
        <item x="769"/>
        <item x="233"/>
        <item x="744"/>
        <item x="124"/>
        <item x="700"/>
        <item x="127"/>
        <item x="543"/>
        <item x="536"/>
        <item x="1176"/>
        <item x="55"/>
        <item x="331"/>
        <item x="1047"/>
        <item x="1128"/>
        <item x="410"/>
        <item x="229"/>
        <item x="472"/>
        <item x="95"/>
        <item x="358"/>
        <item x="461"/>
        <item x="845"/>
        <item x="908"/>
        <item x="60"/>
        <item x="478"/>
        <item x="458"/>
        <item x="492"/>
        <item x="1068"/>
        <item x="542"/>
        <item x="375"/>
        <item x="1075"/>
        <item x="491"/>
        <item x="538"/>
        <item x="1083"/>
        <item x="1120"/>
        <item x="166"/>
        <item x="888"/>
        <item x="181"/>
        <item x="811"/>
        <item x="882"/>
        <item x="678"/>
        <item x="1091"/>
        <item x="825"/>
        <item x="1092"/>
        <item x="708"/>
        <item x="971"/>
        <item x="378"/>
        <item x="642"/>
        <item x="947"/>
        <item x="282"/>
        <item x="1020"/>
        <item x="927"/>
        <item x="903"/>
        <item x="1057"/>
        <item x="384"/>
        <item x="79"/>
        <item x="155"/>
        <item x="383"/>
        <item x="501"/>
        <item x="766"/>
        <item x="879"/>
        <item x="65"/>
        <item x="636"/>
        <item x="236"/>
        <item x="1059"/>
        <item x="651"/>
        <item x="496"/>
        <item x="360"/>
        <item x="445"/>
        <item x="1040"/>
        <item x="985"/>
        <item x="171"/>
        <item x="745"/>
        <item x="966"/>
        <item x="334"/>
        <item x="97"/>
        <item x="1144"/>
        <item x="59"/>
        <item x="306"/>
        <item x="905"/>
        <item x="370"/>
        <item x="1011"/>
        <item x="679"/>
        <item x="145"/>
        <item x="146"/>
        <item x="469"/>
        <item x="857"/>
        <item x="899"/>
        <item x="787"/>
        <item x="8"/>
        <item x="946"/>
        <item x="572"/>
        <item x="669"/>
        <item x="506"/>
        <item x="1157"/>
        <item x="824"/>
        <item x="104"/>
        <item x="356"/>
        <item x="1162"/>
        <item x="912"/>
        <item x="196"/>
        <item x="441"/>
        <item x="61"/>
        <item x="91"/>
        <item x="901"/>
        <item x="92"/>
        <item x="14"/>
        <item x="614"/>
        <item x="1197"/>
        <item x="728"/>
        <item x="1145"/>
        <item x="730"/>
        <item x="784"/>
        <item x="112"/>
        <item x="314"/>
        <item x="683"/>
        <item x="1039"/>
        <item x="843"/>
        <item x="782"/>
        <item x="98"/>
        <item x="1158"/>
        <item x="248"/>
        <item x="1127"/>
        <item x="1038"/>
        <item x="437"/>
        <item x="559"/>
        <item x="740"/>
        <item x="830"/>
        <item x="0"/>
        <item x="462"/>
        <item x="463"/>
        <item x="956"/>
        <item x="460"/>
        <item x="756"/>
        <item x="439"/>
        <item x="36"/>
        <item x="394"/>
        <item x="241"/>
        <item x="9"/>
        <item x="167"/>
        <item x="232"/>
        <item x="31"/>
        <item x="566"/>
        <item x="288"/>
        <item x="432"/>
        <item x="318"/>
        <item x="52"/>
        <item x="1004"/>
        <item x="13"/>
        <item x="16"/>
        <item x="601"/>
        <item x="1054"/>
        <item x="412"/>
        <item x="1016"/>
        <item x="1055"/>
        <item x="1090"/>
        <item x="894"/>
        <item x="765"/>
        <item x="994"/>
        <item x="647"/>
        <item x="616"/>
        <item x="117"/>
        <item x="42"/>
        <item x="978"/>
        <item x="156"/>
        <item x="1028"/>
        <item x="237"/>
        <item x="701"/>
        <item x="154"/>
        <item x="975"/>
        <item x="1025"/>
        <item x="186"/>
        <item x="777"/>
        <item x="848"/>
        <item x="1014"/>
        <item x="1146"/>
        <item x="592"/>
        <item x="867"/>
        <item x="1161"/>
        <item x="1015"/>
        <item x="519"/>
        <item x="688"/>
        <item x="289"/>
        <item x="351"/>
        <item x="803"/>
        <item x="794"/>
        <item x="729"/>
        <item x="239"/>
        <item x="1121"/>
        <item x="654"/>
        <item x="215"/>
        <item x="849"/>
        <item x="812"/>
        <item x="1135"/>
        <item x="1160"/>
        <item x="165"/>
        <item x="955"/>
        <item x="617"/>
        <item x="119"/>
        <item x="400"/>
        <item x="662"/>
        <item x="548"/>
        <item x="866"/>
        <item x="313"/>
        <item x="551"/>
        <item x="1185"/>
        <item x="206"/>
        <item x="753"/>
        <item x="1152"/>
        <item x="521"/>
        <item x="833"/>
        <item x="863"/>
        <item x="111"/>
        <item x="677"/>
        <item x="906"/>
        <item x="816"/>
        <item x="66"/>
        <item x="413"/>
        <item x="278"/>
        <item x="51"/>
        <item x="1141"/>
        <item x="28"/>
        <item x="665"/>
        <item x="476"/>
        <item x="58"/>
        <item x="839"/>
        <item x="660"/>
        <item x="204"/>
        <item x="1037"/>
        <item x="1108"/>
        <item x="139"/>
        <item x="872"/>
        <item x="193"/>
        <item x="1116"/>
        <item x="741"/>
        <item x="444"/>
        <item x="630"/>
        <item x="1093"/>
        <item x="86"/>
        <item x="706"/>
        <item x="893"/>
        <item x="944"/>
        <item x="213"/>
        <item x="133"/>
        <item x="515"/>
        <item x="907"/>
        <item x="467"/>
        <item x="255"/>
        <item x="305"/>
        <item x="637"/>
        <item x="842"/>
        <item x="938"/>
        <item x="33"/>
        <item x="633"/>
        <item x="809"/>
        <item x="1156"/>
        <item x="805"/>
        <item x="694"/>
        <item x="339"/>
        <item x="427"/>
        <item x="454"/>
        <item x="499"/>
        <item x="968"/>
        <item x="672"/>
        <item x="1113"/>
        <item x="670"/>
        <item x="307"/>
        <item x="667"/>
        <item x="197"/>
        <item x="520"/>
        <item x="1167"/>
        <item x="486"/>
        <item x="293"/>
        <item x="402"/>
        <item x="1"/>
        <item x="770"/>
        <item x="285"/>
        <item x="889"/>
        <item x="661"/>
        <item x="20"/>
        <item x="532"/>
        <item x="858"/>
        <item x="609"/>
        <item x="23"/>
        <item x="500"/>
        <item x="820"/>
        <item x="47"/>
        <item x="513"/>
        <item x="873"/>
        <item x="1186"/>
        <item x="801"/>
        <item x="324"/>
        <item x="320"/>
        <item x="982"/>
        <item x="1061"/>
        <item x="46"/>
        <item x="1067"/>
        <item x="771"/>
        <item x="621"/>
        <item x="789"/>
        <item x="477"/>
        <item x="120"/>
        <item x="1132"/>
        <item x="70"/>
        <item x="1150"/>
        <item x="366"/>
        <item x="969"/>
        <item x="610"/>
        <item x="87"/>
        <item x="686"/>
        <item x="428"/>
        <item x="32"/>
        <item x="338"/>
        <item x="724"/>
        <item x="1182"/>
        <item x="539"/>
        <item x="547"/>
        <item x="494"/>
        <item x="1027"/>
        <item x="1042"/>
        <item x="429"/>
        <item x="268"/>
        <item x="260"/>
        <item x="878"/>
        <item x="471"/>
        <item x="259"/>
        <item x="142"/>
        <item x="94"/>
        <item x="283"/>
        <item x="201"/>
        <item x="917"/>
        <item x="1051"/>
        <item x="887"/>
        <item x="996"/>
        <item x="323"/>
        <item x="483"/>
        <item x="464"/>
        <item x="190"/>
        <item x="990"/>
        <item x="511"/>
        <item x="312"/>
        <item x="710"/>
        <item x="381"/>
        <item x="1107"/>
        <item x="11"/>
        <item x="274"/>
        <item x="900"/>
        <item x="77"/>
        <item x="778"/>
        <item x="405"/>
        <item x="573"/>
        <item x="45"/>
        <item x="102"/>
        <item x="970"/>
        <item x="1077"/>
        <item x="603"/>
        <item x="380"/>
        <item x="909"/>
        <item x="417"/>
        <item x="1097"/>
        <item x="218"/>
        <item x="587"/>
        <item x="109"/>
        <item x="470"/>
        <item x="336"/>
        <item x="261"/>
        <item x="447"/>
        <item x="221"/>
        <item x="83"/>
        <item x="80"/>
        <item x="510"/>
        <item x="1034"/>
        <item x="674"/>
        <item x="50"/>
        <item x="1196"/>
        <item x="1159"/>
        <item x="230"/>
        <item x="348"/>
        <item x="449"/>
        <item x="588"/>
        <item x="902"/>
        <item x="606"/>
        <item x="1035"/>
        <item x="607"/>
        <item x="507"/>
        <item x="853"/>
        <item x="210"/>
        <item x="645"/>
        <item x="631"/>
        <item x="396"/>
        <item x="448"/>
        <item x="67"/>
        <item x="807"/>
        <item x="345"/>
        <item x="57"/>
        <item x="498"/>
        <item x="518"/>
        <item x="160"/>
        <item x="123"/>
        <item x="1183"/>
        <item x="446"/>
        <item x="433"/>
        <item x="699"/>
        <item x="253"/>
        <item x="546"/>
        <item x="129"/>
        <item x="1044"/>
        <item x="598"/>
        <item x="78"/>
        <item x="979"/>
        <item x="316"/>
        <item x="623"/>
        <item x="626"/>
        <item x="411"/>
        <item x="960"/>
        <item x="235"/>
        <item x="81"/>
        <item x="487"/>
        <item x="962"/>
        <item x="82"/>
        <item x="754"/>
        <item x="391"/>
        <item x="707"/>
        <item x="1138"/>
        <item x="831"/>
        <item x="1139"/>
        <item x="26"/>
        <item x="632"/>
        <item x="638"/>
        <item x="615"/>
        <item x="30"/>
        <item x="44"/>
        <item x="172"/>
        <item x="182"/>
        <item x="266"/>
        <item x="881"/>
        <item x="951"/>
        <item x="203"/>
        <item x="1151"/>
        <item x="273"/>
        <item x="12"/>
        <item x="430"/>
        <item x="29"/>
        <item x="443"/>
        <item x="1082"/>
        <item x="321"/>
        <item x="170"/>
        <item x="386"/>
        <item x="1086"/>
        <item x="219"/>
        <item x="584"/>
        <item x="1119"/>
        <item x="217"/>
        <item x="327"/>
        <item x="1084"/>
        <item x="1049"/>
        <item x="723"/>
        <item x="1085"/>
        <item x="1026"/>
        <item x="246"/>
        <item x="865"/>
        <item x="871"/>
        <item x="407"/>
        <item x="479"/>
        <item x="138"/>
        <item x="690"/>
        <item x="100"/>
        <item x="875"/>
        <item x="693"/>
        <item x="352"/>
        <item x="939"/>
        <item x="1166"/>
        <item x="591"/>
        <item x="747"/>
        <item x="829"/>
        <item x="1094"/>
        <item x="1123"/>
        <item x="797"/>
        <item x="1032"/>
        <item x="841"/>
        <item x="941"/>
        <item x="721"/>
        <item x="277"/>
        <item x="4"/>
        <item x="796"/>
        <item x="399"/>
        <item x="376"/>
        <item x="17"/>
        <item x="658"/>
        <item x="562"/>
        <item x="750"/>
        <item x="115"/>
        <item x="620"/>
        <item x="986"/>
        <item x="702"/>
        <item x="48"/>
        <item x="703"/>
        <item x="226"/>
        <item x="1187"/>
        <item x="37"/>
        <item x="596"/>
        <item x="341"/>
        <item x="347"/>
        <item x="1140"/>
        <item x="497"/>
        <item x="663"/>
        <item x="1010"/>
        <item x="635"/>
        <item x="1021"/>
        <item x="545"/>
        <item x="531"/>
        <item x="369"/>
        <item x="54"/>
        <item x="304"/>
        <item x="611"/>
        <item x="150"/>
        <item x="108"/>
        <item x="121"/>
        <item x="1081"/>
        <item x="337"/>
        <item x="748"/>
        <item x="726"/>
        <item x="39"/>
        <item x="480"/>
        <item x="634"/>
        <item x="527"/>
        <item x="788"/>
        <item x="350"/>
        <item x="864"/>
        <item x="561"/>
        <item x="804"/>
        <item x="194"/>
        <item x="62"/>
        <item x="1124"/>
        <item x="1018"/>
        <item x="317"/>
        <item x="1155"/>
        <item x="567"/>
        <item x="74"/>
        <item x="652"/>
        <item x="254"/>
        <item x="90"/>
        <item x="930"/>
        <item x="885"/>
        <item x="290"/>
        <item x="262"/>
        <item x="372"/>
        <item x="579"/>
        <item x="644"/>
        <item x="195"/>
        <item x="814"/>
        <item x="911"/>
        <item x="297"/>
        <item x="779"/>
        <item x="298"/>
        <item x="177"/>
        <item x="212"/>
        <item x="1130"/>
        <item x="495"/>
        <item x="646"/>
        <item x="935"/>
        <item x="1118"/>
        <item x="529"/>
        <item x="175"/>
        <item x="755"/>
        <item x="910"/>
        <item x="1117"/>
        <item x="1125"/>
        <item x="514"/>
        <item x="802"/>
        <item x="697"/>
        <item x="835"/>
        <item x="452"/>
        <item x="71"/>
        <item x="953"/>
        <item x="395"/>
        <item x="168"/>
        <item x="943"/>
        <item x="151"/>
        <item x="162"/>
        <item x="1060"/>
        <item x="719"/>
        <item x="49"/>
        <item x="668"/>
        <item x="245"/>
        <item x="736"/>
        <item x="152"/>
        <item x="330"/>
        <item x="512"/>
        <item x="38"/>
        <item x="1064"/>
        <item x="42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s>
  <rowFields count="1">
    <field x="1"/>
  </rowFields>
  <rowItems count="5">
    <i>
      <x/>
    </i>
    <i>
      <x v="1"/>
    </i>
    <i>
      <x v="2"/>
    </i>
    <i>
      <x v="3"/>
    </i>
    <i t="grand">
      <x/>
    </i>
  </rowItems>
  <colItems count="1">
    <i/>
  </colItems>
  <dataFields count="1">
    <dataField name="Sum of Gross_Profit" fld="9" baseField="0" baseItem="0"/>
  </dataFields>
  <chartFormats count="5">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1" count="1" selected="0">
            <x v="0"/>
          </reference>
        </references>
      </pivotArea>
    </chartFormat>
    <chartFormat chart="3" format="12">
      <pivotArea type="data" outline="0" fieldPosition="0">
        <references count="2">
          <reference field="4294967294" count="1" selected="0">
            <x v="0"/>
          </reference>
          <reference field="1" count="1" selected="0">
            <x v="1"/>
          </reference>
        </references>
      </pivotArea>
    </chartFormat>
    <chartFormat chart="3" format="13">
      <pivotArea type="data" outline="0" fieldPosition="0">
        <references count="2">
          <reference field="4294967294" count="1" selected="0">
            <x v="0"/>
          </reference>
          <reference field="1" count="1" selected="0">
            <x v="2"/>
          </reference>
        </references>
      </pivotArea>
    </chartFormat>
    <chartFormat chart="3" format="14">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F8BD37B-D2D4-4052-92BA-EFF61C7A6004}"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roduct Category">
  <location ref="A35:C40" firstHeaderRow="0" firstDataRow="1" firstDataCol="1"/>
  <pivotFields count="16">
    <pivotField numFmtId="14" showAll="0">
      <items count="601">
        <item x="79"/>
        <item x="511"/>
        <item x="199"/>
        <item x="86"/>
        <item x="123"/>
        <item x="525"/>
        <item x="29"/>
        <item x="99"/>
        <item x="467"/>
        <item x="346"/>
        <item x="559"/>
        <item x="325"/>
        <item x="52"/>
        <item x="138"/>
        <item x="242"/>
        <item x="151"/>
        <item x="168"/>
        <item x="300"/>
        <item x="313"/>
        <item x="442"/>
        <item x="422"/>
        <item x="187"/>
        <item x="225"/>
        <item x="159"/>
        <item x="380"/>
        <item x="165"/>
        <item x="431"/>
        <item x="474"/>
        <item x="512"/>
        <item x="144"/>
        <item x="154"/>
        <item x="73"/>
        <item x="129"/>
        <item x="360"/>
        <item x="108"/>
        <item x="88"/>
        <item x="318"/>
        <item x="460"/>
        <item x="358"/>
        <item x="553"/>
        <item x="43"/>
        <item x="240"/>
        <item x="424"/>
        <item x="207"/>
        <item x="447"/>
        <item x="569"/>
        <item x="576"/>
        <item x="149"/>
        <item x="173"/>
        <item x="222"/>
        <item x="537"/>
        <item x="493"/>
        <item x="497"/>
        <item x="49"/>
        <item x="238"/>
        <item x="364"/>
        <item x="492"/>
        <item x="304"/>
        <item x="558"/>
        <item x="290"/>
        <item x="87"/>
        <item x="509"/>
        <item x="139"/>
        <item x="298"/>
        <item x="219"/>
        <item x="117"/>
        <item x="428"/>
        <item x="591"/>
        <item x="175"/>
        <item x="102"/>
        <item x="323"/>
        <item x="599"/>
        <item x="595"/>
        <item x="375"/>
        <item x="554"/>
        <item x="80"/>
        <item x="122"/>
        <item x="486"/>
        <item x="51"/>
        <item x="314"/>
        <item x="205"/>
        <item x="0"/>
        <item x="39"/>
        <item x="388"/>
        <item x="434"/>
        <item x="189"/>
        <item x="137"/>
        <item x="93"/>
        <item x="84"/>
        <item x="438"/>
        <item x="120"/>
        <item x="127"/>
        <item x="177"/>
        <item x="295"/>
        <item x="47"/>
        <item x="152"/>
        <item x="403"/>
        <item x="232"/>
        <item x="582"/>
        <item x="289"/>
        <item x="46"/>
        <item x="475"/>
        <item x="371"/>
        <item x="167"/>
        <item x="261"/>
        <item x="389"/>
        <item x="188"/>
        <item x="457"/>
        <item x="463"/>
        <item x="367"/>
        <item x="355"/>
        <item x="294"/>
        <item x="465"/>
        <item x="118"/>
        <item x="251"/>
        <item x="212"/>
        <item x="254"/>
        <item x="476"/>
        <item x="478"/>
        <item x="423"/>
        <item x="69"/>
        <item x="27"/>
        <item x="437"/>
        <item x="31"/>
        <item x="310"/>
        <item x="377"/>
        <item x="521"/>
        <item x="311"/>
        <item x="213"/>
        <item x="107"/>
        <item x="32"/>
        <item x="452"/>
        <item x="541"/>
        <item x="223"/>
        <item x="291"/>
        <item x="510"/>
        <item x="579"/>
        <item x="427"/>
        <item x="505"/>
        <item x="539"/>
        <item x="383"/>
        <item x="36"/>
        <item x="317"/>
        <item x="362"/>
        <item x="155"/>
        <item x="359"/>
        <item x="548"/>
        <item x="384"/>
        <item x="469"/>
        <item x="246"/>
        <item x="279"/>
        <item x="296"/>
        <item x="191"/>
        <item x="508"/>
        <item x="148"/>
        <item x="305"/>
        <item x="575"/>
        <item x="19"/>
        <item x="373"/>
        <item x="163"/>
        <item x="536"/>
        <item x="285"/>
        <item x="44"/>
        <item x="392"/>
        <item x="104"/>
        <item x="264"/>
        <item x="8"/>
        <item x="566"/>
        <item x="301"/>
        <item x="363"/>
        <item x="190"/>
        <item x="81"/>
        <item x="209"/>
        <item x="394"/>
        <item x="164"/>
        <item x="498"/>
        <item x="540"/>
        <item x="255"/>
        <item x="297"/>
        <item x="265"/>
        <item x="195"/>
        <item x="523"/>
        <item x="516"/>
        <item x="142"/>
        <item x="162"/>
        <item x="321"/>
        <item x="468"/>
        <item x="239"/>
        <item x="564"/>
        <item x="439"/>
        <item x="92"/>
        <item x="574"/>
        <item x="387"/>
        <item x="237"/>
        <item x="128"/>
        <item x="315"/>
        <item x="385"/>
        <item x="258"/>
        <item x="551"/>
        <item x="281"/>
        <item x="596"/>
        <item x="75"/>
        <item x="494"/>
        <item x="115"/>
        <item x="146"/>
        <item x="473"/>
        <item x="48"/>
        <item x="354"/>
        <item x="425"/>
        <item x="249"/>
        <item x="462"/>
        <item x="106"/>
        <item x="587"/>
        <item x="366"/>
        <item x="169"/>
        <item x="160"/>
        <item x="259"/>
        <item x="417"/>
        <item x="275"/>
        <item x="446"/>
        <item x="215"/>
        <item x="583"/>
        <item x="507"/>
        <item x="267"/>
        <item x="170"/>
        <item x="231"/>
        <item x="5"/>
        <item x="503"/>
        <item x="57"/>
        <item x="334"/>
        <item x="59"/>
        <item x="408"/>
        <item x="235"/>
        <item x="76"/>
        <item x="109"/>
        <item x="268"/>
        <item x="119"/>
        <item x="410"/>
        <item x="405"/>
        <item x="157"/>
        <item x="276"/>
        <item x="557"/>
        <item x="584"/>
        <item x="531"/>
        <item x="101"/>
        <item x="593"/>
        <item x="543"/>
        <item x="370"/>
        <item x="156"/>
        <item x="236"/>
        <item x="89"/>
        <item x="200"/>
        <item x="252"/>
        <item x="82"/>
        <item x="181"/>
        <item x="150"/>
        <item x="597"/>
        <item x="182"/>
        <item x="485"/>
        <item x="495"/>
        <item x="546"/>
        <item x="350"/>
        <item x="241"/>
        <item x="560"/>
        <item x="538"/>
        <item x="95"/>
        <item x="153"/>
        <item x="562"/>
        <item x="445"/>
        <item x="535"/>
        <item x="65"/>
        <item x="544"/>
        <item x="299"/>
        <item x="1"/>
        <item x="327"/>
        <item x="577"/>
        <item x="443"/>
        <item x="83"/>
        <item x="216"/>
        <item x="528"/>
        <item x="263"/>
        <item x="345"/>
        <item x="340"/>
        <item x="282"/>
        <item x="580"/>
        <item x="158"/>
        <item x="110"/>
        <item x="415"/>
        <item x="37"/>
        <item x="228"/>
        <item x="206"/>
        <item x="309"/>
        <item x="483"/>
        <item x="339"/>
        <item x="489"/>
        <item x="293"/>
        <item x="229"/>
        <item x="274"/>
        <item x="132"/>
        <item x="262"/>
        <item x="34"/>
        <item x="433"/>
        <item x="6"/>
        <item x="337"/>
        <item x="184"/>
        <item x="441"/>
        <item x="202"/>
        <item x="21"/>
        <item x="401"/>
        <item x="269"/>
        <item x="590"/>
        <item x="112"/>
        <item x="530"/>
        <item x="365"/>
        <item x="589"/>
        <item x="278"/>
        <item x="572"/>
        <item x="22"/>
        <item x="351"/>
        <item x="7"/>
        <item x="499"/>
        <item x="328"/>
        <item x="141"/>
        <item x="287"/>
        <item x="15"/>
        <item x="519"/>
        <item x="125"/>
        <item x="60"/>
        <item x="63"/>
        <item x="214"/>
        <item x="41"/>
        <item x="33"/>
        <item x="70"/>
        <item x="348"/>
        <item x="332"/>
        <item x="113"/>
        <item x="134"/>
        <item x="386"/>
        <item x="40"/>
        <item x="481"/>
        <item x="97"/>
        <item x="450"/>
        <item x="247"/>
        <item x="514"/>
        <item x="145"/>
        <item x="54"/>
        <item x="283"/>
        <item x="183"/>
        <item x="286"/>
        <item x="455"/>
        <item x="491"/>
        <item x="448"/>
        <item x="194"/>
        <item x="178"/>
        <item x="284"/>
        <item x="114"/>
        <item x="50"/>
        <item x="500"/>
        <item x="470"/>
        <item x="464"/>
        <item x="227"/>
        <item x="78"/>
        <item x="376"/>
        <item x="352"/>
        <item x="526"/>
        <item x="413"/>
        <item x="517"/>
        <item x="288"/>
        <item x="308"/>
        <item x="454"/>
        <item x="397"/>
        <item x="211"/>
        <item x="329"/>
        <item x="353"/>
        <item x="400"/>
        <item x="131"/>
        <item x="67"/>
        <item x="594"/>
        <item x="121"/>
        <item x="111"/>
        <item x="324"/>
        <item x="336"/>
        <item x="518"/>
        <item x="571"/>
        <item x="429"/>
        <item x="218"/>
        <item x="62"/>
        <item x="208"/>
        <item x="472"/>
        <item x="198"/>
        <item x="484"/>
        <item x="243"/>
        <item x="549"/>
        <item x="105"/>
        <item x="524"/>
        <item x="35"/>
        <item x="451"/>
        <item x="221"/>
        <item x="440"/>
        <item x="369"/>
        <item x="585"/>
        <item x="230"/>
        <item x="26"/>
        <item x="12"/>
        <item x="2"/>
        <item x="10"/>
        <item x="477"/>
        <item x="482"/>
        <item x="55"/>
        <item x="126"/>
        <item x="320"/>
        <item x="13"/>
        <item x="567"/>
        <item x="244"/>
        <item x="91"/>
        <item x="135"/>
        <item x="68"/>
        <item x="203"/>
        <item x="224"/>
        <item x="77"/>
        <item x="133"/>
        <item x="513"/>
        <item x="124"/>
        <item x="179"/>
        <item x="166"/>
        <item x="466"/>
        <item x="185"/>
        <item x="172"/>
        <item x="402"/>
        <item x="506"/>
        <item x="17"/>
        <item x="515"/>
        <item x="316"/>
        <item x="379"/>
        <item x="217"/>
        <item x="307"/>
        <item x="338"/>
        <item x="180"/>
        <item x="456"/>
        <item x="273"/>
        <item x="416"/>
        <item x="435"/>
        <item x="570"/>
        <item x="174"/>
        <item x="581"/>
        <item x="461"/>
        <item x="496"/>
        <item x="58"/>
        <item x="302"/>
        <item x="98"/>
        <item x="341"/>
        <item x="504"/>
        <item x="186"/>
        <item x="292"/>
        <item x="277"/>
        <item x="280"/>
        <item x="74"/>
        <item x="347"/>
        <item x="342"/>
        <item x="3"/>
        <item x="234"/>
        <item x="343"/>
        <item x="16"/>
        <item x="542"/>
        <item x="23"/>
        <item x="331"/>
        <item x="349"/>
        <item x="396"/>
        <item x="140"/>
        <item x="28"/>
        <item x="253"/>
        <item x="96"/>
        <item x="398"/>
        <item x="147"/>
        <item x="458"/>
        <item x="527"/>
        <item x="100"/>
        <item x="326"/>
        <item x="479"/>
        <item x="257"/>
        <item x="335"/>
        <item x="430"/>
        <item x="171"/>
        <item x="436"/>
        <item x="330"/>
        <item x="196"/>
        <item x="487"/>
        <item x="444"/>
        <item x="409"/>
        <item x="197"/>
        <item x="245"/>
        <item x="319"/>
        <item x="272"/>
        <item x="490"/>
        <item x="406"/>
        <item x="381"/>
        <item x="220"/>
        <item x="24"/>
        <item x="312"/>
        <item x="14"/>
        <item x="393"/>
        <item x="522"/>
        <item x="56"/>
        <item x="248"/>
        <item x="573"/>
        <item x="143"/>
        <item x="547"/>
        <item x="502"/>
        <item x="592"/>
        <item x="586"/>
        <item x="390"/>
        <item x="38"/>
        <item x="414"/>
        <item x="30"/>
        <item x="130"/>
        <item x="561"/>
        <item x="378"/>
        <item x="306"/>
        <item x="210"/>
        <item x="64"/>
        <item x="418"/>
        <item x="534"/>
        <item x="204"/>
        <item x="192"/>
        <item x="578"/>
        <item x="116"/>
        <item x="136"/>
        <item x="404"/>
        <item x="598"/>
        <item x="419"/>
        <item x="322"/>
        <item x="18"/>
        <item x="11"/>
        <item x="260"/>
        <item x="399"/>
        <item x="453"/>
        <item x="533"/>
        <item x="552"/>
        <item x="71"/>
        <item x="395"/>
        <item x="520"/>
        <item x="25"/>
        <item x="233"/>
        <item x="556"/>
        <item x="391"/>
        <item x="94"/>
        <item x="103"/>
        <item x="90"/>
        <item x="568"/>
        <item x="72"/>
        <item x="193"/>
        <item x="45"/>
        <item x="407"/>
        <item x="250"/>
        <item x="176"/>
        <item x="361"/>
        <item x="372"/>
        <item x="532"/>
        <item x="374"/>
        <item x="412"/>
        <item x="256"/>
        <item x="344"/>
        <item x="421"/>
        <item x="333"/>
        <item x="356"/>
        <item x="4"/>
        <item x="529"/>
        <item x="488"/>
        <item x="53"/>
        <item x="449"/>
        <item x="565"/>
        <item x="357"/>
        <item x="271"/>
        <item x="85"/>
        <item x="42"/>
        <item x="459"/>
        <item x="161"/>
        <item x="266"/>
        <item x="303"/>
        <item x="550"/>
        <item x="545"/>
        <item x="270"/>
        <item x="426"/>
        <item x="20"/>
        <item x="588"/>
        <item x="420"/>
        <item x="480"/>
        <item x="66"/>
        <item x="201"/>
        <item x="555"/>
        <item x="61"/>
        <item x="563"/>
        <item x="501"/>
        <item x="368"/>
        <item x="382"/>
        <item x="432"/>
        <item x="411"/>
        <item x="9"/>
        <item x="226"/>
        <item x="471"/>
        <item t="default"/>
      </items>
    </pivotField>
    <pivotField showAll="0">
      <items count="5">
        <item x="1"/>
        <item x="2"/>
        <item x="0"/>
        <item x="3"/>
        <item t="default"/>
      </items>
    </pivotField>
    <pivotField axis="axisRow" showAll="0">
      <items count="5">
        <item x="2"/>
        <item x="1"/>
        <item x="0"/>
        <item x="3"/>
        <item t="default"/>
      </items>
    </pivotField>
    <pivotField showAll="0">
      <items count="4">
        <item x="1"/>
        <item x="0"/>
        <item x="2"/>
        <item t="default"/>
      </items>
    </pivotField>
    <pivotField dataField="1" showAll="0">
      <items count="1197">
        <item x="78"/>
        <item x="100"/>
        <item x="135"/>
        <item x="575"/>
        <item x="174"/>
        <item x="610"/>
        <item x="730"/>
        <item x="508"/>
        <item x="55"/>
        <item x="315"/>
        <item x="1011"/>
        <item x="1113"/>
        <item x="1148"/>
        <item x="577"/>
        <item x="825"/>
        <item x="219"/>
        <item x="1166"/>
        <item x="375"/>
        <item x="672"/>
        <item x="563"/>
        <item x="214"/>
        <item x="981"/>
        <item x="615"/>
        <item x="355"/>
        <item x="109"/>
        <item x="103"/>
        <item x="145"/>
        <item x="516"/>
        <item x="953"/>
        <item x="889"/>
        <item x="998"/>
        <item x="849"/>
        <item x="553"/>
        <item x="476"/>
        <item x="443"/>
        <item x="625"/>
        <item x="1046"/>
        <item x="30"/>
        <item x="395"/>
        <item x="914"/>
        <item x="887"/>
        <item x="144"/>
        <item x="237"/>
        <item x="40"/>
        <item x="400"/>
        <item x="413"/>
        <item x="392"/>
        <item x="1172"/>
        <item x="172"/>
        <item x="149"/>
        <item x="69"/>
        <item x="325"/>
        <item x="283"/>
        <item x="346"/>
        <item x="1176"/>
        <item x="92"/>
        <item x="1020"/>
        <item x="943"/>
        <item x="1068"/>
        <item x="179"/>
        <item x="907"/>
        <item x="388"/>
        <item x="86"/>
        <item x="98"/>
        <item x="604"/>
        <item x="1006"/>
        <item x="382"/>
        <item x="222"/>
        <item x="331"/>
        <item x="217"/>
        <item x="1178"/>
        <item x="439"/>
        <item x="1137"/>
        <item x="756"/>
        <item x="743"/>
        <item x="793"/>
        <item x="28"/>
        <item x="671"/>
        <item x="840"/>
        <item x="710"/>
        <item x="364"/>
        <item x="105"/>
        <item x="115"/>
        <item x="409"/>
        <item x="712"/>
        <item x="350"/>
        <item x="674"/>
        <item x="139"/>
        <item x="527"/>
        <item x="197"/>
        <item x="1015"/>
        <item x="955"/>
        <item x="59"/>
        <item x="158"/>
        <item x="1026"/>
        <item x="776"/>
        <item x="425"/>
        <item x="728"/>
        <item x="383"/>
        <item x="1182"/>
        <item x="920"/>
        <item x="347"/>
        <item x="1136"/>
        <item x="454"/>
        <item x="75"/>
        <item x="1081"/>
        <item x="681"/>
        <item x="97"/>
        <item x="99"/>
        <item x="646"/>
        <item x="379"/>
        <item x="327"/>
        <item x="661"/>
        <item x="142"/>
        <item x="494"/>
        <item x="1175"/>
        <item x="265"/>
        <item x="330"/>
        <item x="565"/>
        <item x="853"/>
        <item x="540"/>
        <item x="258"/>
        <item x="833"/>
        <item x="1038"/>
        <item x="630"/>
        <item x="729"/>
        <item x="1070"/>
        <item x="123"/>
        <item x="1123"/>
        <item x="587"/>
        <item x="146"/>
        <item x="582"/>
        <item x="120"/>
        <item x="623"/>
        <item x="1104"/>
        <item x="1170"/>
        <item x="444"/>
        <item x="304"/>
        <item x="762"/>
        <item x="603"/>
        <item x="190"/>
        <item x="93"/>
        <item x="721"/>
        <item x="855"/>
        <item x="529"/>
        <item x="1069"/>
        <item x="1174"/>
        <item x="821"/>
        <item x="430"/>
        <item x="1162"/>
        <item x="50"/>
        <item x="1034"/>
        <item x="288"/>
        <item x="1187"/>
        <item x="1177"/>
        <item x="780"/>
        <item x="308"/>
        <item x="493"/>
        <item x="406"/>
        <item x="1049"/>
        <item x="345"/>
        <item x="488"/>
        <item x="545"/>
        <item x="733"/>
        <item x="858"/>
        <item x="1169"/>
        <item x="1050"/>
        <item x="1168"/>
        <item x="284"/>
        <item x="1110"/>
        <item x="440"/>
        <item x="396"/>
        <item x="918"/>
        <item x="768"/>
        <item x="724"/>
        <item x="617"/>
        <item x="62"/>
        <item x="1045"/>
        <item x="1016"/>
        <item x="1030"/>
        <item x="465"/>
        <item x="704"/>
        <item x="37"/>
        <item x="608"/>
        <item x="148"/>
        <item x="1075"/>
        <item x="171"/>
        <item x="463"/>
        <item x="134"/>
        <item x="453"/>
        <item x="173"/>
        <item x="831"/>
        <item x="515"/>
        <item x="535"/>
        <item x="1043"/>
        <item x="789"/>
        <item x="422"/>
        <item x="136"/>
        <item x="962"/>
        <item x="475"/>
        <item x="578"/>
        <item x="862"/>
        <item x="817"/>
        <item x="804"/>
        <item x="1158"/>
        <item x="195"/>
        <item x="467"/>
        <item x="177"/>
        <item x="814"/>
        <item x="452"/>
        <item x="913"/>
        <item x="445"/>
        <item x="57"/>
        <item x="585"/>
        <item x="960"/>
        <item x="792"/>
        <item x="626"/>
        <item x="361"/>
        <item x="1120"/>
        <item x="697"/>
        <item x="320"/>
        <item x="683"/>
        <item x="335"/>
        <item x="900"/>
        <item x="206"/>
        <item x="784"/>
        <item x="732"/>
        <item x="785"/>
        <item x="260"/>
        <item x="309"/>
        <item x="1139"/>
        <item x="1130"/>
        <item x="9"/>
        <item x="945"/>
        <item x="245"/>
        <item x="834"/>
        <item x="622"/>
        <item x="650"/>
        <item x="908"/>
        <item x="1053"/>
        <item x="456"/>
        <item x="916"/>
        <item x="902"/>
        <item x="827"/>
        <item x="151"/>
        <item x="352"/>
        <item x="464"/>
        <item x="957"/>
        <item x="746"/>
        <item x="875"/>
        <item x="901"/>
        <item x="911"/>
        <item x="693"/>
        <item x="274"/>
        <item x="193"/>
        <item x="951"/>
        <item x="501"/>
        <item x="289"/>
        <item x="1028"/>
        <item x="1145"/>
        <item x="160"/>
        <item x="25"/>
        <item x="338"/>
        <item x="959"/>
        <item x="727"/>
        <item x="1132"/>
        <item x="1084"/>
        <item x="45"/>
        <item x="725"/>
        <item x="49"/>
        <item x="381"/>
        <item x="261"/>
        <item x="1066"/>
        <item x="21"/>
        <item x="614"/>
        <item x="32"/>
        <item x="939"/>
        <item x="915"/>
        <item x="24"/>
        <item x="1156"/>
        <item x="368"/>
        <item x="15"/>
        <item x="102"/>
        <item x="490"/>
        <item x="218"/>
        <item x="600"/>
        <item x="270"/>
        <item x="885"/>
        <item x="241"/>
        <item x="507"/>
        <item x="663"/>
        <item x="1146"/>
        <item x="938"/>
        <item x="108"/>
        <item x="711"/>
        <item x="922"/>
        <item x="474"/>
        <item x="992"/>
        <item x="1033"/>
        <item x="299"/>
        <item x="324"/>
        <item x="1054"/>
        <item x="613"/>
        <item x="1000"/>
        <item x="353"/>
        <item x="645"/>
        <item x="298"/>
        <item x="253"/>
        <item x="740"/>
        <item x="94"/>
        <item x="766"/>
        <item x="38"/>
        <item x="832"/>
        <item x="567"/>
        <item x="965"/>
        <item x="971"/>
        <item x="380"/>
        <item x="616"/>
        <item x="1115"/>
        <item x="861"/>
        <item x="818"/>
        <item x="555"/>
        <item x="1057"/>
        <item x="1003"/>
        <item x="473"/>
        <item x="891"/>
        <item x="581"/>
        <item x="207"/>
        <item x="1025"/>
        <item x="638"/>
        <item x="707"/>
        <item x="921"/>
        <item x="1010"/>
        <item x="460"/>
        <item x="269"/>
        <item x="434"/>
        <item x="612"/>
        <item x="520"/>
        <item x="129"/>
        <item x="397"/>
        <item x="777"/>
        <item x="932"/>
        <item x="1023"/>
        <item x="843"/>
        <item x="696"/>
        <item x="870"/>
        <item x="877"/>
        <item x="764"/>
        <item x="941"/>
        <item x="850"/>
        <item x="1004"/>
        <item x="1085"/>
        <item x="127"/>
        <item x="595"/>
        <item x="221"/>
        <item x="892"/>
        <item x="470"/>
        <item x="429"/>
        <item x="141"/>
        <item x="874"/>
        <item x="424"/>
        <item x="111"/>
        <item x="1190"/>
        <item x="372"/>
        <item x="1060"/>
        <item x="761"/>
        <item x="293"/>
        <item x="186"/>
        <item x="54"/>
        <item x="735"/>
        <item x="198"/>
        <item x="737"/>
        <item x="848"/>
        <item x="1181"/>
        <item x="607"/>
        <item x="236"/>
        <item x="232"/>
        <item x="750"/>
        <item x="39"/>
        <item x="294"/>
        <item x="213"/>
        <item x="285"/>
        <item x="96"/>
        <item x="963"/>
        <item x="1103"/>
        <item x="708"/>
        <item x="212"/>
        <item x="897"/>
        <item x="239"/>
        <item x="1112"/>
        <item x="665"/>
        <item x="34"/>
        <item x="639"/>
        <item x="566"/>
        <item x="228"/>
        <item x="629"/>
        <item x="229"/>
        <item x="1"/>
        <item x="1167"/>
        <item x="121"/>
        <item x="842"/>
        <item x="243"/>
        <item x="275"/>
        <item x="385"/>
        <item x="280"/>
        <item x="879"/>
        <item x="147"/>
        <item x="414"/>
        <item x="76"/>
        <item x="1089"/>
        <item x="279"/>
        <item x="1131"/>
        <item x="808"/>
        <item x="336"/>
        <item x="1163"/>
        <item x="548"/>
        <item x="403"/>
        <item x="925"/>
        <item x="1106"/>
        <item x="12"/>
        <item x="87"/>
        <item x="698"/>
        <item x="131"/>
        <item x="437"/>
        <item x="14"/>
        <item x="31"/>
        <item x="845"/>
        <item x="1012"/>
        <item x="649"/>
        <item x="1184"/>
        <item x="61"/>
        <item x="389"/>
        <item x="975"/>
        <item x="367"/>
        <item x="110"/>
        <item x="1099"/>
        <item x="1027"/>
        <item x="435"/>
        <item x="982"/>
        <item x="83"/>
        <item x="104"/>
        <item x="747"/>
        <item x="586"/>
        <item x="533"/>
        <item x="167"/>
        <item x="1022"/>
        <item x="466"/>
        <item x="723"/>
        <item x="72"/>
        <item x="489"/>
        <item x="1140"/>
        <item x="643"/>
        <item x="374"/>
        <item x="890"/>
        <item x="709"/>
        <item x="192"/>
        <item x="865"/>
        <item x="503"/>
        <item x="819"/>
        <item x="1164"/>
        <item x="53"/>
        <item x="1155"/>
        <item x="64"/>
        <item x="1056"/>
        <item x="318"/>
        <item x="1135"/>
        <item x="522"/>
        <item x="745"/>
        <item x="899"/>
        <item x="978"/>
        <item x="1188"/>
        <item x="257"/>
        <item x="809"/>
        <item x="557"/>
        <item x="233"/>
        <item x="116"/>
        <item x="544"/>
        <item x="618"/>
        <item x="5"/>
        <item x="36"/>
        <item x="798"/>
        <item x="1024"/>
        <item x="356"/>
        <item x="966"/>
        <item x="66"/>
        <item x="751"/>
        <item x="41"/>
        <item x="1094"/>
        <item x="1087"/>
        <item x="644"/>
        <item x="47"/>
        <item x="458"/>
        <item x="332"/>
        <item x="796"/>
        <item x="16"/>
        <item x="89"/>
        <item x="748"/>
        <item x="692"/>
        <item x="1154"/>
        <item x="1144"/>
        <item x="620"/>
        <item x="22"/>
        <item x="450"/>
        <item x="774"/>
        <item x="574"/>
        <item x="1090"/>
        <item x="895"/>
        <item x="904"/>
        <item x="584"/>
        <item x="498"/>
        <item x="68"/>
        <item x="362"/>
        <item x="715"/>
        <item x="703"/>
        <item x="199"/>
        <item x="354"/>
        <item x="322"/>
        <item x="249"/>
        <item x="906"/>
        <item x="316"/>
        <item x="598"/>
        <item x="481"/>
        <item x="1073"/>
        <item x="88"/>
        <item x="551"/>
        <item x="806"/>
        <item x="1018"/>
        <item x="1061"/>
        <item x="673"/>
        <item x="800"/>
        <item x="686"/>
        <item x="864"/>
        <item x="196"/>
        <item x="244"/>
        <item x="1077"/>
        <item x="185"/>
        <item x="1008"/>
        <item x="386"/>
        <item x="930"/>
        <item x="844"/>
        <item x="543"/>
        <item x="455"/>
        <item x="659"/>
        <item x="415"/>
        <item x="491"/>
        <item x="1062"/>
        <item x="628"/>
        <item x="1080"/>
        <item x="866"/>
        <item x="140"/>
        <item x="896"/>
        <item x="1051"/>
        <item x="302"/>
        <item x="1035"/>
        <item x="1109"/>
        <item x="991"/>
        <item x="547"/>
        <item x="358"/>
        <item x="863"/>
        <item x="224"/>
        <item x="7"/>
        <item x="689"/>
        <item x="408"/>
        <item x="589"/>
        <item x="676"/>
        <item x="989"/>
        <item x="666"/>
        <item x="1134"/>
        <item x="771"/>
        <item x="731"/>
        <item x="479"/>
        <item x="967"/>
        <item x="161"/>
        <item x="1048"/>
        <item x="1088"/>
        <item x="691"/>
        <item x="813"/>
        <item x="235"/>
        <item x="869"/>
        <item x="1161"/>
        <item x="621"/>
        <item x="779"/>
        <item x="107"/>
        <item x="637"/>
        <item x="42"/>
        <item x="427"/>
        <item x="268"/>
        <item x="647"/>
        <item x="738"/>
        <item x="741"/>
        <item x="119"/>
        <item x="256"/>
        <item x="1092"/>
        <item x="801"/>
        <item x="749"/>
        <item x="132"/>
        <item x="300"/>
        <item x="441"/>
        <item x="1001"/>
        <item x="303"/>
        <item x="534"/>
        <item x="935"/>
        <item x="188"/>
        <item x="461"/>
        <item x="248"/>
        <item x="590"/>
        <item x="189"/>
        <item x="1047"/>
        <item x="660"/>
        <item x="839"/>
        <item x="558"/>
        <item x="138"/>
        <item x="1014"/>
        <item x="321"/>
        <item x="583"/>
        <item x="410"/>
        <item x="846"/>
        <item x="180"/>
        <item x="176"/>
        <item x="820"/>
        <item x="0"/>
        <item x="150"/>
        <item x="1108"/>
        <item x="506"/>
        <item x="722"/>
        <item x="1191"/>
        <item x="1186"/>
        <item x="187"/>
        <item x="371"/>
        <item x="988"/>
        <item x="754"/>
        <item x="964"/>
        <item x="126"/>
        <item x="2"/>
        <item x="726"/>
        <item x="1076"/>
        <item x="495"/>
        <item x="79"/>
        <item x="412"/>
        <item x="376"/>
        <item x="486"/>
        <item x="1180"/>
        <item x="782"/>
        <item x="773"/>
        <item x="340"/>
        <item x="337"/>
        <item x="702"/>
        <item x="1142"/>
        <item x="580"/>
        <item x="946"/>
        <item x="995"/>
        <item x="114"/>
        <item x="81"/>
        <item x="1032"/>
        <item x="451"/>
        <item x="940"/>
        <item x="788"/>
        <item x="210"/>
        <item x="884"/>
        <item x="684"/>
        <item x="700"/>
        <item x="6"/>
        <item x="640"/>
        <item x="1102"/>
        <item x="306"/>
        <item x="154"/>
        <item x="423"/>
        <item x="851"/>
        <item x="699"/>
        <item x="588"/>
        <item x="117"/>
        <item x="264"/>
        <item x="990"/>
        <item x="772"/>
        <item x="517"/>
        <item x="576"/>
        <item x="44"/>
        <item x="868"/>
        <item x="552"/>
        <item x="579"/>
        <item x="753"/>
        <item x="153"/>
        <item x="1149"/>
        <item x="163"/>
        <item x="84"/>
        <item x="128"/>
        <item x="836"/>
        <item x="624"/>
        <item x="420"/>
        <item x="976"/>
        <item x="418"/>
        <item x="391"/>
        <item x="1173"/>
        <item x="469"/>
        <item x="291"/>
        <item x="635"/>
        <item x="311"/>
        <item x="1021"/>
        <item x="537"/>
        <item x="449"/>
        <item x="1059"/>
        <item x="950"/>
        <item x="714"/>
        <item x="227"/>
        <item x="143"/>
        <item x="816"/>
        <item x="234"/>
        <item x="519"/>
        <item x="1111"/>
        <item x="923"/>
        <item x="73"/>
        <item x="958"/>
        <item x="987"/>
        <item x="1041"/>
        <item x="826"/>
        <item x="446"/>
        <item x="786"/>
        <item x="70"/>
        <item x="296"/>
        <item x="656"/>
        <item x="790"/>
        <item x="1036"/>
        <item x="215"/>
        <item x="559"/>
        <item x="883"/>
        <item x="156"/>
        <item x="531"/>
        <item x="162"/>
        <item x="984"/>
        <item x="886"/>
        <item x="539"/>
        <item x="759"/>
        <item x="550"/>
        <item x="301"/>
        <item x="770"/>
        <item x="980"/>
        <item x="1037"/>
        <item x="477"/>
        <item x="807"/>
        <item x="878"/>
        <item x="169"/>
        <item x="1138"/>
        <item x="974"/>
        <item x="1192"/>
        <item x="929"/>
        <item x="716"/>
        <item x="668"/>
        <item x="795"/>
        <item x="407"/>
        <item x="504"/>
        <item x="1107"/>
        <item x="736"/>
        <item x="658"/>
        <item x="876"/>
        <item x="969"/>
        <item x="357"/>
        <item x="401"/>
        <item x="67"/>
        <item x="369"/>
        <item x="1067"/>
        <item x="23"/>
        <item x="238"/>
        <item x="482"/>
        <item x="52"/>
        <item x="259"/>
        <item x="82"/>
        <item x="791"/>
        <item x="653"/>
        <item x="194"/>
        <item x="903"/>
        <item x="822"/>
        <item x="1121"/>
        <item x="231"/>
        <item x="1183"/>
        <item x="657"/>
        <item x="394"/>
        <item x="910"/>
        <item x="758"/>
        <item x="419"/>
        <item x="178"/>
        <item x="752"/>
        <item x="226"/>
        <item x="168"/>
        <item x="983"/>
        <item x="682"/>
        <item x="4"/>
        <item x="560"/>
        <item x="416"/>
        <item x="734"/>
        <item x="973"/>
        <item x="944"/>
        <item x="611"/>
        <item x="619"/>
        <item x="365"/>
        <item x="952"/>
        <item x="694"/>
        <item x="133"/>
        <item x="961"/>
        <item x="225"/>
        <item x="652"/>
        <item x="1055"/>
        <item x="572"/>
        <item x="313"/>
        <item x="277"/>
        <item x="208"/>
        <item x="631"/>
        <item x="366"/>
        <item x="1125"/>
        <item x="739"/>
        <item x="411"/>
        <item x="605"/>
        <item x="742"/>
        <item x="74"/>
        <item x="562"/>
        <item x="799"/>
        <item x="852"/>
        <item x="384"/>
        <item x="1119"/>
        <item x="695"/>
        <item x="669"/>
        <item x="1095"/>
        <item x="680"/>
        <item x="286"/>
        <item x="113"/>
        <item x="778"/>
        <item x="760"/>
        <item x="571"/>
        <item x="591"/>
        <item x="342"/>
        <item x="882"/>
        <item x="593"/>
        <item x="810"/>
        <item x="1064"/>
        <item x="282"/>
        <item x="312"/>
        <item x="58"/>
        <item x="339"/>
        <item x="972"/>
        <item x="370"/>
        <item x="35"/>
        <item x="33"/>
        <item x="781"/>
        <item x="319"/>
        <item x="1079"/>
        <item x="841"/>
        <item x="17"/>
        <item x="767"/>
        <item x="442"/>
        <item x="344"/>
        <item x="310"/>
        <item x="223"/>
        <item x="471"/>
        <item x="181"/>
        <item x="873"/>
        <item x="954"/>
        <item x="641"/>
        <item x="854"/>
        <item x="606"/>
        <item x="27"/>
        <item x="448"/>
        <item x="1114"/>
        <item x="71"/>
        <item x="468"/>
        <item x="1153"/>
        <item x="29"/>
        <item x="763"/>
        <item x="942"/>
        <item x="271"/>
        <item x="426"/>
        <item x="170"/>
        <item x="601"/>
        <item x="1185"/>
        <item x="847"/>
        <item x="667"/>
        <item x="824"/>
        <item x="457"/>
        <item x="317"/>
        <item x="985"/>
        <item x="905"/>
        <item x="642"/>
        <item x="713"/>
        <item x="881"/>
        <item x="872"/>
        <item x="546"/>
        <item x="433"/>
        <item x="220"/>
        <item x="654"/>
        <item x="48"/>
        <item x="596"/>
        <item x="122"/>
        <item x="634"/>
        <item x="1141"/>
        <item x="838"/>
        <item x="510"/>
        <item x="556"/>
        <item x="246"/>
        <item x="3"/>
        <item x="993"/>
        <item x="977"/>
        <item x="1083"/>
        <item x="26"/>
        <item x="216"/>
        <item x="979"/>
        <item x="1101"/>
        <item x="894"/>
        <item x="118"/>
        <item x="599"/>
        <item x="307"/>
        <item x="532"/>
        <item x="996"/>
        <item x="333"/>
        <item x="204"/>
        <item x="602"/>
        <item x="919"/>
        <item x="254"/>
        <item x="1157"/>
        <item x="1179"/>
        <item x="497"/>
        <item x="1143"/>
        <item x="1147"/>
        <item x="1193"/>
        <item x="1082"/>
        <item x="859"/>
        <item x="909"/>
        <item x="997"/>
        <item x="106"/>
        <item x="917"/>
        <item x="670"/>
        <item x="933"/>
        <item x="95"/>
        <item x="242"/>
        <item x="994"/>
        <item x="77"/>
        <item x="829"/>
        <item x="812"/>
        <item x="888"/>
        <item x="343"/>
        <item x="314"/>
        <item x="561"/>
        <item x="541"/>
        <item x="431"/>
        <item x="679"/>
        <item x="542"/>
        <item x="326"/>
        <item x="159"/>
        <item x="802"/>
        <item x="480"/>
        <item x="1071"/>
        <item x="205"/>
        <item x="1042"/>
        <item x="1074"/>
        <item x="360"/>
        <item x="675"/>
        <item x="837"/>
        <item x="1171"/>
        <item x="428"/>
        <item x="1029"/>
        <item x="432"/>
        <item x="276"/>
        <item x="706"/>
        <item x="1124"/>
        <item x="305"/>
        <item x="247"/>
        <item x="292"/>
        <item x="1128"/>
        <item x="1150"/>
        <item x="797"/>
        <item x="1127"/>
        <item x="948"/>
        <item x="1013"/>
        <item x="421"/>
        <item x="184"/>
        <item x="857"/>
        <item x="266"/>
        <item x="334"/>
        <item x="1063"/>
        <item x="203"/>
        <item x="438"/>
        <item x="209"/>
        <item x="65"/>
        <item x="278"/>
        <item x="514"/>
        <item x="569"/>
        <item x="323"/>
        <item x="101"/>
        <item x="1031"/>
        <item x="1160"/>
        <item x="528"/>
        <item x="947"/>
        <item x="377"/>
        <item x="130"/>
        <item x="592"/>
        <item x="898"/>
        <item x="1098"/>
        <item x="1189"/>
        <item x="526"/>
        <item x="152"/>
        <item x="1007"/>
        <item x="536"/>
        <item x="505"/>
        <item x="893"/>
        <item x="183"/>
        <item x="43"/>
        <item x="472"/>
        <item x="80"/>
        <item x="999"/>
        <item x="570"/>
        <item x="525"/>
        <item x="755"/>
        <item x="484"/>
        <item x="787"/>
        <item x="8"/>
        <item x="513"/>
        <item x="90"/>
        <item x="509"/>
        <item x="511"/>
        <item x="931"/>
        <item x="164"/>
        <item x="568"/>
        <item x="499"/>
        <item x="60"/>
        <item x="949"/>
        <item x="1152"/>
        <item x="1040"/>
        <item x="91"/>
        <item x="351"/>
        <item x="378"/>
        <item x="765"/>
        <item x="85"/>
        <item x="1105"/>
        <item x="609"/>
        <item x="860"/>
        <item x="202"/>
        <item x="880"/>
        <item x="718"/>
        <item x="705"/>
        <item x="530"/>
        <item x="166"/>
        <item x="18"/>
        <item x="1009"/>
        <item x="393"/>
        <item x="1072"/>
        <item x="744"/>
        <item x="521"/>
        <item x="404"/>
        <item x="688"/>
        <item x="112"/>
        <item x="720"/>
        <item x="867"/>
        <item x="1129"/>
        <item x="1118"/>
        <item x="290"/>
        <item x="211"/>
        <item x="1039"/>
        <item x="678"/>
        <item x="823"/>
        <item x="191"/>
        <item x="956"/>
        <item x="1195"/>
        <item x="518"/>
        <item x="1002"/>
        <item x="775"/>
        <item x="769"/>
        <item x="348"/>
        <item x="662"/>
        <item x="402"/>
        <item x="251"/>
        <item x="502"/>
        <item x="297"/>
        <item x="1086"/>
        <item x="436"/>
        <item x="934"/>
        <item x="200"/>
        <item x="1093"/>
        <item x="633"/>
        <item x="10"/>
        <item x="273"/>
        <item x="1017"/>
        <item x="936"/>
        <item x="685"/>
        <item x="1116"/>
        <item x="805"/>
        <item x="252"/>
        <item x="349"/>
        <item x="1005"/>
        <item x="835"/>
        <item x="687"/>
        <item x="597"/>
        <item x="1117"/>
        <item x="564"/>
        <item x="757"/>
        <item x="20"/>
        <item x="970"/>
        <item x="19"/>
        <item x="459"/>
        <item x="1091"/>
        <item x="405"/>
        <item x="46"/>
        <item x="263"/>
        <item x="783"/>
        <item x="201"/>
        <item x="373"/>
        <item x="250"/>
        <item x="1052"/>
        <item x="124"/>
        <item x="701"/>
        <item x="496"/>
        <item x="240"/>
        <item x="928"/>
        <item x="912"/>
        <item x="523"/>
        <item x="1096"/>
        <item x="182"/>
        <item x="717"/>
        <item x="549"/>
        <item x="524"/>
        <item x="137"/>
        <item x="125"/>
        <item x="363"/>
        <item x="447"/>
        <item x="462"/>
        <item x="655"/>
        <item x="165"/>
        <item x="926"/>
        <item x="1122"/>
        <item x="1065"/>
        <item x="690"/>
        <item x="155"/>
        <item x="794"/>
        <item x="1151"/>
        <item x="255"/>
        <item x="328"/>
        <item x="1019"/>
        <item x="828"/>
        <item x="573"/>
        <item x="856"/>
        <item x="359"/>
        <item x="719"/>
        <item x="512"/>
        <item x="398"/>
        <item x="483"/>
        <item x="803"/>
        <item x="11"/>
        <item x="1165"/>
        <item x="1044"/>
        <item x="1100"/>
        <item x="230"/>
        <item x="937"/>
        <item x="387"/>
        <item x="56"/>
        <item x="1097"/>
        <item x="632"/>
        <item x="830"/>
        <item x="871"/>
        <item x="262"/>
        <item x="487"/>
        <item x="924"/>
        <item x="968"/>
        <item x="554"/>
        <item x="485"/>
        <item x="478"/>
        <item x="627"/>
        <item x="538"/>
        <item x="677"/>
        <item x="417"/>
        <item x="399"/>
        <item x="51"/>
        <item x="1078"/>
        <item x="13"/>
        <item x="1126"/>
        <item x="1159"/>
        <item x="281"/>
        <item x="664"/>
        <item x="636"/>
        <item x="287"/>
        <item x="651"/>
        <item x="986"/>
        <item x="815"/>
        <item x="927"/>
        <item x="594"/>
        <item x="63"/>
        <item x="1058"/>
        <item x="648"/>
        <item x="329"/>
        <item x="492"/>
        <item x="267"/>
        <item x="811"/>
        <item x="390"/>
        <item x="157"/>
        <item x="295"/>
        <item x="341"/>
        <item x="1194"/>
        <item x="175"/>
        <item x="500"/>
        <item x="1133"/>
        <item x="272"/>
        <item t="default"/>
      </items>
    </pivotField>
    <pivotField dataField="1" showAll="0">
      <items count="1199">
        <item x="78"/>
        <item x="100"/>
        <item x="1115"/>
        <item x="609"/>
        <item x="219"/>
        <item x="729"/>
        <item x="1150"/>
        <item x="614"/>
        <item x="55"/>
        <item x="671"/>
        <item x="574"/>
        <item x="109"/>
        <item x="174"/>
        <item x="135"/>
        <item x="824"/>
        <item x="841"/>
        <item x="374"/>
        <item x="1168"/>
        <item x="507"/>
        <item x="562"/>
        <item x="314"/>
        <item x="394"/>
        <item x="214"/>
        <item x="442"/>
        <item x="576"/>
        <item x="982"/>
        <item x="354"/>
        <item x="954"/>
        <item x="30"/>
        <item x="145"/>
        <item x="475"/>
        <item x="103"/>
        <item x="849"/>
        <item x="515"/>
        <item x="172"/>
        <item x="887"/>
        <item x="399"/>
        <item x="237"/>
        <item x="412"/>
        <item x="283"/>
        <item x="889"/>
        <item x="999"/>
        <item x="1174"/>
        <item x="217"/>
        <item x="144"/>
        <item x="1046"/>
        <item x="552"/>
        <item x="943"/>
        <item x="914"/>
        <item x="115"/>
        <item x="624"/>
        <item x="86"/>
        <item x="40"/>
        <item x="92"/>
        <item x="349"/>
        <item x="1180"/>
        <item x="69"/>
        <item x="424"/>
        <item x="526"/>
        <item x="391"/>
        <item x="98"/>
        <item x="907"/>
        <item x="709"/>
        <item x="1139"/>
        <item x="1020"/>
        <item x="324"/>
        <item x="28"/>
        <item x="438"/>
        <item x="755"/>
        <item x="673"/>
        <item x="387"/>
        <item x="149"/>
        <item x="330"/>
        <item x="346"/>
        <item x="139"/>
        <item x="1138"/>
        <item x="222"/>
        <item x="197"/>
        <item x="792"/>
        <item x="1068"/>
        <item x="603"/>
        <item x="645"/>
        <item x="345"/>
        <item x="1178"/>
        <item x="329"/>
        <item x="363"/>
        <item x="179"/>
        <item x="381"/>
        <item x="742"/>
        <item x="1184"/>
        <item x="670"/>
        <item x="1026"/>
        <item x="105"/>
        <item x="326"/>
        <item x="59"/>
        <item x="1007"/>
        <item x="727"/>
        <item x="453"/>
        <item x="382"/>
        <item x="142"/>
        <item x="493"/>
        <item x="660"/>
        <item x="528"/>
        <item x="303"/>
        <item x="775"/>
        <item x="123"/>
        <item x="839"/>
        <item x="720"/>
        <item x="920"/>
        <item x="97"/>
        <item x="956"/>
        <item x="1081"/>
        <item x="622"/>
        <item x="158"/>
        <item x="586"/>
        <item x="75"/>
        <item x="711"/>
        <item x="408"/>
        <item x="1164"/>
        <item x="99"/>
        <item x="832"/>
        <item x="629"/>
        <item x="429"/>
        <item x="544"/>
        <item x="120"/>
        <item x="1015"/>
        <item x="728"/>
        <item x="602"/>
        <item x="190"/>
        <item x="50"/>
        <item x="1106"/>
        <item x="443"/>
        <item x="1038"/>
        <item x="1125"/>
        <item x="344"/>
        <item x="62"/>
        <item x="1016"/>
        <item x="146"/>
        <item x="539"/>
        <item x="1049"/>
        <item x="680"/>
        <item x="37"/>
        <item x="1030"/>
        <item x="1177"/>
        <item x="451"/>
        <item x="395"/>
        <item x="1070"/>
        <item x="265"/>
        <item x="853"/>
        <item x="195"/>
        <item x="177"/>
        <item x="813"/>
        <item x="803"/>
        <item x="288"/>
        <item x="696"/>
        <item x="258"/>
        <item x="761"/>
        <item x="830"/>
        <item x="723"/>
        <item x="245"/>
        <item x="1122"/>
        <item x="1075"/>
        <item x="581"/>
        <item x="564"/>
        <item x="151"/>
        <item x="378"/>
        <item x="616"/>
        <item x="961"/>
        <item x="952"/>
        <item x="57"/>
        <item x="625"/>
        <item x="788"/>
        <item x="49"/>
        <item x="820"/>
        <item x="514"/>
        <item x="1172"/>
        <item x="405"/>
        <item x="492"/>
        <item x="351"/>
        <item x="462"/>
        <item x="692"/>
        <item x="855"/>
        <item x="466"/>
        <item x="1045"/>
        <item x="307"/>
        <item x="862"/>
        <item x="779"/>
        <item x="319"/>
        <item x="171"/>
        <item x="487"/>
        <item x="93"/>
        <item x="1179"/>
        <item x="260"/>
        <item x="732"/>
        <item x="1069"/>
        <item x="908"/>
        <item x="1084"/>
        <item x="284"/>
        <item x="1176"/>
        <item x="1160"/>
        <item x="901"/>
        <item x="160"/>
        <item x="916"/>
        <item x="1050"/>
        <item x="148"/>
        <item x="463"/>
        <item x="206"/>
        <item x="464"/>
        <item x="1034"/>
        <item x="274"/>
        <item x="444"/>
        <item x="1189"/>
        <item x="963"/>
        <item x="662"/>
        <item x="421"/>
        <item x="108"/>
        <item x="38"/>
        <item x="682"/>
        <item x="858"/>
        <item x="1170"/>
        <item x="900"/>
        <item x="439"/>
        <item x="1112"/>
        <item x="337"/>
        <item x="45"/>
        <item x="783"/>
        <item x="938"/>
        <item x="9"/>
        <item x="261"/>
        <item x="134"/>
        <item x="193"/>
        <item x="1053"/>
        <item x="297"/>
        <item x="380"/>
        <item x="918"/>
        <item x="577"/>
        <item x="703"/>
        <item x="1171"/>
        <item x="767"/>
        <item x="289"/>
        <item x="452"/>
        <item x="566"/>
        <item x="607"/>
        <item x="946"/>
        <item x="506"/>
        <item x="102"/>
        <item x="32"/>
        <item x="534"/>
        <item x="218"/>
        <item x="902"/>
        <item x="911"/>
        <item x="173"/>
        <item x="1033"/>
        <item x="1132"/>
        <item x="136"/>
        <item x="826"/>
        <item x="500"/>
        <item x="913"/>
        <item x="1117"/>
        <item x="1148"/>
        <item x="784"/>
        <item x="1158"/>
        <item x="253"/>
        <item x="584"/>
        <item x="644"/>
        <item x="637"/>
        <item x="958"/>
        <item x="706"/>
        <item x="1043"/>
        <item x="371"/>
        <item x="323"/>
        <item x="613"/>
        <item x="870"/>
        <item x="724"/>
        <item x="379"/>
        <item x="1066"/>
        <item x="816"/>
        <item x="94"/>
        <item x="54"/>
        <item x="360"/>
        <item x="129"/>
        <item x="241"/>
        <item x="474"/>
        <item x="874"/>
        <item x="212"/>
        <item x="39"/>
        <item x="993"/>
        <item x="749"/>
        <item x="308"/>
        <item x="1025"/>
        <item x="731"/>
        <item x="833"/>
        <item x="791"/>
        <item x="121"/>
        <item x="221"/>
        <item x="877"/>
        <item x="469"/>
        <item x="519"/>
        <item x="885"/>
        <item x="455"/>
        <item x="745"/>
        <item x="739"/>
        <item x="615"/>
        <item x="1147"/>
        <item x="606"/>
        <item x="428"/>
        <item x="621"/>
        <item x="334"/>
        <item x="25"/>
        <item x="489"/>
        <item x="1141"/>
        <item x="765"/>
        <item x="960"/>
        <item x="875"/>
        <item x="776"/>
        <item x="1023"/>
        <item x="459"/>
        <item x="1057"/>
        <item x="726"/>
        <item x="892"/>
        <item x="293"/>
        <item x="1105"/>
        <item x="12"/>
        <item x="649"/>
        <item x="746"/>
        <item x="270"/>
        <item x="1028"/>
        <item x="24"/>
        <item x="285"/>
        <item x="111"/>
        <item x="722"/>
        <item x="213"/>
        <item x="710"/>
        <item x="1004"/>
        <item x="1001"/>
        <item x="643"/>
        <item x="1183"/>
        <item x="186"/>
        <item x="335"/>
        <item x="1134"/>
        <item x="848"/>
        <item x="1054"/>
        <item x="1114"/>
        <item x="1"/>
        <item x="472"/>
        <item x="21"/>
        <item x="396"/>
        <item x="664"/>
        <item x="747"/>
        <item x="433"/>
        <item x="83"/>
        <item x="1137"/>
        <item x="232"/>
        <item x="1011"/>
        <item x="239"/>
        <item x="915"/>
        <item x="87"/>
        <item x="795"/>
        <item x="1024"/>
        <item x="1062"/>
        <item x="941"/>
        <item x="127"/>
        <item x="207"/>
        <item x="1165"/>
        <item x="367"/>
        <item x="269"/>
        <item x="298"/>
        <item x="15"/>
        <item x="619"/>
        <item x="1157"/>
        <item x="599"/>
        <item x="236"/>
        <item x="1085"/>
        <item x="565"/>
        <item x="939"/>
        <item x="554"/>
        <item x="702"/>
        <item x="1133"/>
        <item x="547"/>
        <item x="141"/>
        <item x="707"/>
        <item x="760"/>
        <item x="817"/>
        <item x="972"/>
        <item x="899"/>
        <item x="932"/>
        <item x="842"/>
        <item x="198"/>
        <item x="583"/>
        <item x="891"/>
        <item x="922"/>
        <item x="1012"/>
        <item x="1009"/>
        <item x="964"/>
        <item x="861"/>
        <item x="612"/>
        <item x="864"/>
        <item x="863"/>
        <item x="31"/>
        <item x="436"/>
        <item x="778"/>
        <item x="229"/>
        <item x="315"/>
        <item x="497"/>
        <item x="14"/>
        <item x="473"/>
        <item x="597"/>
        <item x="865"/>
        <item x="1089"/>
        <item x="352"/>
        <item x="228"/>
        <item x="808"/>
        <item x="61"/>
        <item x="580"/>
        <item x="385"/>
        <item x="831"/>
        <item x="167"/>
        <item x="104"/>
        <item x="47"/>
        <item x="695"/>
        <item x="967"/>
        <item x="76"/>
        <item x="1080"/>
        <item x="96"/>
        <item x="843"/>
        <item x="478"/>
        <item x="966"/>
        <item x="147"/>
        <item x="317"/>
        <item x="423"/>
        <item x="1005"/>
        <item x="1142"/>
        <item x="66"/>
        <item x="1092"/>
        <item x="611"/>
        <item x="494"/>
        <item x="850"/>
        <item x="150"/>
        <item x="1136"/>
        <item x="110"/>
        <item x="921"/>
        <item x="235"/>
        <item x="36"/>
        <item x="685"/>
        <item x="1047"/>
        <item x="744"/>
        <item x="275"/>
        <item x="725"/>
        <item x="763"/>
        <item x="138"/>
        <item x="736"/>
        <item x="1104"/>
        <item x="1108"/>
        <item x="906"/>
        <item x="388"/>
        <item x="336"/>
        <item x="320"/>
        <item x="16"/>
        <item x="884"/>
        <item x="355"/>
        <item x="280"/>
        <item x="465"/>
        <item x="34"/>
        <item x="53"/>
        <item x="787"/>
        <item x="1169"/>
        <item x="701"/>
        <item x="375"/>
        <item x="578"/>
        <item x="648"/>
        <item x="550"/>
        <item x="546"/>
        <item x="373"/>
        <item x="233"/>
        <item x="1156"/>
        <item x="753"/>
        <item x="521"/>
        <item x="940"/>
        <item x="1056"/>
        <item x="879"/>
        <item x="162"/>
        <item x="366"/>
        <item x="770"/>
        <item x="1111"/>
        <item x="925"/>
        <item x="968"/>
        <item x="457"/>
        <item x="797"/>
        <item x="667"/>
        <item x="620"/>
        <item x="268"/>
        <item x="735"/>
        <item x="41"/>
        <item x="1186"/>
        <item x="904"/>
        <item x="402"/>
        <item x="594"/>
        <item x="585"/>
        <item x="1060"/>
        <item x="1035"/>
        <item x="634"/>
        <item x="81"/>
        <item x="628"/>
        <item x="243"/>
        <item x="1090"/>
        <item x="116"/>
        <item x="800"/>
        <item x="897"/>
        <item x="384"/>
        <item x="426"/>
        <item x="294"/>
        <item x="866"/>
        <item x="1022"/>
        <item x="636"/>
        <item x="196"/>
        <item x="1192"/>
        <item x="1018"/>
        <item x="543"/>
        <item x="734"/>
        <item x="818"/>
        <item x="44"/>
        <item x="989"/>
        <item x="1073"/>
        <item x="740"/>
        <item x="976"/>
        <item x="1032"/>
        <item x="168"/>
        <item x="1123"/>
        <item x="819"/>
        <item x="210"/>
        <item x="929"/>
        <item x="698"/>
        <item x="530"/>
        <item x="279"/>
        <item x="413"/>
        <item x="390"/>
        <item x="1100"/>
        <item x="1088"/>
        <item x="119"/>
        <item x="659"/>
        <item x="638"/>
        <item x="985"/>
        <item x="838"/>
        <item x="983"/>
        <item x="587"/>
        <item x="488"/>
        <item x="1027"/>
        <item x="910"/>
        <item x="194"/>
        <item x="42"/>
        <item x="1094"/>
        <item x="646"/>
        <item x="368"/>
        <item x="68"/>
        <item x="807"/>
        <item x="708"/>
        <item x="642"/>
        <item x="844"/>
        <item x="490"/>
        <item x="657"/>
        <item x="890"/>
        <item x="257"/>
        <item x="89"/>
        <item x="542"/>
        <item x="485"/>
        <item x="959"/>
        <item x="5"/>
        <item x="556"/>
        <item x="1185"/>
        <item x="799"/>
        <item x="448"/>
        <item x="406"/>
        <item x="357"/>
        <item x="1014"/>
        <item x="1061"/>
        <item x="131"/>
        <item x="1077"/>
        <item x="502"/>
        <item x="440"/>
        <item x="248"/>
        <item x="226"/>
        <item x="651"/>
        <item x="532"/>
        <item x="445"/>
        <item x="480"/>
        <item x="610"/>
        <item x="1190"/>
        <item x="805"/>
        <item x="74"/>
        <item x="0"/>
        <item x="773"/>
        <item x="4"/>
        <item x="658"/>
        <item x="192"/>
        <item x="672"/>
        <item x="697"/>
        <item x="88"/>
        <item x="249"/>
        <item x="588"/>
        <item x="688"/>
        <item x="1144"/>
        <item x="942"/>
        <item x="806"/>
        <item x="82"/>
        <item x="1146"/>
        <item x="71"/>
        <item x="411"/>
        <item x="845"/>
        <item x="505"/>
        <item x="460"/>
        <item x="277"/>
        <item x="1059"/>
        <item x="64"/>
        <item x="67"/>
        <item x="561"/>
        <item x="750"/>
        <item x="1166"/>
        <item x="72"/>
        <item x="1194"/>
        <item x="1116"/>
        <item x="434"/>
        <item x="321"/>
        <item x="714"/>
        <item x="301"/>
        <item x="691"/>
        <item x="299"/>
        <item x="1121"/>
        <item x="409"/>
        <item x="781"/>
        <item x="965"/>
        <item x="1079"/>
        <item x="752"/>
        <item x="886"/>
        <item x="154"/>
        <item x="895"/>
        <item x="244"/>
        <item x="590"/>
        <item x="665"/>
        <item x="70"/>
        <item x="117"/>
        <item x="538"/>
        <item x="79"/>
        <item x="107"/>
        <item x="589"/>
        <item x="17"/>
        <item x="840"/>
        <item x="410"/>
        <item x="981"/>
        <item x="1048"/>
        <item x="977"/>
        <item x="476"/>
        <item x="331"/>
        <item x="979"/>
        <item x="316"/>
        <item x="454"/>
        <item x="815"/>
        <item x="769"/>
        <item x="259"/>
        <item x="140"/>
        <item x="305"/>
        <item x="630"/>
        <item x="573"/>
        <item x="518"/>
        <item x="812"/>
        <item x="23"/>
        <item x="1002"/>
        <item x="748"/>
        <item x="617"/>
        <item x="909"/>
        <item x="633"/>
        <item x="852"/>
        <item x="533"/>
        <item x="215"/>
        <item x="407"/>
        <item x="801"/>
        <item x="468"/>
        <item x="254"/>
        <item x="595"/>
        <item x="699"/>
        <item x="869"/>
        <item x="449"/>
        <item x="48"/>
        <item x="29"/>
        <item x="189"/>
        <item x="152"/>
        <item x="188"/>
        <item x="170"/>
        <item x="156"/>
        <item x="1095"/>
        <item x="737"/>
        <item x="851"/>
        <item x="730"/>
        <item x="582"/>
        <item x="185"/>
        <item x="22"/>
        <item x="1087"/>
        <item x="777"/>
        <item x="496"/>
        <item x="947"/>
        <item x="639"/>
        <item x="1036"/>
        <item x="199"/>
        <item x="558"/>
        <item x="560"/>
        <item x="513"/>
        <item x="365"/>
        <item x="447"/>
        <item x="246"/>
        <item x="693"/>
        <item x="516"/>
        <item x="1083"/>
        <item x="479"/>
        <item x="132"/>
        <item x="605"/>
        <item x="311"/>
        <item x="361"/>
        <item x="133"/>
        <item x="1037"/>
        <item x="754"/>
        <item x="2"/>
        <item x="1021"/>
        <item x="291"/>
        <item x="52"/>
        <item x="353"/>
        <item x="545"/>
        <item x="432"/>
        <item x="828"/>
        <item x="896"/>
        <item x="992"/>
        <item x="575"/>
        <item x="310"/>
        <item x="26"/>
        <item x="1082"/>
        <item x="627"/>
        <item x="264"/>
        <item x="470"/>
        <item x="1149"/>
        <item x="878"/>
        <item x="393"/>
        <item x="978"/>
        <item x="974"/>
        <item x="143"/>
        <item x="90"/>
        <item x="945"/>
        <item x="690"/>
        <item x="312"/>
        <item x="991"/>
        <item x="796"/>
        <item x="655"/>
        <item x="675"/>
        <item x="1193"/>
        <item x="302"/>
        <item x="338"/>
        <item x="935"/>
        <item x="990"/>
        <item x="970"/>
        <item x="930"/>
        <item x="33"/>
        <item x="114"/>
        <item x="84"/>
        <item x="161"/>
        <item x="883"/>
        <item x="414"/>
        <item x="509"/>
        <item x="1076"/>
        <item x="1181"/>
        <item x="846"/>
        <item x="1175"/>
        <item x="339"/>
        <item x="58"/>
        <item x="834"/>
        <item x="450"/>
        <item x="1151"/>
        <item x="290"/>
        <item x="7"/>
        <item x="771"/>
        <item x="557"/>
        <item x="934"/>
        <item x="984"/>
        <item x="296"/>
        <item x="417"/>
        <item x="511"/>
        <item x="203"/>
        <item x="1042"/>
        <item x="1110"/>
        <item x="266"/>
        <item x="256"/>
        <item x="73"/>
        <item x="579"/>
        <item x="419"/>
        <item x="1067"/>
        <item x="1051"/>
        <item x="300"/>
        <item x="718"/>
        <item x="666"/>
        <item x="224"/>
        <item x="872"/>
        <item x="1163"/>
        <item x="571"/>
        <item x="876"/>
        <item x="169"/>
        <item x="683"/>
        <item x="1188"/>
        <item x="1098"/>
        <item x="551"/>
        <item x="668"/>
        <item x="370"/>
        <item x="1055"/>
        <item x="950"/>
        <item x="77"/>
        <item x="996"/>
        <item x="383"/>
        <item x="995"/>
        <item x="880"/>
        <item x="905"/>
        <item x="531"/>
        <item x="178"/>
        <item x="559"/>
        <item x="306"/>
        <item x="176"/>
        <item x="772"/>
        <item x="847"/>
        <item x="225"/>
        <item x="955"/>
        <item x="369"/>
        <item x="231"/>
        <item x="1153"/>
        <item x="1041"/>
        <item x="282"/>
        <item x="604"/>
        <item x="785"/>
        <item x="653"/>
        <item x="600"/>
        <item x="262"/>
        <item x="80"/>
        <item x="669"/>
        <item x="794"/>
        <item x="835"/>
        <item x="427"/>
        <item x="1182"/>
        <item x="888"/>
        <item x="1128"/>
        <item x="721"/>
        <item x="204"/>
        <item x="759"/>
        <item x="180"/>
        <item x="1019"/>
        <item x="1155"/>
        <item x="821"/>
        <item x="825"/>
        <item x="1130"/>
        <item x="273"/>
        <item x="322"/>
        <item x="364"/>
        <item x="1140"/>
        <item x="6"/>
        <item x="789"/>
        <item x="738"/>
        <item x="238"/>
        <item x="868"/>
        <item x="128"/>
        <item x="187"/>
        <item x="623"/>
        <item x="181"/>
        <item x="823"/>
        <item x="208"/>
        <item x="953"/>
        <item x="517"/>
        <item x="857"/>
        <item x="510"/>
        <item x="227"/>
        <item x="1103"/>
        <item x="1159"/>
        <item x="679"/>
        <item x="126"/>
        <item x="988"/>
        <item x="304"/>
        <item x="689"/>
        <item x="705"/>
        <item x="549"/>
        <item x="536"/>
        <item x="1143"/>
        <item x="811"/>
        <item x="347"/>
        <item x="1040"/>
        <item x="398"/>
        <item x="182"/>
        <item x="641"/>
        <item x="951"/>
        <item x="1113"/>
        <item x="882"/>
        <item x="780"/>
        <item x="163"/>
        <item x="512"/>
        <item x="286"/>
        <item x="923"/>
        <item x="881"/>
        <item x="944"/>
        <item x="343"/>
        <item x="1058"/>
        <item x="153"/>
        <item x="425"/>
        <item x="766"/>
        <item x="422"/>
        <item x="608"/>
        <item x="498"/>
        <item x="278"/>
        <item x="681"/>
        <item x="1195"/>
        <item x="975"/>
        <item x="631"/>
        <item x="1154"/>
        <item x="1013"/>
        <item x="1109"/>
        <item x="741"/>
        <item x="486"/>
        <item x="431"/>
        <item x="313"/>
        <item x="762"/>
        <item x="35"/>
        <item x="234"/>
        <item x="790"/>
        <item x="591"/>
        <item x="404"/>
        <item x="503"/>
        <item x="446"/>
        <item x="678"/>
        <item x="456"/>
        <item x="481"/>
        <item x="1187"/>
        <item x="1127"/>
        <item x="401"/>
        <item x="341"/>
        <item x="980"/>
        <item x="230"/>
        <item x="418"/>
        <item x="893"/>
        <item x="201"/>
        <item x="652"/>
        <item x="359"/>
        <item x="350"/>
        <item x="713"/>
        <item x="986"/>
        <item x="520"/>
        <item x="798"/>
        <item x="572"/>
        <item x="95"/>
        <item x="46"/>
        <item x="20"/>
        <item x="541"/>
        <item x="694"/>
        <item x="415"/>
        <item x="632"/>
        <item x="764"/>
        <item x="804"/>
        <item x="333"/>
        <item x="687"/>
        <item x="656"/>
        <item x="400"/>
        <item x="733"/>
        <item x="969"/>
        <item x="11"/>
        <item x="416"/>
        <item x="757"/>
        <item x="482"/>
        <item x="898"/>
        <item x="758"/>
        <item x="430"/>
        <item x="65"/>
        <item x="661"/>
        <item x="1065"/>
        <item x="1126"/>
        <item x="786"/>
        <item x="175"/>
        <item x="8"/>
        <item x="1091"/>
        <item x="91"/>
        <item x="903"/>
        <item x="873"/>
        <item x="356"/>
        <item x="712"/>
        <item x="467"/>
        <item x="318"/>
        <item x="1003"/>
        <item x="112"/>
        <item x="1119"/>
        <item x="220"/>
        <item x="255"/>
        <item x="973"/>
        <item x="471"/>
        <item x="1010"/>
        <item x="377"/>
        <item x="1129"/>
        <item x="837"/>
        <item x="535"/>
        <item x="715"/>
        <item x="937"/>
        <item x="962"/>
        <item x="325"/>
        <item x="60"/>
        <item x="276"/>
        <item x="340"/>
        <item x="1029"/>
        <item x="1074"/>
        <item x="933"/>
        <item x="809"/>
        <item x="1064"/>
        <item x="700"/>
        <item x="166"/>
        <item x="165"/>
        <item x="871"/>
        <item x="43"/>
        <item x="751"/>
        <item x="242"/>
        <item x="555"/>
        <item x="793"/>
        <item x="106"/>
        <item x="1052"/>
        <item x="592"/>
        <item x="118"/>
        <item x="601"/>
        <item x="949"/>
        <item x="677"/>
        <item x="113"/>
        <item x="1031"/>
        <item x="802"/>
        <item x="743"/>
        <item x="309"/>
        <item x="676"/>
        <item x="51"/>
        <item x="997"/>
        <item x="332"/>
        <item x="441"/>
        <item x="570"/>
        <item x="854"/>
        <item x="618"/>
        <item x="122"/>
        <item x="598"/>
        <item x="1008"/>
        <item x="247"/>
        <item x="461"/>
        <item x="704"/>
        <item x="183"/>
        <item x="403"/>
        <item x="216"/>
        <item x="205"/>
        <item x="1118"/>
        <item x="768"/>
        <item x="1145"/>
        <item x="495"/>
        <item x="27"/>
        <item x="1152"/>
        <item x="3"/>
        <item x="130"/>
        <item x="829"/>
        <item x="13"/>
        <item x="101"/>
        <item x="856"/>
        <item x="155"/>
        <item x="926"/>
        <item x="640"/>
        <item x="124"/>
        <item x="567"/>
        <item x="501"/>
        <item x="392"/>
        <item x="936"/>
        <item x="822"/>
        <item x="1096"/>
        <item x="292"/>
        <item x="209"/>
        <item x="137"/>
        <item x="537"/>
        <item x="240"/>
        <item x="420"/>
        <item x="477"/>
        <item x="971"/>
        <item x="931"/>
        <item x="223"/>
        <item x="271"/>
        <item x="717"/>
        <item x="1107"/>
        <item x="263"/>
        <item x="1120"/>
        <item x="200"/>
        <item x="1063"/>
        <item x="483"/>
        <item x="1072"/>
        <item x="635"/>
        <item x="894"/>
        <item x="860"/>
        <item x="504"/>
        <item x="1102"/>
        <item x="686"/>
        <item x="508"/>
        <item x="1006"/>
        <item x="18"/>
        <item x="437"/>
        <item x="362"/>
        <item x="859"/>
        <item x="1078"/>
        <item x="524"/>
        <item x="1093"/>
        <item x="499"/>
        <item x="994"/>
        <item x="372"/>
        <item x="650"/>
        <item x="211"/>
        <item x="569"/>
        <item x="522"/>
        <item x="1000"/>
        <item x="540"/>
        <item x="376"/>
        <item x="998"/>
        <item x="252"/>
        <item x="917"/>
        <item x="836"/>
        <item x="327"/>
        <item x="397"/>
        <item x="159"/>
        <item x="674"/>
        <item x="85"/>
        <item x="782"/>
        <item x="348"/>
        <item x="251"/>
        <item x="358"/>
        <item x="919"/>
        <item x="1124"/>
        <item x="756"/>
        <item x="1044"/>
        <item x="548"/>
        <item x="184"/>
        <item x="948"/>
        <item x="527"/>
        <item x="525"/>
        <item x="1086"/>
        <item x="912"/>
        <item x="1071"/>
        <item x="342"/>
        <item x="1162"/>
        <item x="774"/>
        <item x="529"/>
        <item x="1017"/>
        <item x="1173"/>
        <item x="684"/>
        <item x="1191"/>
        <item x="568"/>
        <item x="716"/>
        <item x="719"/>
        <item x="491"/>
        <item x="563"/>
        <item x="810"/>
        <item x="596"/>
        <item x="1099"/>
        <item x="867"/>
        <item x="164"/>
        <item x="1039"/>
        <item x="957"/>
        <item x="523"/>
        <item x="125"/>
        <item x="1167"/>
        <item x="202"/>
        <item x="593"/>
        <item x="250"/>
        <item x="928"/>
        <item x="1197"/>
        <item x="814"/>
        <item x="1131"/>
        <item x="924"/>
        <item x="328"/>
        <item x="10"/>
        <item x="1097"/>
        <item x="458"/>
        <item x="1101"/>
        <item x="267"/>
        <item x="435"/>
        <item x="281"/>
        <item x="191"/>
        <item x="654"/>
        <item x="386"/>
        <item x="987"/>
        <item x="1161"/>
        <item x="626"/>
        <item x="663"/>
        <item x="389"/>
        <item x="19"/>
        <item x="484"/>
        <item x="827"/>
        <item x="56"/>
        <item x="553"/>
        <item x="1135"/>
        <item x="287"/>
        <item x="927"/>
        <item x="647"/>
        <item x="63"/>
        <item x="1196"/>
        <item x="295"/>
        <item x="157"/>
        <item x="272"/>
        <item t="default"/>
      </items>
    </pivotField>
    <pivotField showAll="0"/>
    <pivotField showAll="0"/>
    <pivotField showAll="0">
      <items count="17">
        <item x="1"/>
        <item x="13"/>
        <item x="3"/>
        <item x="12"/>
        <item x="7"/>
        <item x="6"/>
        <item x="8"/>
        <item x="0"/>
        <item x="14"/>
        <item x="4"/>
        <item x="10"/>
        <item x="9"/>
        <item x="15"/>
        <item x="11"/>
        <item x="5"/>
        <item x="2"/>
        <item t="default"/>
      </items>
    </pivotField>
    <pivotField showAll="0"/>
    <pivotField numFmtId="10" showAll="0"/>
    <pivotField numFmtId="10" showAll="0">
      <items count="1201">
        <item x="19"/>
        <item x="191"/>
        <item x="379"/>
        <item x="1089"/>
        <item x="343"/>
        <item x="1194"/>
        <item x="1175"/>
        <item x="335"/>
        <item x="840"/>
        <item x="180"/>
        <item x="223"/>
        <item x="920"/>
        <item x="846"/>
        <item x="435"/>
        <item x="1053"/>
        <item x="595"/>
        <item x="187"/>
        <item x="354"/>
        <item x="1073"/>
        <item x="224"/>
        <item x="735"/>
        <item x="126"/>
        <item x="716"/>
        <item x="1101"/>
        <item x="618"/>
        <item x="1133"/>
        <item x="828"/>
        <item x="202"/>
        <item x="474"/>
        <item x="940"/>
        <item x="698"/>
        <item x="650"/>
        <item x="619"/>
        <item x="1143"/>
        <item x="714"/>
        <item x="436"/>
        <item x="931"/>
        <item x="346"/>
        <item x="362"/>
        <item x="423"/>
        <item x="722"/>
        <item x="980"/>
        <item x="752"/>
        <item x="554"/>
        <item x="409"/>
        <item x="569"/>
        <item x="553"/>
        <item x="164"/>
        <item x="271"/>
        <item x="56"/>
        <item x="415"/>
        <item x="63"/>
        <item x="22"/>
        <item x="712"/>
        <item x="1165"/>
        <item x="7"/>
        <item x="1193"/>
        <item x="72"/>
        <item x="639"/>
        <item x="792"/>
        <item x="287"/>
        <item x="759"/>
        <item x="272"/>
        <item x="1062"/>
        <item x="995"/>
        <item x="357"/>
        <item x="625"/>
        <item x="176"/>
        <item x="1136"/>
        <item x="1008"/>
        <item x="1164"/>
        <item x="294"/>
        <item x="199"/>
        <item x="157"/>
        <item x="1000"/>
        <item x="153"/>
        <item x="10"/>
        <item x="1173"/>
        <item x="1199"/>
        <item x="475"/>
        <item x="485"/>
        <item x="184"/>
        <item x="890"/>
        <item x="918"/>
        <item x="1180"/>
        <item x="922"/>
        <item x="923"/>
        <item x="131"/>
        <item x="999"/>
        <item x="295"/>
        <item x="1030"/>
        <item x="641"/>
        <item x="159"/>
        <item x="967"/>
        <item x="675"/>
        <item x="15"/>
        <item x="459"/>
        <item x="528"/>
        <item x="526"/>
        <item x="949"/>
        <item x="655"/>
        <item x="1168"/>
        <item x="234"/>
        <item x="1036"/>
        <item x="868"/>
        <item x="450"/>
        <item x="163"/>
        <item x="368"/>
        <item x="904"/>
        <item x="916"/>
        <item x="991"/>
        <item x="1184"/>
        <item x="1105"/>
        <item x="1191"/>
        <item x="808"/>
        <item x="571"/>
        <item x="256"/>
        <item x="1041"/>
        <item x="648"/>
        <item x="1104"/>
        <item x="627"/>
        <item x="958"/>
        <item x="353"/>
        <item x="161"/>
        <item x="541"/>
        <item x="837"/>
        <item x="676"/>
        <item x="622"/>
        <item x="817"/>
        <item x="628"/>
        <item x="64"/>
        <item x="895"/>
        <item x="860"/>
        <item x="179"/>
        <item x="21"/>
        <item x="401"/>
        <item x="113"/>
        <item x="600"/>
        <item x="963"/>
        <item x="387"/>
        <item x="1045"/>
        <item x="876"/>
        <item x="533"/>
        <item x="720"/>
        <item x="898"/>
        <item x="332"/>
        <item x="1017"/>
        <item x="613"/>
        <item x="6"/>
        <item x="135"/>
        <item x="1178"/>
        <item x="530"/>
        <item x="897"/>
        <item x="93"/>
        <item x="993"/>
        <item x="414"/>
        <item x="192"/>
        <item x="612"/>
        <item x="928"/>
        <item x="1163"/>
        <item x="1071"/>
        <item x="773"/>
        <item x="27"/>
        <item x="764"/>
        <item x="1190"/>
        <item x="593"/>
        <item x="832"/>
        <item x="574"/>
        <item x="149"/>
        <item x="371"/>
        <item x="1198"/>
        <item x="279"/>
        <item x="657"/>
        <item x="691"/>
        <item x="315"/>
        <item x="929"/>
        <item x="250"/>
        <item x="952"/>
        <item x="869"/>
        <item x="758"/>
        <item x="565"/>
        <item x="185"/>
        <item x="442"/>
        <item x="558"/>
        <item x="664"/>
        <item x="727"/>
        <item x="537"/>
        <item x="859"/>
        <item x="624"/>
        <item x="128"/>
        <item x="456"/>
        <item x="1103"/>
        <item x="1112"/>
        <item x="1013"/>
        <item x="1066"/>
        <item x="810"/>
        <item x="653"/>
        <item x="997"/>
        <item x="768"/>
        <item x="504"/>
        <item x="924"/>
        <item x="310"/>
        <item x="1099"/>
        <item x="629"/>
        <item x="732"/>
        <item x="597"/>
        <item x="961"/>
        <item x="377"/>
        <item x="1115"/>
        <item x="936"/>
        <item x="503"/>
        <item x="855"/>
        <item x="775"/>
        <item x="919"/>
        <item x="281"/>
        <item x="303"/>
        <item x="385"/>
        <item x="482"/>
        <item x="564"/>
        <item x="581"/>
        <item x="361"/>
        <item x="734"/>
        <item x="125"/>
        <item x="577"/>
        <item x="524"/>
        <item x="915"/>
        <item x="847"/>
        <item x="85"/>
        <item x="1029"/>
        <item x="243"/>
        <item x="1174"/>
        <item x="25"/>
        <item x="851"/>
        <item x="925"/>
        <item x="751"/>
        <item x="416"/>
        <item x="685"/>
        <item x="173"/>
        <item x="1192"/>
        <item x="309"/>
        <item x="891"/>
        <item x="1019"/>
        <item x="681"/>
        <item x="1048"/>
        <item x="1001"/>
        <item x="227"/>
        <item x="836"/>
        <item x="174"/>
        <item x="419"/>
        <item x="299"/>
        <item x="984"/>
        <item x="1088"/>
        <item x="643"/>
        <item x="746"/>
        <item x="570"/>
        <item x="976"/>
        <item x="438"/>
        <item x="1111"/>
        <item x="791"/>
        <item x="844"/>
        <item x="856"/>
        <item x="508"/>
        <item x="1172"/>
        <item x="1070"/>
        <item x="692"/>
        <item x="1102"/>
        <item x="1169"/>
        <item x="834"/>
        <item x="709"/>
        <item x="575"/>
        <item x="989"/>
        <item x="1006"/>
        <item x="974"/>
        <item x="862"/>
        <item x="1149"/>
        <item x="525"/>
        <item x="696"/>
        <item x="24"/>
        <item x="489"/>
        <item x="1065"/>
        <item x="580"/>
        <item x="3"/>
        <item x="136"/>
        <item x="382"/>
        <item x="608"/>
        <item x="896"/>
        <item x="737"/>
        <item x="1181"/>
        <item x="1114"/>
        <item x="1100"/>
        <item x="977"/>
        <item x="319"/>
        <item x="392"/>
        <item x="731"/>
        <item x="684"/>
        <item x="717"/>
        <item x="1052"/>
        <item x="550"/>
        <item x="421"/>
        <item x="1195"/>
        <item x="505"/>
        <item x="988"/>
        <item x="440"/>
        <item x="1106"/>
        <item x="251"/>
        <item x="132"/>
        <item x="585"/>
        <item x="122"/>
        <item x="557"/>
        <item x="1078"/>
        <item x="973"/>
        <item x="424"/>
        <item x="704"/>
        <item x="216"/>
        <item x="509"/>
        <item x="695"/>
        <item x="799"/>
        <item x="292"/>
        <item x="484"/>
        <item x="913"/>
        <item x="340"/>
        <item x="818"/>
        <item x="257"/>
        <item x="826"/>
        <item x="34"/>
        <item x="144"/>
        <item x="258"/>
        <item x="715"/>
        <item x="880"/>
        <item x="403"/>
        <item x="957"/>
        <item x="453"/>
        <item x="408"/>
        <item x="552"/>
        <item x="757"/>
        <item x="790"/>
        <item x="1129"/>
        <item x="325"/>
        <item x="322"/>
        <item x="451"/>
        <item x="892"/>
        <item x="1148"/>
        <item x="1147"/>
        <item x="5"/>
        <item x="40"/>
        <item x="780"/>
        <item x="211"/>
        <item x="349"/>
        <item x="604"/>
        <item x="209"/>
        <item x="914"/>
        <item x="535"/>
        <item x="599"/>
        <item x="861"/>
        <item x="682"/>
        <item x="488"/>
        <item x="308"/>
        <item x="18"/>
        <item x="455"/>
        <item x="114"/>
        <item x="549"/>
        <item x="738"/>
        <item x="582"/>
        <item x="874"/>
        <item x="711"/>
        <item x="1171"/>
        <item x="468"/>
        <item x="671"/>
        <item x="733"/>
        <item x="1024"/>
        <item x="1188"/>
        <item x="158"/>
        <item x="870"/>
        <item x="140"/>
        <item x="1043"/>
        <item x="932"/>
        <item x="265"/>
        <item x="926"/>
        <item x="998"/>
        <item x="333"/>
        <item x="555"/>
        <item x="1074"/>
        <item x="556"/>
        <item x="983"/>
        <item x="244"/>
        <item x="786"/>
        <item x="1179"/>
        <item x="1109"/>
        <item x="1137"/>
        <item x="342"/>
        <item x="1142"/>
        <item x="821"/>
        <item x="783"/>
        <item x="252"/>
        <item x="270"/>
        <item x="118"/>
        <item x="774"/>
        <item x="819"/>
        <item x="743"/>
        <item x="854"/>
        <item x="420"/>
        <item x="772"/>
        <item x="1056"/>
        <item x="718"/>
        <item x="586"/>
        <item x="602"/>
        <item x="188"/>
        <item x="220"/>
        <item x="945"/>
        <item x="280"/>
        <item x="1126"/>
        <item x="134"/>
        <item x="742"/>
        <item x="205"/>
        <item x="1154"/>
        <item x="813"/>
        <item x="1046"/>
        <item x="105"/>
        <item x="238"/>
        <item x="493"/>
        <item x="583"/>
        <item x="1095"/>
        <item x="249"/>
        <item x="1122"/>
        <item x="2"/>
        <item x="838"/>
        <item x="189"/>
        <item x="418"/>
        <item x="89"/>
        <item x="815"/>
        <item x="713"/>
        <item x="406"/>
        <item x="933"/>
        <item x="355"/>
        <item x="1153"/>
        <item x="106"/>
        <item x="367"/>
        <item x="101"/>
        <item x="534"/>
        <item x="390"/>
        <item x="359"/>
        <item x="1096"/>
        <item x="795"/>
        <item x="749"/>
        <item x="568"/>
        <item x="284"/>
        <item x="88"/>
        <item x="275"/>
        <item x="69"/>
        <item x="490"/>
        <item x="1003"/>
        <item x="822"/>
        <item x="1050"/>
        <item x="516"/>
        <item x="328"/>
        <item x="130"/>
        <item x="247"/>
        <item x="373"/>
        <item x="214"/>
        <item x="222"/>
        <item x="398"/>
        <item x="84"/>
        <item x="96"/>
        <item x="1007"/>
        <item x="242"/>
        <item x="1002"/>
        <item x="649"/>
        <item x="578"/>
        <item x="673"/>
        <item x="992"/>
        <item x="1177"/>
        <item x="200"/>
        <item x="523"/>
        <item x="35"/>
        <item x="393"/>
        <item x="785"/>
        <item x="806"/>
        <item x="481"/>
        <item x="687"/>
        <item x="934"/>
        <item x="207"/>
        <item x="666"/>
        <item x="302"/>
        <item x="544"/>
        <item x="269"/>
        <item x="73"/>
        <item x="954"/>
        <item x="264"/>
        <item x="286"/>
        <item x="465"/>
        <item x="950"/>
        <item x="776"/>
        <item x="948"/>
        <item x="823"/>
        <item x="231"/>
        <item x="1110"/>
        <item x="1072"/>
        <item x="388"/>
        <item x="987"/>
        <item x="1022"/>
        <item x="267"/>
        <item x="116"/>
        <item x="183"/>
        <item x="1076"/>
        <item x="107"/>
        <item x="363"/>
        <item x="1063"/>
        <item x="594"/>
        <item x="326"/>
        <item x="1189"/>
        <item x="576"/>
        <item x="365"/>
        <item x="1031"/>
        <item x="883"/>
        <item x="800"/>
        <item x="1009"/>
        <item x="473"/>
        <item x="263"/>
        <item x="68"/>
        <item x="208"/>
        <item x="972"/>
        <item x="374"/>
        <item x="329"/>
        <item x="1033"/>
        <item x="959"/>
        <item x="1012"/>
        <item x="389"/>
        <item x="767"/>
        <item x="276"/>
        <item x="148"/>
        <item x="680"/>
        <item x="502"/>
        <item x="169"/>
        <item x="457"/>
        <item x="590"/>
        <item x="1058"/>
        <item x="1079"/>
        <item x="364"/>
        <item x="301"/>
        <item x="921"/>
        <item x="659"/>
        <item x="763"/>
        <item x="141"/>
        <item x="739"/>
        <item x="781"/>
        <item x="1134"/>
        <item x="434"/>
        <item x="937"/>
        <item x="344"/>
        <item x="178"/>
        <item x="689"/>
        <item x="147"/>
        <item x="466"/>
        <item x="522"/>
        <item x="311"/>
        <item x="640"/>
        <item x="540"/>
        <item x="1087"/>
        <item x="422"/>
        <item x="877"/>
        <item x="886"/>
        <item x="517"/>
        <item x="240"/>
        <item x="1131"/>
        <item x="793"/>
        <item x="560"/>
        <item x="1170"/>
        <item x="1005"/>
        <item x="1080"/>
        <item x="761"/>
        <item x="705"/>
        <item x="103"/>
        <item x="198"/>
        <item x="589"/>
        <item x="43"/>
        <item x="850"/>
        <item x="143"/>
        <item x="798"/>
        <item x="291"/>
        <item x="300"/>
        <item x="404"/>
        <item x="296"/>
        <item x="110"/>
        <item x="228"/>
        <item x="884"/>
        <item x="563"/>
        <item x="53"/>
        <item x="76"/>
        <item x="75"/>
        <item x="964"/>
        <item x="426"/>
        <item x="397"/>
        <item x="942"/>
        <item x="762"/>
        <item x="981"/>
        <item x="1069"/>
        <item x="1023"/>
        <item x="225"/>
        <item x="965"/>
        <item x="431"/>
        <item x="99"/>
        <item x="760"/>
        <item x="137"/>
        <item x="41"/>
        <item x="1098"/>
        <item x="725"/>
        <item x="605"/>
        <item x="852"/>
        <item x="656"/>
        <item x="827"/>
        <item x="769"/>
        <item x="233"/>
        <item x="744"/>
        <item x="124"/>
        <item x="700"/>
        <item x="127"/>
        <item x="543"/>
        <item x="536"/>
        <item x="1176"/>
        <item x="55"/>
        <item x="331"/>
        <item x="1047"/>
        <item x="1128"/>
        <item x="410"/>
        <item x="229"/>
        <item x="472"/>
        <item x="95"/>
        <item x="358"/>
        <item x="461"/>
        <item x="845"/>
        <item x="908"/>
        <item x="60"/>
        <item x="478"/>
        <item x="458"/>
        <item x="492"/>
        <item x="1068"/>
        <item x="542"/>
        <item x="375"/>
        <item x="1075"/>
        <item x="491"/>
        <item x="538"/>
        <item x="1083"/>
        <item x="1120"/>
        <item x="166"/>
        <item x="888"/>
        <item x="181"/>
        <item x="811"/>
        <item x="882"/>
        <item x="678"/>
        <item x="1091"/>
        <item x="825"/>
        <item x="1092"/>
        <item x="708"/>
        <item x="971"/>
        <item x="378"/>
        <item x="642"/>
        <item x="947"/>
        <item x="282"/>
        <item x="1020"/>
        <item x="927"/>
        <item x="903"/>
        <item x="1057"/>
        <item x="384"/>
        <item x="79"/>
        <item x="155"/>
        <item x="383"/>
        <item x="501"/>
        <item x="766"/>
        <item x="879"/>
        <item x="65"/>
        <item x="636"/>
        <item x="236"/>
        <item x="1059"/>
        <item x="651"/>
        <item x="496"/>
        <item x="360"/>
        <item x="445"/>
        <item x="1040"/>
        <item x="985"/>
        <item x="171"/>
        <item x="745"/>
        <item x="966"/>
        <item x="334"/>
        <item x="97"/>
        <item x="1144"/>
        <item x="59"/>
        <item x="306"/>
        <item x="905"/>
        <item x="370"/>
        <item x="1011"/>
        <item x="679"/>
        <item x="145"/>
        <item x="146"/>
        <item x="469"/>
        <item x="857"/>
        <item x="899"/>
        <item x="787"/>
        <item x="8"/>
        <item x="946"/>
        <item x="572"/>
        <item x="669"/>
        <item x="506"/>
        <item x="1157"/>
        <item x="824"/>
        <item x="104"/>
        <item x="356"/>
        <item x="1162"/>
        <item x="912"/>
        <item x="196"/>
        <item x="441"/>
        <item x="61"/>
        <item x="91"/>
        <item x="901"/>
        <item x="92"/>
        <item x="14"/>
        <item x="614"/>
        <item x="1197"/>
        <item x="728"/>
        <item x="1145"/>
        <item x="730"/>
        <item x="784"/>
        <item x="112"/>
        <item x="314"/>
        <item x="683"/>
        <item x="1039"/>
        <item x="843"/>
        <item x="782"/>
        <item x="98"/>
        <item x="1158"/>
        <item x="248"/>
        <item x="1127"/>
        <item x="1038"/>
        <item x="437"/>
        <item x="559"/>
        <item x="740"/>
        <item x="830"/>
        <item x="0"/>
        <item x="462"/>
        <item x="463"/>
        <item x="956"/>
        <item x="460"/>
        <item x="756"/>
        <item x="439"/>
        <item x="36"/>
        <item x="394"/>
        <item x="241"/>
        <item x="9"/>
        <item x="167"/>
        <item x="232"/>
        <item x="31"/>
        <item x="566"/>
        <item x="288"/>
        <item x="432"/>
        <item x="318"/>
        <item x="52"/>
        <item x="1004"/>
        <item x="13"/>
        <item x="16"/>
        <item x="601"/>
        <item x="1054"/>
        <item x="412"/>
        <item x="1016"/>
        <item x="1055"/>
        <item x="1090"/>
        <item x="894"/>
        <item x="765"/>
        <item x="994"/>
        <item x="647"/>
        <item x="616"/>
        <item x="117"/>
        <item x="42"/>
        <item x="978"/>
        <item x="156"/>
        <item x="1028"/>
        <item x="237"/>
        <item x="701"/>
        <item x="154"/>
        <item x="975"/>
        <item x="1025"/>
        <item x="186"/>
        <item x="777"/>
        <item x="848"/>
        <item x="1014"/>
        <item x="1146"/>
        <item x="592"/>
        <item x="867"/>
        <item x="1161"/>
        <item x="1015"/>
        <item x="519"/>
        <item x="688"/>
        <item x="289"/>
        <item x="351"/>
        <item x="803"/>
        <item x="794"/>
        <item x="729"/>
        <item x="239"/>
        <item x="1121"/>
        <item x="654"/>
        <item x="215"/>
        <item x="849"/>
        <item x="812"/>
        <item x="1135"/>
        <item x="1160"/>
        <item x="165"/>
        <item x="955"/>
        <item x="617"/>
        <item x="119"/>
        <item x="400"/>
        <item x="662"/>
        <item x="548"/>
        <item x="866"/>
        <item x="313"/>
        <item x="551"/>
        <item x="1185"/>
        <item x="206"/>
        <item x="753"/>
        <item x="1152"/>
        <item x="521"/>
        <item x="833"/>
        <item x="863"/>
        <item x="111"/>
        <item x="677"/>
        <item x="906"/>
        <item x="816"/>
        <item x="66"/>
        <item x="413"/>
        <item x="278"/>
        <item x="51"/>
        <item x="1141"/>
        <item x="28"/>
        <item x="665"/>
        <item x="476"/>
        <item x="58"/>
        <item x="839"/>
        <item x="660"/>
        <item x="204"/>
        <item x="1037"/>
        <item x="1108"/>
        <item x="139"/>
        <item x="872"/>
        <item x="193"/>
        <item x="1116"/>
        <item x="741"/>
        <item x="444"/>
        <item x="630"/>
        <item x="1093"/>
        <item x="86"/>
        <item x="706"/>
        <item x="893"/>
        <item x="944"/>
        <item x="213"/>
        <item x="133"/>
        <item x="515"/>
        <item x="907"/>
        <item x="467"/>
        <item x="255"/>
        <item x="305"/>
        <item x="637"/>
        <item x="842"/>
        <item x="938"/>
        <item x="33"/>
        <item x="633"/>
        <item x="809"/>
        <item x="1156"/>
        <item x="805"/>
        <item x="694"/>
        <item x="339"/>
        <item x="427"/>
        <item x="454"/>
        <item x="499"/>
        <item x="968"/>
        <item x="672"/>
        <item x="1113"/>
        <item x="670"/>
        <item x="307"/>
        <item x="667"/>
        <item x="197"/>
        <item x="520"/>
        <item x="1167"/>
        <item x="486"/>
        <item x="293"/>
        <item x="402"/>
        <item x="1"/>
        <item x="770"/>
        <item x="285"/>
        <item x="889"/>
        <item x="661"/>
        <item x="20"/>
        <item x="532"/>
        <item x="858"/>
        <item x="609"/>
        <item x="23"/>
        <item x="500"/>
        <item x="820"/>
        <item x="47"/>
        <item x="513"/>
        <item x="873"/>
        <item x="1186"/>
        <item x="801"/>
        <item x="324"/>
        <item x="320"/>
        <item x="982"/>
        <item x="1061"/>
        <item x="46"/>
        <item x="1067"/>
        <item x="771"/>
        <item x="621"/>
        <item x="789"/>
        <item x="477"/>
        <item x="120"/>
        <item x="1132"/>
        <item x="70"/>
        <item x="1150"/>
        <item x="366"/>
        <item x="969"/>
        <item x="610"/>
        <item x="87"/>
        <item x="686"/>
        <item x="428"/>
        <item x="32"/>
        <item x="338"/>
        <item x="724"/>
        <item x="1182"/>
        <item x="539"/>
        <item x="547"/>
        <item x="494"/>
        <item x="1027"/>
        <item x="1042"/>
        <item x="429"/>
        <item x="268"/>
        <item x="260"/>
        <item x="878"/>
        <item x="471"/>
        <item x="259"/>
        <item x="142"/>
        <item x="94"/>
        <item x="283"/>
        <item x="201"/>
        <item x="917"/>
        <item x="1051"/>
        <item x="887"/>
        <item x="996"/>
        <item x="323"/>
        <item x="483"/>
        <item x="464"/>
        <item x="190"/>
        <item x="990"/>
        <item x="511"/>
        <item x="312"/>
        <item x="710"/>
        <item x="381"/>
        <item x="1107"/>
        <item x="11"/>
        <item x="274"/>
        <item x="900"/>
        <item x="77"/>
        <item x="778"/>
        <item x="405"/>
        <item x="573"/>
        <item x="45"/>
        <item x="102"/>
        <item x="970"/>
        <item x="1077"/>
        <item x="603"/>
        <item x="380"/>
        <item x="909"/>
        <item x="417"/>
        <item x="1097"/>
        <item x="218"/>
        <item x="587"/>
        <item x="109"/>
        <item x="470"/>
        <item x="336"/>
        <item x="261"/>
        <item x="447"/>
        <item x="221"/>
        <item x="83"/>
        <item x="80"/>
        <item x="510"/>
        <item x="1034"/>
        <item x="674"/>
        <item x="50"/>
        <item x="1196"/>
        <item x="1159"/>
        <item x="230"/>
        <item x="348"/>
        <item x="449"/>
        <item x="588"/>
        <item x="902"/>
        <item x="606"/>
        <item x="1035"/>
        <item x="607"/>
        <item x="507"/>
        <item x="853"/>
        <item x="210"/>
        <item x="645"/>
        <item x="631"/>
        <item x="396"/>
        <item x="448"/>
        <item x="67"/>
        <item x="807"/>
        <item x="345"/>
        <item x="57"/>
        <item x="498"/>
        <item x="518"/>
        <item x="160"/>
        <item x="123"/>
        <item x="1183"/>
        <item x="446"/>
        <item x="433"/>
        <item x="699"/>
        <item x="253"/>
        <item x="546"/>
        <item x="129"/>
        <item x="1044"/>
        <item x="598"/>
        <item x="78"/>
        <item x="979"/>
        <item x="316"/>
        <item x="623"/>
        <item x="626"/>
        <item x="411"/>
        <item x="960"/>
        <item x="235"/>
        <item x="81"/>
        <item x="487"/>
        <item x="962"/>
        <item x="82"/>
        <item x="754"/>
        <item x="391"/>
        <item x="707"/>
        <item x="1138"/>
        <item x="831"/>
        <item x="1139"/>
        <item x="26"/>
        <item x="632"/>
        <item x="638"/>
        <item x="615"/>
        <item x="30"/>
        <item x="44"/>
        <item x="172"/>
        <item x="182"/>
        <item x="266"/>
        <item x="881"/>
        <item x="951"/>
        <item x="203"/>
        <item x="1151"/>
        <item x="273"/>
        <item x="12"/>
        <item x="430"/>
        <item x="29"/>
        <item x="443"/>
        <item x="1082"/>
        <item x="321"/>
        <item x="170"/>
        <item x="386"/>
        <item x="1086"/>
        <item x="219"/>
        <item x="584"/>
        <item x="1119"/>
        <item x="217"/>
        <item x="327"/>
        <item x="1084"/>
        <item x="1049"/>
        <item x="723"/>
        <item x="1085"/>
        <item x="1026"/>
        <item x="246"/>
        <item x="865"/>
        <item x="871"/>
        <item x="407"/>
        <item x="479"/>
        <item x="138"/>
        <item x="690"/>
        <item x="100"/>
        <item x="875"/>
        <item x="693"/>
        <item x="352"/>
        <item x="939"/>
        <item x="1166"/>
        <item x="591"/>
        <item x="747"/>
        <item x="829"/>
        <item x="1094"/>
        <item x="1123"/>
        <item x="797"/>
        <item x="1032"/>
        <item x="841"/>
        <item x="941"/>
        <item x="721"/>
        <item x="277"/>
        <item x="4"/>
        <item x="796"/>
        <item x="399"/>
        <item x="376"/>
        <item x="17"/>
        <item x="658"/>
        <item x="562"/>
        <item x="750"/>
        <item x="115"/>
        <item x="620"/>
        <item x="986"/>
        <item x="702"/>
        <item x="48"/>
        <item x="703"/>
        <item x="226"/>
        <item x="1187"/>
        <item x="37"/>
        <item x="596"/>
        <item x="341"/>
        <item x="347"/>
        <item x="1140"/>
        <item x="497"/>
        <item x="663"/>
        <item x="1010"/>
        <item x="635"/>
        <item x="1021"/>
        <item x="545"/>
        <item x="531"/>
        <item x="369"/>
        <item x="54"/>
        <item x="304"/>
        <item x="611"/>
        <item x="150"/>
        <item x="108"/>
        <item x="121"/>
        <item x="1081"/>
        <item x="337"/>
        <item x="748"/>
        <item x="726"/>
        <item x="39"/>
        <item x="480"/>
        <item x="634"/>
        <item x="527"/>
        <item x="788"/>
        <item x="350"/>
        <item x="864"/>
        <item x="561"/>
        <item x="804"/>
        <item x="194"/>
        <item x="62"/>
        <item x="1124"/>
        <item x="1018"/>
        <item x="317"/>
        <item x="1155"/>
        <item x="567"/>
        <item x="74"/>
        <item x="652"/>
        <item x="254"/>
        <item x="90"/>
        <item x="930"/>
        <item x="885"/>
        <item x="290"/>
        <item x="262"/>
        <item x="372"/>
        <item x="579"/>
        <item x="644"/>
        <item x="195"/>
        <item x="814"/>
        <item x="911"/>
        <item x="297"/>
        <item x="779"/>
        <item x="298"/>
        <item x="177"/>
        <item x="212"/>
        <item x="1130"/>
        <item x="495"/>
        <item x="646"/>
        <item x="935"/>
        <item x="1118"/>
        <item x="529"/>
        <item x="175"/>
        <item x="755"/>
        <item x="910"/>
        <item x="1117"/>
        <item x="1125"/>
        <item x="514"/>
        <item x="802"/>
        <item x="697"/>
        <item x="835"/>
        <item x="452"/>
        <item x="71"/>
        <item x="953"/>
        <item x="395"/>
        <item x="168"/>
        <item x="943"/>
        <item x="151"/>
        <item x="162"/>
        <item x="1060"/>
        <item x="719"/>
        <item x="49"/>
        <item x="668"/>
        <item x="245"/>
        <item x="736"/>
        <item x="152"/>
        <item x="330"/>
        <item x="512"/>
        <item x="38"/>
        <item x="1064"/>
        <item x="42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dragToRow="0" dragToCol="0" dragToPage="0" showAll="0" defaultSubtotal="0"/>
  </pivotFields>
  <rowFields count="1">
    <field x="2"/>
  </rowFields>
  <rowItems count="5">
    <i>
      <x/>
    </i>
    <i>
      <x v="1"/>
    </i>
    <i>
      <x v="2"/>
    </i>
    <i>
      <x v="3"/>
    </i>
    <i t="grand">
      <x/>
    </i>
  </rowItems>
  <colFields count="1">
    <field x="-2"/>
  </colFields>
  <colItems count="2">
    <i>
      <x/>
    </i>
    <i i="1">
      <x v="1"/>
    </i>
  </colItems>
  <dataFields count="2">
    <dataField name="Sum of Revenue_USD" fld="4" baseField="0" baseItem="0" numFmtId="164"/>
    <dataField name="Sum of COGS_USD" fld="5" baseField="0" baseItem="0" numFmtId="164"/>
  </dataFields>
  <formats count="2">
    <format dxfId="11">
      <pivotArea outline="0" collapsedLevelsAreSubtotals="1" fieldPosition="0">
        <references count="1">
          <reference field="4294967294" count="1" selected="0">
            <x v="0"/>
          </reference>
        </references>
      </pivotArea>
    </format>
    <format dxfId="10">
      <pivotArea outline="0" collapsedLevelsAreSubtotals="1" fieldPosition="0">
        <references count="1">
          <reference field="4294967294" count="1" selected="0">
            <x v="1"/>
          </reference>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6EC6806-B639-44F1-BA6E-EC4EDA610051}"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ales Channel">
  <location ref="A66:B70" firstHeaderRow="1" firstDataRow="1" firstDataCol="1"/>
  <pivotFields count="16">
    <pivotField numFmtId="14" showAll="0">
      <items count="601">
        <item x="79"/>
        <item x="511"/>
        <item x="199"/>
        <item x="86"/>
        <item x="123"/>
        <item x="525"/>
        <item x="29"/>
        <item x="99"/>
        <item x="467"/>
        <item x="346"/>
        <item x="559"/>
        <item x="325"/>
        <item x="52"/>
        <item x="138"/>
        <item x="242"/>
        <item x="151"/>
        <item x="168"/>
        <item x="300"/>
        <item x="313"/>
        <item x="442"/>
        <item x="422"/>
        <item x="187"/>
        <item x="225"/>
        <item x="159"/>
        <item x="380"/>
        <item x="165"/>
        <item x="431"/>
        <item x="474"/>
        <item x="512"/>
        <item x="144"/>
        <item x="154"/>
        <item x="73"/>
        <item x="129"/>
        <item x="360"/>
        <item x="108"/>
        <item x="88"/>
        <item x="318"/>
        <item x="460"/>
        <item x="358"/>
        <item x="553"/>
        <item x="43"/>
        <item x="240"/>
        <item x="424"/>
        <item x="207"/>
        <item x="447"/>
        <item x="569"/>
        <item x="576"/>
        <item x="149"/>
        <item x="173"/>
        <item x="222"/>
        <item x="537"/>
        <item x="493"/>
        <item x="497"/>
        <item x="49"/>
        <item x="238"/>
        <item x="364"/>
        <item x="492"/>
        <item x="304"/>
        <item x="558"/>
        <item x="290"/>
        <item x="87"/>
        <item x="509"/>
        <item x="139"/>
        <item x="298"/>
        <item x="219"/>
        <item x="117"/>
        <item x="428"/>
        <item x="591"/>
        <item x="175"/>
        <item x="102"/>
        <item x="323"/>
        <item x="599"/>
        <item x="595"/>
        <item x="375"/>
        <item x="554"/>
        <item x="80"/>
        <item x="122"/>
        <item x="486"/>
        <item x="51"/>
        <item x="314"/>
        <item x="205"/>
        <item x="0"/>
        <item x="39"/>
        <item x="388"/>
        <item x="434"/>
        <item x="189"/>
        <item x="137"/>
        <item x="93"/>
        <item x="84"/>
        <item x="438"/>
        <item x="120"/>
        <item x="127"/>
        <item x="177"/>
        <item x="295"/>
        <item x="47"/>
        <item x="152"/>
        <item x="403"/>
        <item x="232"/>
        <item x="582"/>
        <item x="289"/>
        <item x="46"/>
        <item x="475"/>
        <item x="371"/>
        <item x="167"/>
        <item x="261"/>
        <item x="389"/>
        <item x="188"/>
        <item x="457"/>
        <item x="463"/>
        <item x="367"/>
        <item x="355"/>
        <item x="294"/>
        <item x="465"/>
        <item x="118"/>
        <item x="251"/>
        <item x="212"/>
        <item x="254"/>
        <item x="476"/>
        <item x="478"/>
        <item x="423"/>
        <item x="69"/>
        <item x="27"/>
        <item x="437"/>
        <item x="31"/>
        <item x="310"/>
        <item x="377"/>
        <item x="521"/>
        <item x="311"/>
        <item x="213"/>
        <item x="107"/>
        <item x="32"/>
        <item x="452"/>
        <item x="541"/>
        <item x="223"/>
        <item x="291"/>
        <item x="510"/>
        <item x="579"/>
        <item x="427"/>
        <item x="505"/>
        <item x="539"/>
        <item x="383"/>
        <item x="36"/>
        <item x="317"/>
        <item x="362"/>
        <item x="155"/>
        <item x="359"/>
        <item x="548"/>
        <item x="384"/>
        <item x="469"/>
        <item x="246"/>
        <item x="279"/>
        <item x="296"/>
        <item x="191"/>
        <item x="508"/>
        <item x="148"/>
        <item x="305"/>
        <item x="575"/>
        <item x="19"/>
        <item x="373"/>
        <item x="163"/>
        <item x="536"/>
        <item x="285"/>
        <item x="44"/>
        <item x="392"/>
        <item x="104"/>
        <item x="264"/>
        <item x="8"/>
        <item x="566"/>
        <item x="301"/>
        <item x="363"/>
        <item x="190"/>
        <item x="81"/>
        <item x="209"/>
        <item x="394"/>
        <item x="164"/>
        <item x="498"/>
        <item x="540"/>
        <item x="255"/>
        <item x="297"/>
        <item x="265"/>
        <item x="195"/>
        <item x="523"/>
        <item x="516"/>
        <item x="142"/>
        <item x="162"/>
        <item x="321"/>
        <item x="468"/>
        <item x="239"/>
        <item x="564"/>
        <item x="439"/>
        <item x="92"/>
        <item x="574"/>
        <item x="387"/>
        <item x="237"/>
        <item x="128"/>
        <item x="315"/>
        <item x="385"/>
        <item x="258"/>
        <item x="551"/>
        <item x="281"/>
        <item x="596"/>
        <item x="75"/>
        <item x="494"/>
        <item x="115"/>
        <item x="146"/>
        <item x="473"/>
        <item x="48"/>
        <item x="354"/>
        <item x="425"/>
        <item x="249"/>
        <item x="462"/>
        <item x="106"/>
        <item x="587"/>
        <item x="366"/>
        <item x="169"/>
        <item x="160"/>
        <item x="259"/>
        <item x="417"/>
        <item x="275"/>
        <item x="446"/>
        <item x="215"/>
        <item x="583"/>
        <item x="507"/>
        <item x="267"/>
        <item x="170"/>
        <item x="231"/>
        <item x="5"/>
        <item x="503"/>
        <item x="57"/>
        <item x="334"/>
        <item x="59"/>
        <item x="408"/>
        <item x="235"/>
        <item x="76"/>
        <item x="109"/>
        <item x="268"/>
        <item x="119"/>
        <item x="410"/>
        <item x="405"/>
        <item x="157"/>
        <item x="276"/>
        <item x="557"/>
        <item x="584"/>
        <item x="531"/>
        <item x="101"/>
        <item x="593"/>
        <item x="543"/>
        <item x="370"/>
        <item x="156"/>
        <item x="236"/>
        <item x="89"/>
        <item x="200"/>
        <item x="252"/>
        <item x="82"/>
        <item x="181"/>
        <item x="150"/>
        <item x="597"/>
        <item x="182"/>
        <item x="485"/>
        <item x="495"/>
        <item x="546"/>
        <item x="350"/>
        <item x="241"/>
        <item x="560"/>
        <item x="538"/>
        <item x="95"/>
        <item x="153"/>
        <item x="562"/>
        <item x="445"/>
        <item x="535"/>
        <item x="65"/>
        <item x="544"/>
        <item x="299"/>
        <item x="1"/>
        <item x="327"/>
        <item x="577"/>
        <item x="443"/>
        <item x="83"/>
        <item x="216"/>
        <item x="528"/>
        <item x="263"/>
        <item x="345"/>
        <item x="340"/>
        <item x="282"/>
        <item x="580"/>
        <item x="158"/>
        <item x="110"/>
        <item x="415"/>
        <item x="37"/>
        <item x="228"/>
        <item x="206"/>
        <item x="309"/>
        <item x="483"/>
        <item x="339"/>
        <item x="489"/>
        <item x="293"/>
        <item x="229"/>
        <item x="274"/>
        <item x="132"/>
        <item x="262"/>
        <item x="34"/>
        <item x="433"/>
        <item x="6"/>
        <item x="337"/>
        <item x="184"/>
        <item x="441"/>
        <item x="202"/>
        <item x="21"/>
        <item x="401"/>
        <item x="269"/>
        <item x="590"/>
        <item x="112"/>
        <item x="530"/>
        <item x="365"/>
        <item x="589"/>
        <item x="278"/>
        <item x="572"/>
        <item x="22"/>
        <item x="351"/>
        <item x="7"/>
        <item x="499"/>
        <item x="328"/>
        <item x="141"/>
        <item x="287"/>
        <item x="15"/>
        <item x="519"/>
        <item x="125"/>
        <item x="60"/>
        <item x="63"/>
        <item x="214"/>
        <item x="41"/>
        <item x="33"/>
        <item x="70"/>
        <item x="348"/>
        <item x="332"/>
        <item x="113"/>
        <item x="134"/>
        <item x="386"/>
        <item x="40"/>
        <item x="481"/>
        <item x="97"/>
        <item x="450"/>
        <item x="247"/>
        <item x="514"/>
        <item x="145"/>
        <item x="54"/>
        <item x="283"/>
        <item x="183"/>
        <item x="286"/>
        <item x="455"/>
        <item x="491"/>
        <item x="448"/>
        <item x="194"/>
        <item x="178"/>
        <item x="284"/>
        <item x="114"/>
        <item x="50"/>
        <item x="500"/>
        <item x="470"/>
        <item x="464"/>
        <item x="227"/>
        <item x="78"/>
        <item x="376"/>
        <item x="352"/>
        <item x="526"/>
        <item x="413"/>
        <item x="517"/>
        <item x="288"/>
        <item x="308"/>
        <item x="454"/>
        <item x="397"/>
        <item x="211"/>
        <item x="329"/>
        <item x="353"/>
        <item x="400"/>
        <item x="131"/>
        <item x="67"/>
        <item x="594"/>
        <item x="121"/>
        <item x="111"/>
        <item x="324"/>
        <item x="336"/>
        <item x="518"/>
        <item x="571"/>
        <item x="429"/>
        <item x="218"/>
        <item x="62"/>
        <item x="208"/>
        <item x="472"/>
        <item x="198"/>
        <item x="484"/>
        <item x="243"/>
        <item x="549"/>
        <item x="105"/>
        <item x="524"/>
        <item x="35"/>
        <item x="451"/>
        <item x="221"/>
        <item x="440"/>
        <item x="369"/>
        <item x="585"/>
        <item x="230"/>
        <item x="26"/>
        <item x="12"/>
        <item x="2"/>
        <item x="10"/>
        <item x="477"/>
        <item x="482"/>
        <item x="55"/>
        <item x="126"/>
        <item x="320"/>
        <item x="13"/>
        <item x="567"/>
        <item x="244"/>
        <item x="91"/>
        <item x="135"/>
        <item x="68"/>
        <item x="203"/>
        <item x="224"/>
        <item x="77"/>
        <item x="133"/>
        <item x="513"/>
        <item x="124"/>
        <item x="179"/>
        <item x="166"/>
        <item x="466"/>
        <item x="185"/>
        <item x="172"/>
        <item x="402"/>
        <item x="506"/>
        <item x="17"/>
        <item x="515"/>
        <item x="316"/>
        <item x="379"/>
        <item x="217"/>
        <item x="307"/>
        <item x="338"/>
        <item x="180"/>
        <item x="456"/>
        <item x="273"/>
        <item x="416"/>
        <item x="435"/>
        <item x="570"/>
        <item x="174"/>
        <item x="581"/>
        <item x="461"/>
        <item x="496"/>
        <item x="58"/>
        <item x="302"/>
        <item x="98"/>
        <item x="341"/>
        <item x="504"/>
        <item x="186"/>
        <item x="292"/>
        <item x="277"/>
        <item x="280"/>
        <item x="74"/>
        <item x="347"/>
        <item x="342"/>
        <item x="3"/>
        <item x="234"/>
        <item x="343"/>
        <item x="16"/>
        <item x="542"/>
        <item x="23"/>
        <item x="331"/>
        <item x="349"/>
        <item x="396"/>
        <item x="140"/>
        <item x="28"/>
        <item x="253"/>
        <item x="96"/>
        <item x="398"/>
        <item x="147"/>
        <item x="458"/>
        <item x="527"/>
        <item x="100"/>
        <item x="326"/>
        <item x="479"/>
        <item x="257"/>
        <item x="335"/>
        <item x="430"/>
        <item x="171"/>
        <item x="436"/>
        <item x="330"/>
        <item x="196"/>
        <item x="487"/>
        <item x="444"/>
        <item x="409"/>
        <item x="197"/>
        <item x="245"/>
        <item x="319"/>
        <item x="272"/>
        <item x="490"/>
        <item x="406"/>
        <item x="381"/>
        <item x="220"/>
        <item x="24"/>
        <item x="312"/>
        <item x="14"/>
        <item x="393"/>
        <item x="522"/>
        <item x="56"/>
        <item x="248"/>
        <item x="573"/>
        <item x="143"/>
        <item x="547"/>
        <item x="502"/>
        <item x="592"/>
        <item x="586"/>
        <item x="390"/>
        <item x="38"/>
        <item x="414"/>
        <item x="30"/>
        <item x="130"/>
        <item x="561"/>
        <item x="378"/>
        <item x="306"/>
        <item x="210"/>
        <item x="64"/>
        <item x="418"/>
        <item x="534"/>
        <item x="204"/>
        <item x="192"/>
        <item x="578"/>
        <item x="116"/>
        <item x="136"/>
        <item x="404"/>
        <item x="598"/>
        <item x="419"/>
        <item x="322"/>
        <item x="18"/>
        <item x="11"/>
        <item x="260"/>
        <item x="399"/>
        <item x="453"/>
        <item x="533"/>
        <item x="552"/>
        <item x="71"/>
        <item x="395"/>
        <item x="520"/>
        <item x="25"/>
        <item x="233"/>
        <item x="556"/>
        <item x="391"/>
        <item x="94"/>
        <item x="103"/>
        <item x="90"/>
        <item x="568"/>
        <item x="72"/>
        <item x="193"/>
        <item x="45"/>
        <item x="407"/>
        <item x="250"/>
        <item x="176"/>
        <item x="361"/>
        <item x="372"/>
        <item x="532"/>
        <item x="374"/>
        <item x="412"/>
        <item x="256"/>
        <item x="344"/>
        <item x="421"/>
        <item x="333"/>
        <item x="356"/>
        <item x="4"/>
        <item x="529"/>
        <item x="488"/>
        <item x="53"/>
        <item x="449"/>
        <item x="565"/>
        <item x="357"/>
        <item x="271"/>
        <item x="85"/>
        <item x="42"/>
        <item x="459"/>
        <item x="161"/>
        <item x="266"/>
        <item x="303"/>
        <item x="550"/>
        <item x="545"/>
        <item x="270"/>
        <item x="426"/>
        <item x="20"/>
        <item x="588"/>
        <item x="420"/>
        <item x="480"/>
        <item x="66"/>
        <item x="201"/>
        <item x="555"/>
        <item x="61"/>
        <item x="563"/>
        <item x="501"/>
        <item x="368"/>
        <item x="382"/>
        <item x="432"/>
        <item x="411"/>
        <item x="9"/>
        <item x="226"/>
        <item x="471"/>
        <item t="default"/>
      </items>
    </pivotField>
    <pivotField showAll="0">
      <items count="5">
        <item x="1"/>
        <item x="2"/>
        <item x="0"/>
        <item x="3"/>
        <item t="default"/>
      </items>
    </pivotField>
    <pivotField showAll="0">
      <items count="5">
        <item x="2"/>
        <item x="1"/>
        <item x="0"/>
        <item x="3"/>
        <item t="default"/>
      </items>
    </pivotField>
    <pivotField axis="axisRow" showAll="0">
      <items count="4">
        <item x="1"/>
        <item x="0"/>
        <item x="2"/>
        <item t="default"/>
      </items>
    </pivotField>
    <pivotField showAll="0">
      <items count="1197">
        <item x="78"/>
        <item x="100"/>
        <item x="135"/>
        <item x="575"/>
        <item x="174"/>
        <item x="610"/>
        <item x="730"/>
        <item x="508"/>
        <item x="55"/>
        <item x="315"/>
        <item x="1011"/>
        <item x="1113"/>
        <item x="1148"/>
        <item x="577"/>
        <item x="825"/>
        <item x="219"/>
        <item x="1166"/>
        <item x="375"/>
        <item x="672"/>
        <item x="563"/>
        <item x="214"/>
        <item x="981"/>
        <item x="615"/>
        <item x="355"/>
        <item x="109"/>
        <item x="103"/>
        <item x="145"/>
        <item x="516"/>
        <item x="953"/>
        <item x="889"/>
        <item x="998"/>
        <item x="849"/>
        <item x="553"/>
        <item x="476"/>
        <item x="443"/>
        <item x="625"/>
        <item x="1046"/>
        <item x="30"/>
        <item x="395"/>
        <item x="914"/>
        <item x="887"/>
        <item x="144"/>
        <item x="237"/>
        <item x="40"/>
        <item x="400"/>
        <item x="413"/>
        <item x="392"/>
        <item x="1172"/>
        <item x="172"/>
        <item x="149"/>
        <item x="69"/>
        <item x="325"/>
        <item x="283"/>
        <item x="346"/>
        <item x="1176"/>
        <item x="92"/>
        <item x="1020"/>
        <item x="943"/>
        <item x="1068"/>
        <item x="179"/>
        <item x="907"/>
        <item x="388"/>
        <item x="86"/>
        <item x="98"/>
        <item x="604"/>
        <item x="1006"/>
        <item x="382"/>
        <item x="222"/>
        <item x="331"/>
        <item x="217"/>
        <item x="1178"/>
        <item x="439"/>
        <item x="1137"/>
        <item x="756"/>
        <item x="743"/>
        <item x="793"/>
        <item x="28"/>
        <item x="671"/>
        <item x="840"/>
        <item x="710"/>
        <item x="364"/>
        <item x="105"/>
        <item x="115"/>
        <item x="409"/>
        <item x="712"/>
        <item x="350"/>
        <item x="674"/>
        <item x="139"/>
        <item x="527"/>
        <item x="197"/>
        <item x="1015"/>
        <item x="955"/>
        <item x="59"/>
        <item x="158"/>
        <item x="1026"/>
        <item x="776"/>
        <item x="425"/>
        <item x="728"/>
        <item x="383"/>
        <item x="1182"/>
        <item x="920"/>
        <item x="347"/>
        <item x="1136"/>
        <item x="454"/>
        <item x="75"/>
        <item x="1081"/>
        <item x="681"/>
        <item x="97"/>
        <item x="99"/>
        <item x="646"/>
        <item x="379"/>
        <item x="327"/>
        <item x="661"/>
        <item x="142"/>
        <item x="494"/>
        <item x="1175"/>
        <item x="265"/>
        <item x="330"/>
        <item x="565"/>
        <item x="853"/>
        <item x="540"/>
        <item x="258"/>
        <item x="833"/>
        <item x="1038"/>
        <item x="630"/>
        <item x="729"/>
        <item x="1070"/>
        <item x="123"/>
        <item x="1123"/>
        <item x="587"/>
        <item x="146"/>
        <item x="582"/>
        <item x="120"/>
        <item x="623"/>
        <item x="1104"/>
        <item x="1170"/>
        <item x="444"/>
        <item x="304"/>
        <item x="762"/>
        <item x="603"/>
        <item x="190"/>
        <item x="93"/>
        <item x="721"/>
        <item x="855"/>
        <item x="529"/>
        <item x="1069"/>
        <item x="1174"/>
        <item x="821"/>
        <item x="430"/>
        <item x="1162"/>
        <item x="50"/>
        <item x="1034"/>
        <item x="288"/>
        <item x="1187"/>
        <item x="1177"/>
        <item x="780"/>
        <item x="308"/>
        <item x="493"/>
        <item x="406"/>
        <item x="1049"/>
        <item x="345"/>
        <item x="488"/>
        <item x="545"/>
        <item x="733"/>
        <item x="858"/>
        <item x="1169"/>
        <item x="1050"/>
        <item x="1168"/>
        <item x="284"/>
        <item x="1110"/>
        <item x="440"/>
        <item x="396"/>
        <item x="918"/>
        <item x="768"/>
        <item x="724"/>
        <item x="617"/>
        <item x="62"/>
        <item x="1045"/>
        <item x="1016"/>
        <item x="1030"/>
        <item x="465"/>
        <item x="704"/>
        <item x="37"/>
        <item x="608"/>
        <item x="148"/>
        <item x="1075"/>
        <item x="171"/>
        <item x="463"/>
        <item x="134"/>
        <item x="453"/>
        <item x="173"/>
        <item x="831"/>
        <item x="515"/>
        <item x="535"/>
        <item x="1043"/>
        <item x="789"/>
        <item x="422"/>
        <item x="136"/>
        <item x="962"/>
        <item x="475"/>
        <item x="578"/>
        <item x="862"/>
        <item x="817"/>
        <item x="804"/>
        <item x="1158"/>
        <item x="195"/>
        <item x="467"/>
        <item x="177"/>
        <item x="814"/>
        <item x="452"/>
        <item x="913"/>
        <item x="445"/>
        <item x="57"/>
        <item x="585"/>
        <item x="960"/>
        <item x="792"/>
        <item x="626"/>
        <item x="361"/>
        <item x="1120"/>
        <item x="697"/>
        <item x="320"/>
        <item x="683"/>
        <item x="335"/>
        <item x="900"/>
        <item x="206"/>
        <item x="784"/>
        <item x="732"/>
        <item x="785"/>
        <item x="260"/>
        <item x="309"/>
        <item x="1139"/>
        <item x="1130"/>
        <item x="9"/>
        <item x="945"/>
        <item x="245"/>
        <item x="834"/>
        <item x="622"/>
        <item x="650"/>
        <item x="908"/>
        <item x="1053"/>
        <item x="456"/>
        <item x="916"/>
        <item x="902"/>
        <item x="827"/>
        <item x="151"/>
        <item x="352"/>
        <item x="464"/>
        <item x="957"/>
        <item x="746"/>
        <item x="875"/>
        <item x="901"/>
        <item x="911"/>
        <item x="693"/>
        <item x="274"/>
        <item x="193"/>
        <item x="951"/>
        <item x="501"/>
        <item x="289"/>
        <item x="1028"/>
        <item x="1145"/>
        <item x="160"/>
        <item x="25"/>
        <item x="338"/>
        <item x="959"/>
        <item x="727"/>
        <item x="1132"/>
        <item x="1084"/>
        <item x="45"/>
        <item x="725"/>
        <item x="49"/>
        <item x="381"/>
        <item x="261"/>
        <item x="1066"/>
        <item x="21"/>
        <item x="614"/>
        <item x="32"/>
        <item x="939"/>
        <item x="915"/>
        <item x="24"/>
        <item x="1156"/>
        <item x="368"/>
        <item x="15"/>
        <item x="102"/>
        <item x="490"/>
        <item x="218"/>
        <item x="600"/>
        <item x="270"/>
        <item x="885"/>
        <item x="241"/>
        <item x="507"/>
        <item x="663"/>
        <item x="1146"/>
        <item x="938"/>
        <item x="108"/>
        <item x="711"/>
        <item x="922"/>
        <item x="474"/>
        <item x="992"/>
        <item x="1033"/>
        <item x="299"/>
        <item x="324"/>
        <item x="1054"/>
        <item x="613"/>
        <item x="1000"/>
        <item x="353"/>
        <item x="645"/>
        <item x="298"/>
        <item x="253"/>
        <item x="740"/>
        <item x="94"/>
        <item x="766"/>
        <item x="38"/>
        <item x="832"/>
        <item x="567"/>
        <item x="965"/>
        <item x="971"/>
        <item x="380"/>
        <item x="616"/>
        <item x="1115"/>
        <item x="861"/>
        <item x="818"/>
        <item x="555"/>
        <item x="1057"/>
        <item x="1003"/>
        <item x="473"/>
        <item x="891"/>
        <item x="581"/>
        <item x="207"/>
        <item x="1025"/>
        <item x="638"/>
        <item x="707"/>
        <item x="921"/>
        <item x="1010"/>
        <item x="460"/>
        <item x="269"/>
        <item x="434"/>
        <item x="612"/>
        <item x="520"/>
        <item x="129"/>
        <item x="397"/>
        <item x="777"/>
        <item x="932"/>
        <item x="1023"/>
        <item x="843"/>
        <item x="696"/>
        <item x="870"/>
        <item x="877"/>
        <item x="764"/>
        <item x="941"/>
        <item x="850"/>
        <item x="1004"/>
        <item x="1085"/>
        <item x="127"/>
        <item x="595"/>
        <item x="221"/>
        <item x="892"/>
        <item x="470"/>
        <item x="429"/>
        <item x="141"/>
        <item x="874"/>
        <item x="424"/>
        <item x="111"/>
        <item x="1190"/>
        <item x="372"/>
        <item x="1060"/>
        <item x="761"/>
        <item x="293"/>
        <item x="186"/>
        <item x="54"/>
        <item x="735"/>
        <item x="198"/>
        <item x="737"/>
        <item x="848"/>
        <item x="1181"/>
        <item x="607"/>
        <item x="236"/>
        <item x="232"/>
        <item x="750"/>
        <item x="39"/>
        <item x="294"/>
        <item x="213"/>
        <item x="285"/>
        <item x="96"/>
        <item x="963"/>
        <item x="1103"/>
        <item x="708"/>
        <item x="212"/>
        <item x="897"/>
        <item x="239"/>
        <item x="1112"/>
        <item x="665"/>
        <item x="34"/>
        <item x="639"/>
        <item x="566"/>
        <item x="228"/>
        <item x="629"/>
        <item x="229"/>
        <item x="1"/>
        <item x="1167"/>
        <item x="121"/>
        <item x="842"/>
        <item x="243"/>
        <item x="275"/>
        <item x="385"/>
        <item x="280"/>
        <item x="879"/>
        <item x="147"/>
        <item x="414"/>
        <item x="76"/>
        <item x="1089"/>
        <item x="279"/>
        <item x="1131"/>
        <item x="808"/>
        <item x="336"/>
        <item x="1163"/>
        <item x="548"/>
        <item x="403"/>
        <item x="925"/>
        <item x="1106"/>
        <item x="12"/>
        <item x="87"/>
        <item x="698"/>
        <item x="131"/>
        <item x="437"/>
        <item x="14"/>
        <item x="31"/>
        <item x="845"/>
        <item x="1012"/>
        <item x="649"/>
        <item x="1184"/>
        <item x="61"/>
        <item x="389"/>
        <item x="975"/>
        <item x="367"/>
        <item x="110"/>
        <item x="1099"/>
        <item x="1027"/>
        <item x="435"/>
        <item x="982"/>
        <item x="83"/>
        <item x="104"/>
        <item x="747"/>
        <item x="586"/>
        <item x="533"/>
        <item x="167"/>
        <item x="1022"/>
        <item x="466"/>
        <item x="723"/>
        <item x="72"/>
        <item x="489"/>
        <item x="1140"/>
        <item x="643"/>
        <item x="374"/>
        <item x="890"/>
        <item x="709"/>
        <item x="192"/>
        <item x="865"/>
        <item x="503"/>
        <item x="819"/>
        <item x="1164"/>
        <item x="53"/>
        <item x="1155"/>
        <item x="64"/>
        <item x="1056"/>
        <item x="318"/>
        <item x="1135"/>
        <item x="522"/>
        <item x="745"/>
        <item x="899"/>
        <item x="978"/>
        <item x="1188"/>
        <item x="257"/>
        <item x="809"/>
        <item x="557"/>
        <item x="233"/>
        <item x="116"/>
        <item x="544"/>
        <item x="618"/>
        <item x="5"/>
        <item x="36"/>
        <item x="798"/>
        <item x="1024"/>
        <item x="356"/>
        <item x="966"/>
        <item x="66"/>
        <item x="751"/>
        <item x="41"/>
        <item x="1094"/>
        <item x="1087"/>
        <item x="644"/>
        <item x="47"/>
        <item x="458"/>
        <item x="332"/>
        <item x="796"/>
        <item x="16"/>
        <item x="89"/>
        <item x="748"/>
        <item x="692"/>
        <item x="1154"/>
        <item x="1144"/>
        <item x="620"/>
        <item x="22"/>
        <item x="450"/>
        <item x="774"/>
        <item x="574"/>
        <item x="1090"/>
        <item x="895"/>
        <item x="904"/>
        <item x="584"/>
        <item x="498"/>
        <item x="68"/>
        <item x="362"/>
        <item x="715"/>
        <item x="703"/>
        <item x="199"/>
        <item x="354"/>
        <item x="322"/>
        <item x="249"/>
        <item x="906"/>
        <item x="316"/>
        <item x="598"/>
        <item x="481"/>
        <item x="1073"/>
        <item x="88"/>
        <item x="551"/>
        <item x="806"/>
        <item x="1018"/>
        <item x="1061"/>
        <item x="673"/>
        <item x="800"/>
        <item x="686"/>
        <item x="864"/>
        <item x="196"/>
        <item x="244"/>
        <item x="1077"/>
        <item x="185"/>
        <item x="1008"/>
        <item x="386"/>
        <item x="930"/>
        <item x="844"/>
        <item x="543"/>
        <item x="455"/>
        <item x="659"/>
        <item x="415"/>
        <item x="491"/>
        <item x="1062"/>
        <item x="628"/>
        <item x="1080"/>
        <item x="866"/>
        <item x="140"/>
        <item x="896"/>
        <item x="1051"/>
        <item x="302"/>
        <item x="1035"/>
        <item x="1109"/>
        <item x="991"/>
        <item x="547"/>
        <item x="358"/>
        <item x="863"/>
        <item x="224"/>
        <item x="7"/>
        <item x="689"/>
        <item x="408"/>
        <item x="589"/>
        <item x="676"/>
        <item x="989"/>
        <item x="666"/>
        <item x="1134"/>
        <item x="771"/>
        <item x="731"/>
        <item x="479"/>
        <item x="967"/>
        <item x="161"/>
        <item x="1048"/>
        <item x="1088"/>
        <item x="691"/>
        <item x="813"/>
        <item x="235"/>
        <item x="869"/>
        <item x="1161"/>
        <item x="621"/>
        <item x="779"/>
        <item x="107"/>
        <item x="637"/>
        <item x="42"/>
        <item x="427"/>
        <item x="268"/>
        <item x="647"/>
        <item x="738"/>
        <item x="741"/>
        <item x="119"/>
        <item x="256"/>
        <item x="1092"/>
        <item x="801"/>
        <item x="749"/>
        <item x="132"/>
        <item x="300"/>
        <item x="441"/>
        <item x="1001"/>
        <item x="303"/>
        <item x="534"/>
        <item x="935"/>
        <item x="188"/>
        <item x="461"/>
        <item x="248"/>
        <item x="590"/>
        <item x="189"/>
        <item x="1047"/>
        <item x="660"/>
        <item x="839"/>
        <item x="558"/>
        <item x="138"/>
        <item x="1014"/>
        <item x="321"/>
        <item x="583"/>
        <item x="410"/>
        <item x="846"/>
        <item x="180"/>
        <item x="176"/>
        <item x="820"/>
        <item x="0"/>
        <item x="150"/>
        <item x="1108"/>
        <item x="506"/>
        <item x="722"/>
        <item x="1191"/>
        <item x="1186"/>
        <item x="187"/>
        <item x="371"/>
        <item x="988"/>
        <item x="754"/>
        <item x="964"/>
        <item x="126"/>
        <item x="2"/>
        <item x="726"/>
        <item x="1076"/>
        <item x="495"/>
        <item x="79"/>
        <item x="412"/>
        <item x="376"/>
        <item x="486"/>
        <item x="1180"/>
        <item x="782"/>
        <item x="773"/>
        <item x="340"/>
        <item x="337"/>
        <item x="702"/>
        <item x="1142"/>
        <item x="580"/>
        <item x="946"/>
        <item x="995"/>
        <item x="114"/>
        <item x="81"/>
        <item x="1032"/>
        <item x="451"/>
        <item x="940"/>
        <item x="788"/>
        <item x="210"/>
        <item x="884"/>
        <item x="684"/>
        <item x="700"/>
        <item x="6"/>
        <item x="640"/>
        <item x="1102"/>
        <item x="306"/>
        <item x="154"/>
        <item x="423"/>
        <item x="851"/>
        <item x="699"/>
        <item x="588"/>
        <item x="117"/>
        <item x="264"/>
        <item x="990"/>
        <item x="772"/>
        <item x="517"/>
        <item x="576"/>
        <item x="44"/>
        <item x="868"/>
        <item x="552"/>
        <item x="579"/>
        <item x="753"/>
        <item x="153"/>
        <item x="1149"/>
        <item x="163"/>
        <item x="84"/>
        <item x="128"/>
        <item x="836"/>
        <item x="624"/>
        <item x="420"/>
        <item x="976"/>
        <item x="418"/>
        <item x="391"/>
        <item x="1173"/>
        <item x="469"/>
        <item x="291"/>
        <item x="635"/>
        <item x="311"/>
        <item x="1021"/>
        <item x="537"/>
        <item x="449"/>
        <item x="1059"/>
        <item x="950"/>
        <item x="714"/>
        <item x="227"/>
        <item x="143"/>
        <item x="816"/>
        <item x="234"/>
        <item x="519"/>
        <item x="1111"/>
        <item x="923"/>
        <item x="73"/>
        <item x="958"/>
        <item x="987"/>
        <item x="1041"/>
        <item x="826"/>
        <item x="446"/>
        <item x="786"/>
        <item x="70"/>
        <item x="296"/>
        <item x="656"/>
        <item x="790"/>
        <item x="1036"/>
        <item x="215"/>
        <item x="559"/>
        <item x="883"/>
        <item x="156"/>
        <item x="531"/>
        <item x="162"/>
        <item x="984"/>
        <item x="886"/>
        <item x="539"/>
        <item x="759"/>
        <item x="550"/>
        <item x="301"/>
        <item x="770"/>
        <item x="980"/>
        <item x="1037"/>
        <item x="477"/>
        <item x="807"/>
        <item x="878"/>
        <item x="169"/>
        <item x="1138"/>
        <item x="974"/>
        <item x="1192"/>
        <item x="929"/>
        <item x="716"/>
        <item x="668"/>
        <item x="795"/>
        <item x="407"/>
        <item x="504"/>
        <item x="1107"/>
        <item x="736"/>
        <item x="658"/>
        <item x="876"/>
        <item x="969"/>
        <item x="357"/>
        <item x="401"/>
        <item x="67"/>
        <item x="369"/>
        <item x="1067"/>
        <item x="23"/>
        <item x="238"/>
        <item x="482"/>
        <item x="52"/>
        <item x="259"/>
        <item x="82"/>
        <item x="791"/>
        <item x="653"/>
        <item x="194"/>
        <item x="903"/>
        <item x="822"/>
        <item x="1121"/>
        <item x="231"/>
        <item x="1183"/>
        <item x="657"/>
        <item x="394"/>
        <item x="910"/>
        <item x="758"/>
        <item x="419"/>
        <item x="178"/>
        <item x="752"/>
        <item x="226"/>
        <item x="168"/>
        <item x="983"/>
        <item x="682"/>
        <item x="4"/>
        <item x="560"/>
        <item x="416"/>
        <item x="734"/>
        <item x="973"/>
        <item x="944"/>
        <item x="611"/>
        <item x="619"/>
        <item x="365"/>
        <item x="952"/>
        <item x="694"/>
        <item x="133"/>
        <item x="961"/>
        <item x="225"/>
        <item x="652"/>
        <item x="1055"/>
        <item x="572"/>
        <item x="313"/>
        <item x="277"/>
        <item x="208"/>
        <item x="631"/>
        <item x="366"/>
        <item x="1125"/>
        <item x="739"/>
        <item x="411"/>
        <item x="605"/>
        <item x="742"/>
        <item x="74"/>
        <item x="562"/>
        <item x="799"/>
        <item x="852"/>
        <item x="384"/>
        <item x="1119"/>
        <item x="695"/>
        <item x="669"/>
        <item x="1095"/>
        <item x="680"/>
        <item x="286"/>
        <item x="113"/>
        <item x="778"/>
        <item x="760"/>
        <item x="571"/>
        <item x="591"/>
        <item x="342"/>
        <item x="882"/>
        <item x="593"/>
        <item x="810"/>
        <item x="1064"/>
        <item x="282"/>
        <item x="312"/>
        <item x="58"/>
        <item x="339"/>
        <item x="972"/>
        <item x="370"/>
        <item x="35"/>
        <item x="33"/>
        <item x="781"/>
        <item x="319"/>
        <item x="1079"/>
        <item x="841"/>
        <item x="17"/>
        <item x="767"/>
        <item x="442"/>
        <item x="344"/>
        <item x="310"/>
        <item x="223"/>
        <item x="471"/>
        <item x="181"/>
        <item x="873"/>
        <item x="954"/>
        <item x="641"/>
        <item x="854"/>
        <item x="606"/>
        <item x="27"/>
        <item x="448"/>
        <item x="1114"/>
        <item x="71"/>
        <item x="468"/>
        <item x="1153"/>
        <item x="29"/>
        <item x="763"/>
        <item x="942"/>
        <item x="271"/>
        <item x="426"/>
        <item x="170"/>
        <item x="601"/>
        <item x="1185"/>
        <item x="847"/>
        <item x="667"/>
        <item x="824"/>
        <item x="457"/>
        <item x="317"/>
        <item x="985"/>
        <item x="905"/>
        <item x="642"/>
        <item x="713"/>
        <item x="881"/>
        <item x="872"/>
        <item x="546"/>
        <item x="433"/>
        <item x="220"/>
        <item x="654"/>
        <item x="48"/>
        <item x="596"/>
        <item x="122"/>
        <item x="634"/>
        <item x="1141"/>
        <item x="838"/>
        <item x="510"/>
        <item x="556"/>
        <item x="246"/>
        <item x="3"/>
        <item x="993"/>
        <item x="977"/>
        <item x="1083"/>
        <item x="26"/>
        <item x="216"/>
        <item x="979"/>
        <item x="1101"/>
        <item x="894"/>
        <item x="118"/>
        <item x="599"/>
        <item x="307"/>
        <item x="532"/>
        <item x="996"/>
        <item x="333"/>
        <item x="204"/>
        <item x="602"/>
        <item x="919"/>
        <item x="254"/>
        <item x="1157"/>
        <item x="1179"/>
        <item x="497"/>
        <item x="1143"/>
        <item x="1147"/>
        <item x="1193"/>
        <item x="1082"/>
        <item x="859"/>
        <item x="909"/>
        <item x="997"/>
        <item x="106"/>
        <item x="917"/>
        <item x="670"/>
        <item x="933"/>
        <item x="95"/>
        <item x="242"/>
        <item x="994"/>
        <item x="77"/>
        <item x="829"/>
        <item x="812"/>
        <item x="888"/>
        <item x="343"/>
        <item x="314"/>
        <item x="561"/>
        <item x="541"/>
        <item x="431"/>
        <item x="679"/>
        <item x="542"/>
        <item x="326"/>
        <item x="159"/>
        <item x="802"/>
        <item x="480"/>
        <item x="1071"/>
        <item x="205"/>
        <item x="1042"/>
        <item x="1074"/>
        <item x="360"/>
        <item x="675"/>
        <item x="837"/>
        <item x="1171"/>
        <item x="428"/>
        <item x="1029"/>
        <item x="432"/>
        <item x="276"/>
        <item x="706"/>
        <item x="1124"/>
        <item x="305"/>
        <item x="247"/>
        <item x="292"/>
        <item x="1128"/>
        <item x="1150"/>
        <item x="797"/>
        <item x="1127"/>
        <item x="948"/>
        <item x="1013"/>
        <item x="421"/>
        <item x="184"/>
        <item x="857"/>
        <item x="266"/>
        <item x="334"/>
        <item x="1063"/>
        <item x="203"/>
        <item x="438"/>
        <item x="209"/>
        <item x="65"/>
        <item x="278"/>
        <item x="514"/>
        <item x="569"/>
        <item x="323"/>
        <item x="101"/>
        <item x="1031"/>
        <item x="1160"/>
        <item x="528"/>
        <item x="947"/>
        <item x="377"/>
        <item x="130"/>
        <item x="592"/>
        <item x="898"/>
        <item x="1098"/>
        <item x="1189"/>
        <item x="526"/>
        <item x="152"/>
        <item x="1007"/>
        <item x="536"/>
        <item x="505"/>
        <item x="893"/>
        <item x="183"/>
        <item x="43"/>
        <item x="472"/>
        <item x="80"/>
        <item x="999"/>
        <item x="570"/>
        <item x="525"/>
        <item x="755"/>
        <item x="484"/>
        <item x="787"/>
        <item x="8"/>
        <item x="513"/>
        <item x="90"/>
        <item x="509"/>
        <item x="511"/>
        <item x="931"/>
        <item x="164"/>
        <item x="568"/>
        <item x="499"/>
        <item x="60"/>
        <item x="949"/>
        <item x="1152"/>
        <item x="1040"/>
        <item x="91"/>
        <item x="351"/>
        <item x="378"/>
        <item x="765"/>
        <item x="85"/>
        <item x="1105"/>
        <item x="609"/>
        <item x="860"/>
        <item x="202"/>
        <item x="880"/>
        <item x="718"/>
        <item x="705"/>
        <item x="530"/>
        <item x="166"/>
        <item x="18"/>
        <item x="1009"/>
        <item x="393"/>
        <item x="1072"/>
        <item x="744"/>
        <item x="521"/>
        <item x="404"/>
        <item x="688"/>
        <item x="112"/>
        <item x="720"/>
        <item x="867"/>
        <item x="1129"/>
        <item x="1118"/>
        <item x="290"/>
        <item x="211"/>
        <item x="1039"/>
        <item x="678"/>
        <item x="823"/>
        <item x="191"/>
        <item x="956"/>
        <item x="1195"/>
        <item x="518"/>
        <item x="1002"/>
        <item x="775"/>
        <item x="769"/>
        <item x="348"/>
        <item x="662"/>
        <item x="402"/>
        <item x="251"/>
        <item x="502"/>
        <item x="297"/>
        <item x="1086"/>
        <item x="436"/>
        <item x="934"/>
        <item x="200"/>
        <item x="1093"/>
        <item x="633"/>
        <item x="10"/>
        <item x="273"/>
        <item x="1017"/>
        <item x="936"/>
        <item x="685"/>
        <item x="1116"/>
        <item x="805"/>
        <item x="252"/>
        <item x="349"/>
        <item x="1005"/>
        <item x="835"/>
        <item x="687"/>
        <item x="597"/>
        <item x="1117"/>
        <item x="564"/>
        <item x="757"/>
        <item x="20"/>
        <item x="970"/>
        <item x="19"/>
        <item x="459"/>
        <item x="1091"/>
        <item x="405"/>
        <item x="46"/>
        <item x="263"/>
        <item x="783"/>
        <item x="201"/>
        <item x="373"/>
        <item x="250"/>
        <item x="1052"/>
        <item x="124"/>
        <item x="701"/>
        <item x="496"/>
        <item x="240"/>
        <item x="928"/>
        <item x="912"/>
        <item x="523"/>
        <item x="1096"/>
        <item x="182"/>
        <item x="717"/>
        <item x="549"/>
        <item x="524"/>
        <item x="137"/>
        <item x="125"/>
        <item x="363"/>
        <item x="447"/>
        <item x="462"/>
        <item x="655"/>
        <item x="165"/>
        <item x="926"/>
        <item x="1122"/>
        <item x="1065"/>
        <item x="690"/>
        <item x="155"/>
        <item x="794"/>
        <item x="1151"/>
        <item x="255"/>
        <item x="328"/>
        <item x="1019"/>
        <item x="828"/>
        <item x="573"/>
        <item x="856"/>
        <item x="359"/>
        <item x="719"/>
        <item x="512"/>
        <item x="398"/>
        <item x="483"/>
        <item x="803"/>
        <item x="11"/>
        <item x="1165"/>
        <item x="1044"/>
        <item x="1100"/>
        <item x="230"/>
        <item x="937"/>
        <item x="387"/>
        <item x="56"/>
        <item x="1097"/>
        <item x="632"/>
        <item x="830"/>
        <item x="871"/>
        <item x="262"/>
        <item x="487"/>
        <item x="924"/>
        <item x="968"/>
        <item x="554"/>
        <item x="485"/>
        <item x="478"/>
        <item x="627"/>
        <item x="538"/>
        <item x="677"/>
        <item x="417"/>
        <item x="399"/>
        <item x="51"/>
        <item x="1078"/>
        <item x="13"/>
        <item x="1126"/>
        <item x="1159"/>
        <item x="281"/>
        <item x="664"/>
        <item x="636"/>
        <item x="287"/>
        <item x="651"/>
        <item x="986"/>
        <item x="815"/>
        <item x="927"/>
        <item x="594"/>
        <item x="63"/>
        <item x="1058"/>
        <item x="648"/>
        <item x="329"/>
        <item x="492"/>
        <item x="267"/>
        <item x="811"/>
        <item x="390"/>
        <item x="157"/>
        <item x="295"/>
        <item x="341"/>
        <item x="1194"/>
        <item x="175"/>
        <item x="500"/>
        <item x="1133"/>
        <item x="272"/>
        <item t="default"/>
      </items>
    </pivotField>
    <pivotField showAll="0">
      <items count="1199">
        <item x="78"/>
        <item x="100"/>
        <item x="1115"/>
        <item x="609"/>
        <item x="219"/>
        <item x="729"/>
        <item x="1150"/>
        <item x="614"/>
        <item x="55"/>
        <item x="671"/>
        <item x="574"/>
        <item x="109"/>
        <item x="174"/>
        <item x="135"/>
        <item x="824"/>
        <item x="841"/>
        <item x="374"/>
        <item x="1168"/>
        <item x="507"/>
        <item x="562"/>
        <item x="314"/>
        <item x="394"/>
        <item x="214"/>
        <item x="442"/>
        <item x="576"/>
        <item x="982"/>
        <item x="354"/>
        <item x="954"/>
        <item x="30"/>
        <item x="145"/>
        <item x="475"/>
        <item x="103"/>
        <item x="849"/>
        <item x="515"/>
        <item x="172"/>
        <item x="887"/>
        <item x="399"/>
        <item x="237"/>
        <item x="412"/>
        <item x="283"/>
        <item x="889"/>
        <item x="999"/>
        <item x="1174"/>
        <item x="217"/>
        <item x="144"/>
        <item x="1046"/>
        <item x="552"/>
        <item x="943"/>
        <item x="914"/>
        <item x="115"/>
        <item x="624"/>
        <item x="86"/>
        <item x="40"/>
        <item x="92"/>
        <item x="349"/>
        <item x="1180"/>
        <item x="69"/>
        <item x="424"/>
        <item x="526"/>
        <item x="391"/>
        <item x="98"/>
        <item x="907"/>
        <item x="709"/>
        <item x="1139"/>
        <item x="1020"/>
        <item x="324"/>
        <item x="28"/>
        <item x="438"/>
        <item x="755"/>
        <item x="673"/>
        <item x="387"/>
        <item x="149"/>
        <item x="330"/>
        <item x="346"/>
        <item x="139"/>
        <item x="1138"/>
        <item x="222"/>
        <item x="197"/>
        <item x="792"/>
        <item x="1068"/>
        <item x="603"/>
        <item x="645"/>
        <item x="345"/>
        <item x="1178"/>
        <item x="329"/>
        <item x="363"/>
        <item x="179"/>
        <item x="381"/>
        <item x="742"/>
        <item x="1184"/>
        <item x="670"/>
        <item x="1026"/>
        <item x="105"/>
        <item x="326"/>
        <item x="59"/>
        <item x="1007"/>
        <item x="727"/>
        <item x="453"/>
        <item x="382"/>
        <item x="142"/>
        <item x="493"/>
        <item x="660"/>
        <item x="528"/>
        <item x="303"/>
        <item x="775"/>
        <item x="123"/>
        <item x="839"/>
        <item x="720"/>
        <item x="920"/>
        <item x="97"/>
        <item x="956"/>
        <item x="1081"/>
        <item x="622"/>
        <item x="158"/>
        <item x="586"/>
        <item x="75"/>
        <item x="711"/>
        <item x="408"/>
        <item x="1164"/>
        <item x="99"/>
        <item x="832"/>
        <item x="629"/>
        <item x="429"/>
        <item x="544"/>
        <item x="120"/>
        <item x="1015"/>
        <item x="728"/>
        <item x="602"/>
        <item x="190"/>
        <item x="50"/>
        <item x="1106"/>
        <item x="443"/>
        <item x="1038"/>
        <item x="1125"/>
        <item x="344"/>
        <item x="62"/>
        <item x="1016"/>
        <item x="146"/>
        <item x="539"/>
        <item x="1049"/>
        <item x="680"/>
        <item x="37"/>
        <item x="1030"/>
        <item x="1177"/>
        <item x="451"/>
        <item x="395"/>
        <item x="1070"/>
        <item x="265"/>
        <item x="853"/>
        <item x="195"/>
        <item x="177"/>
        <item x="813"/>
        <item x="803"/>
        <item x="288"/>
        <item x="696"/>
        <item x="258"/>
        <item x="761"/>
        <item x="830"/>
        <item x="723"/>
        <item x="245"/>
        <item x="1122"/>
        <item x="1075"/>
        <item x="581"/>
        <item x="564"/>
        <item x="151"/>
        <item x="378"/>
        <item x="616"/>
        <item x="961"/>
        <item x="952"/>
        <item x="57"/>
        <item x="625"/>
        <item x="788"/>
        <item x="49"/>
        <item x="820"/>
        <item x="514"/>
        <item x="1172"/>
        <item x="405"/>
        <item x="492"/>
        <item x="351"/>
        <item x="462"/>
        <item x="692"/>
        <item x="855"/>
        <item x="466"/>
        <item x="1045"/>
        <item x="307"/>
        <item x="862"/>
        <item x="779"/>
        <item x="319"/>
        <item x="171"/>
        <item x="487"/>
        <item x="93"/>
        <item x="1179"/>
        <item x="260"/>
        <item x="732"/>
        <item x="1069"/>
        <item x="908"/>
        <item x="1084"/>
        <item x="284"/>
        <item x="1176"/>
        <item x="1160"/>
        <item x="901"/>
        <item x="160"/>
        <item x="916"/>
        <item x="1050"/>
        <item x="148"/>
        <item x="463"/>
        <item x="206"/>
        <item x="464"/>
        <item x="1034"/>
        <item x="274"/>
        <item x="444"/>
        <item x="1189"/>
        <item x="963"/>
        <item x="662"/>
        <item x="421"/>
        <item x="108"/>
        <item x="38"/>
        <item x="682"/>
        <item x="858"/>
        <item x="1170"/>
        <item x="900"/>
        <item x="439"/>
        <item x="1112"/>
        <item x="337"/>
        <item x="45"/>
        <item x="783"/>
        <item x="938"/>
        <item x="9"/>
        <item x="261"/>
        <item x="134"/>
        <item x="193"/>
        <item x="1053"/>
        <item x="297"/>
        <item x="380"/>
        <item x="918"/>
        <item x="577"/>
        <item x="703"/>
        <item x="1171"/>
        <item x="767"/>
        <item x="289"/>
        <item x="452"/>
        <item x="566"/>
        <item x="607"/>
        <item x="946"/>
        <item x="506"/>
        <item x="102"/>
        <item x="32"/>
        <item x="534"/>
        <item x="218"/>
        <item x="902"/>
        <item x="911"/>
        <item x="173"/>
        <item x="1033"/>
        <item x="1132"/>
        <item x="136"/>
        <item x="826"/>
        <item x="500"/>
        <item x="913"/>
        <item x="1117"/>
        <item x="1148"/>
        <item x="784"/>
        <item x="1158"/>
        <item x="253"/>
        <item x="584"/>
        <item x="644"/>
        <item x="637"/>
        <item x="958"/>
        <item x="706"/>
        <item x="1043"/>
        <item x="371"/>
        <item x="323"/>
        <item x="613"/>
        <item x="870"/>
        <item x="724"/>
        <item x="379"/>
        <item x="1066"/>
        <item x="816"/>
        <item x="94"/>
        <item x="54"/>
        <item x="360"/>
        <item x="129"/>
        <item x="241"/>
        <item x="474"/>
        <item x="874"/>
        <item x="212"/>
        <item x="39"/>
        <item x="993"/>
        <item x="749"/>
        <item x="308"/>
        <item x="1025"/>
        <item x="731"/>
        <item x="833"/>
        <item x="791"/>
        <item x="121"/>
        <item x="221"/>
        <item x="877"/>
        <item x="469"/>
        <item x="519"/>
        <item x="885"/>
        <item x="455"/>
        <item x="745"/>
        <item x="739"/>
        <item x="615"/>
        <item x="1147"/>
        <item x="606"/>
        <item x="428"/>
        <item x="621"/>
        <item x="334"/>
        <item x="25"/>
        <item x="489"/>
        <item x="1141"/>
        <item x="765"/>
        <item x="960"/>
        <item x="875"/>
        <item x="776"/>
        <item x="1023"/>
        <item x="459"/>
        <item x="1057"/>
        <item x="726"/>
        <item x="892"/>
        <item x="293"/>
        <item x="1105"/>
        <item x="12"/>
        <item x="649"/>
        <item x="746"/>
        <item x="270"/>
        <item x="1028"/>
        <item x="24"/>
        <item x="285"/>
        <item x="111"/>
        <item x="722"/>
        <item x="213"/>
        <item x="710"/>
        <item x="1004"/>
        <item x="1001"/>
        <item x="643"/>
        <item x="1183"/>
        <item x="186"/>
        <item x="335"/>
        <item x="1134"/>
        <item x="848"/>
        <item x="1054"/>
        <item x="1114"/>
        <item x="1"/>
        <item x="472"/>
        <item x="21"/>
        <item x="396"/>
        <item x="664"/>
        <item x="747"/>
        <item x="433"/>
        <item x="83"/>
        <item x="1137"/>
        <item x="232"/>
        <item x="1011"/>
        <item x="239"/>
        <item x="915"/>
        <item x="87"/>
        <item x="795"/>
        <item x="1024"/>
        <item x="1062"/>
        <item x="941"/>
        <item x="127"/>
        <item x="207"/>
        <item x="1165"/>
        <item x="367"/>
        <item x="269"/>
        <item x="298"/>
        <item x="15"/>
        <item x="619"/>
        <item x="1157"/>
        <item x="599"/>
        <item x="236"/>
        <item x="1085"/>
        <item x="565"/>
        <item x="939"/>
        <item x="554"/>
        <item x="702"/>
        <item x="1133"/>
        <item x="547"/>
        <item x="141"/>
        <item x="707"/>
        <item x="760"/>
        <item x="817"/>
        <item x="972"/>
        <item x="899"/>
        <item x="932"/>
        <item x="842"/>
        <item x="198"/>
        <item x="583"/>
        <item x="891"/>
        <item x="922"/>
        <item x="1012"/>
        <item x="1009"/>
        <item x="964"/>
        <item x="861"/>
        <item x="612"/>
        <item x="864"/>
        <item x="863"/>
        <item x="31"/>
        <item x="436"/>
        <item x="778"/>
        <item x="229"/>
        <item x="315"/>
        <item x="497"/>
        <item x="14"/>
        <item x="473"/>
        <item x="597"/>
        <item x="865"/>
        <item x="1089"/>
        <item x="352"/>
        <item x="228"/>
        <item x="808"/>
        <item x="61"/>
        <item x="580"/>
        <item x="385"/>
        <item x="831"/>
        <item x="167"/>
        <item x="104"/>
        <item x="47"/>
        <item x="695"/>
        <item x="967"/>
        <item x="76"/>
        <item x="1080"/>
        <item x="96"/>
        <item x="843"/>
        <item x="478"/>
        <item x="966"/>
        <item x="147"/>
        <item x="317"/>
        <item x="423"/>
        <item x="1005"/>
        <item x="1142"/>
        <item x="66"/>
        <item x="1092"/>
        <item x="611"/>
        <item x="494"/>
        <item x="850"/>
        <item x="150"/>
        <item x="1136"/>
        <item x="110"/>
        <item x="921"/>
        <item x="235"/>
        <item x="36"/>
        <item x="685"/>
        <item x="1047"/>
        <item x="744"/>
        <item x="275"/>
        <item x="725"/>
        <item x="763"/>
        <item x="138"/>
        <item x="736"/>
        <item x="1104"/>
        <item x="1108"/>
        <item x="906"/>
        <item x="388"/>
        <item x="336"/>
        <item x="320"/>
        <item x="16"/>
        <item x="884"/>
        <item x="355"/>
        <item x="280"/>
        <item x="465"/>
        <item x="34"/>
        <item x="53"/>
        <item x="787"/>
        <item x="1169"/>
        <item x="701"/>
        <item x="375"/>
        <item x="578"/>
        <item x="648"/>
        <item x="550"/>
        <item x="546"/>
        <item x="373"/>
        <item x="233"/>
        <item x="1156"/>
        <item x="753"/>
        <item x="521"/>
        <item x="940"/>
        <item x="1056"/>
        <item x="879"/>
        <item x="162"/>
        <item x="366"/>
        <item x="770"/>
        <item x="1111"/>
        <item x="925"/>
        <item x="968"/>
        <item x="457"/>
        <item x="797"/>
        <item x="667"/>
        <item x="620"/>
        <item x="268"/>
        <item x="735"/>
        <item x="41"/>
        <item x="1186"/>
        <item x="904"/>
        <item x="402"/>
        <item x="594"/>
        <item x="585"/>
        <item x="1060"/>
        <item x="1035"/>
        <item x="634"/>
        <item x="81"/>
        <item x="628"/>
        <item x="243"/>
        <item x="1090"/>
        <item x="116"/>
        <item x="800"/>
        <item x="897"/>
        <item x="384"/>
        <item x="426"/>
        <item x="294"/>
        <item x="866"/>
        <item x="1022"/>
        <item x="636"/>
        <item x="196"/>
        <item x="1192"/>
        <item x="1018"/>
        <item x="543"/>
        <item x="734"/>
        <item x="818"/>
        <item x="44"/>
        <item x="989"/>
        <item x="1073"/>
        <item x="740"/>
        <item x="976"/>
        <item x="1032"/>
        <item x="168"/>
        <item x="1123"/>
        <item x="819"/>
        <item x="210"/>
        <item x="929"/>
        <item x="698"/>
        <item x="530"/>
        <item x="279"/>
        <item x="413"/>
        <item x="390"/>
        <item x="1100"/>
        <item x="1088"/>
        <item x="119"/>
        <item x="659"/>
        <item x="638"/>
        <item x="985"/>
        <item x="838"/>
        <item x="983"/>
        <item x="587"/>
        <item x="488"/>
        <item x="1027"/>
        <item x="910"/>
        <item x="194"/>
        <item x="42"/>
        <item x="1094"/>
        <item x="646"/>
        <item x="368"/>
        <item x="68"/>
        <item x="807"/>
        <item x="708"/>
        <item x="642"/>
        <item x="844"/>
        <item x="490"/>
        <item x="657"/>
        <item x="890"/>
        <item x="257"/>
        <item x="89"/>
        <item x="542"/>
        <item x="485"/>
        <item x="959"/>
        <item x="5"/>
        <item x="556"/>
        <item x="1185"/>
        <item x="799"/>
        <item x="448"/>
        <item x="406"/>
        <item x="357"/>
        <item x="1014"/>
        <item x="1061"/>
        <item x="131"/>
        <item x="1077"/>
        <item x="502"/>
        <item x="440"/>
        <item x="248"/>
        <item x="226"/>
        <item x="651"/>
        <item x="532"/>
        <item x="445"/>
        <item x="480"/>
        <item x="610"/>
        <item x="1190"/>
        <item x="805"/>
        <item x="74"/>
        <item x="0"/>
        <item x="773"/>
        <item x="4"/>
        <item x="658"/>
        <item x="192"/>
        <item x="672"/>
        <item x="697"/>
        <item x="88"/>
        <item x="249"/>
        <item x="588"/>
        <item x="688"/>
        <item x="1144"/>
        <item x="942"/>
        <item x="806"/>
        <item x="82"/>
        <item x="1146"/>
        <item x="71"/>
        <item x="411"/>
        <item x="845"/>
        <item x="505"/>
        <item x="460"/>
        <item x="277"/>
        <item x="1059"/>
        <item x="64"/>
        <item x="67"/>
        <item x="561"/>
        <item x="750"/>
        <item x="1166"/>
        <item x="72"/>
        <item x="1194"/>
        <item x="1116"/>
        <item x="434"/>
        <item x="321"/>
        <item x="714"/>
        <item x="301"/>
        <item x="691"/>
        <item x="299"/>
        <item x="1121"/>
        <item x="409"/>
        <item x="781"/>
        <item x="965"/>
        <item x="1079"/>
        <item x="752"/>
        <item x="886"/>
        <item x="154"/>
        <item x="895"/>
        <item x="244"/>
        <item x="590"/>
        <item x="665"/>
        <item x="70"/>
        <item x="117"/>
        <item x="538"/>
        <item x="79"/>
        <item x="107"/>
        <item x="589"/>
        <item x="17"/>
        <item x="840"/>
        <item x="410"/>
        <item x="981"/>
        <item x="1048"/>
        <item x="977"/>
        <item x="476"/>
        <item x="331"/>
        <item x="979"/>
        <item x="316"/>
        <item x="454"/>
        <item x="815"/>
        <item x="769"/>
        <item x="259"/>
        <item x="140"/>
        <item x="305"/>
        <item x="630"/>
        <item x="573"/>
        <item x="518"/>
        <item x="812"/>
        <item x="23"/>
        <item x="1002"/>
        <item x="748"/>
        <item x="617"/>
        <item x="909"/>
        <item x="633"/>
        <item x="852"/>
        <item x="533"/>
        <item x="215"/>
        <item x="407"/>
        <item x="801"/>
        <item x="468"/>
        <item x="254"/>
        <item x="595"/>
        <item x="699"/>
        <item x="869"/>
        <item x="449"/>
        <item x="48"/>
        <item x="29"/>
        <item x="189"/>
        <item x="152"/>
        <item x="188"/>
        <item x="170"/>
        <item x="156"/>
        <item x="1095"/>
        <item x="737"/>
        <item x="851"/>
        <item x="730"/>
        <item x="582"/>
        <item x="185"/>
        <item x="22"/>
        <item x="1087"/>
        <item x="777"/>
        <item x="496"/>
        <item x="947"/>
        <item x="639"/>
        <item x="1036"/>
        <item x="199"/>
        <item x="558"/>
        <item x="560"/>
        <item x="513"/>
        <item x="365"/>
        <item x="447"/>
        <item x="246"/>
        <item x="693"/>
        <item x="516"/>
        <item x="1083"/>
        <item x="479"/>
        <item x="132"/>
        <item x="605"/>
        <item x="311"/>
        <item x="361"/>
        <item x="133"/>
        <item x="1037"/>
        <item x="754"/>
        <item x="2"/>
        <item x="1021"/>
        <item x="291"/>
        <item x="52"/>
        <item x="353"/>
        <item x="545"/>
        <item x="432"/>
        <item x="828"/>
        <item x="896"/>
        <item x="992"/>
        <item x="575"/>
        <item x="310"/>
        <item x="26"/>
        <item x="1082"/>
        <item x="627"/>
        <item x="264"/>
        <item x="470"/>
        <item x="1149"/>
        <item x="878"/>
        <item x="393"/>
        <item x="978"/>
        <item x="974"/>
        <item x="143"/>
        <item x="90"/>
        <item x="945"/>
        <item x="690"/>
        <item x="312"/>
        <item x="991"/>
        <item x="796"/>
        <item x="655"/>
        <item x="675"/>
        <item x="1193"/>
        <item x="302"/>
        <item x="338"/>
        <item x="935"/>
        <item x="990"/>
        <item x="970"/>
        <item x="930"/>
        <item x="33"/>
        <item x="114"/>
        <item x="84"/>
        <item x="161"/>
        <item x="883"/>
        <item x="414"/>
        <item x="509"/>
        <item x="1076"/>
        <item x="1181"/>
        <item x="846"/>
        <item x="1175"/>
        <item x="339"/>
        <item x="58"/>
        <item x="834"/>
        <item x="450"/>
        <item x="1151"/>
        <item x="290"/>
        <item x="7"/>
        <item x="771"/>
        <item x="557"/>
        <item x="934"/>
        <item x="984"/>
        <item x="296"/>
        <item x="417"/>
        <item x="511"/>
        <item x="203"/>
        <item x="1042"/>
        <item x="1110"/>
        <item x="266"/>
        <item x="256"/>
        <item x="73"/>
        <item x="579"/>
        <item x="419"/>
        <item x="1067"/>
        <item x="1051"/>
        <item x="300"/>
        <item x="718"/>
        <item x="666"/>
        <item x="224"/>
        <item x="872"/>
        <item x="1163"/>
        <item x="571"/>
        <item x="876"/>
        <item x="169"/>
        <item x="683"/>
        <item x="1188"/>
        <item x="1098"/>
        <item x="551"/>
        <item x="668"/>
        <item x="370"/>
        <item x="1055"/>
        <item x="950"/>
        <item x="77"/>
        <item x="996"/>
        <item x="383"/>
        <item x="995"/>
        <item x="880"/>
        <item x="905"/>
        <item x="531"/>
        <item x="178"/>
        <item x="559"/>
        <item x="306"/>
        <item x="176"/>
        <item x="772"/>
        <item x="847"/>
        <item x="225"/>
        <item x="955"/>
        <item x="369"/>
        <item x="231"/>
        <item x="1153"/>
        <item x="1041"/>
        <item x="282"/>
        <item x="604"/>
        <item x="785"/>
        <item x="653"/>
        <item x="600"/>
        <item x="262"/>
        <item x="80"/>
        <item x="669"/>
        <item x="794"/>
        <item x="835"/>
        <item x="427"/>
        <item x="1182"/>
        <item x="888"/>
        <item x="1128"/>
        <item x="721"/>
        <item x="204"/>
        <item x="759"/>
        <item x="180"/>
        <item x="1019"/>
        <item x="1155"/>
        <item x="821"/>
        <item x="825"/>
        <item x="1130"/>
        <item x="273"/>
        <item x="322"/>
        <item x="364"/>
        <item x="1140"/>
        <item x="6"/>
        <item x="789"/>
        <item x="738"/>
        <item x="238"/>
        <item x="868"/>
        <item x="128"/>
        <item x="187"/>
        <item x="623"/>
        <item x="181"/>
        <item x="823"/>
        <item x="208"/>
        <item x="953"/>
        <item x="517"/>
        <item x="857"/>
        <item x="510"/>
        <item x="227"/>
        <item x="1103"/>
        <item x="1159"/>
        <item x="679"/>
        <item x="126"/>
        <item x="988"/>
        <item x="304"/>
        <item x="689"/>
        <item x="705"/>
        <item x="549"/>
        <item x="536"/>
        <item x="1143"/>
        <item x="811"/>
        <item x="347"/>
        <item x="1040"/>
        <item x="398"/>
        <item x="182"/>
        <item x="641"/>
        <item x="951"/>
        <item x="1113"/>
        <item x="882"/>
        <item x="780"/>
        <item x="163"/>
        <item x="512"/>
        <item x="286"/>
        <item x="923"/>
        <item x="881"/>
        <item x="944"/>
        <item x="343"/>
        <item x="1058"/>
        <item x="153"/>
        <item x="425"/>
        <item x="766"/>
        <item x="422"/>
        <item x="608"/>
        <item x="498"/>
        <item x="278"/>
        <item x="681"/>
        <item x="1195"/>
        <item x="975"/>
        <item x="631"/>
        <item x="1154"/>
        <item x="1013"/>
        <item x="1109"/>
        <item x="741"/>
        <item x="486"/>
        <item x="431"/>
        <item x="313"/>
        <item x="762"/>
        <item x="35"/>
        <item x="234"/>
        <item x="790"/>
        <item x="591"/>
        <item x="404"/>
        <item x="503"/>
        <item x="446"/>
        <item x="678"/>
        <item x="456"/>
        <item x="481"/>
        <item x="1187"/>
        <item x="1127"/>
        <item x="401"/>
        <item x="341"/>
        <item x="980"/>
        <item x="230"/>
        <item x="418"/>
        <item x="893"/>
        <item x="201"/>
        <item x="652"/>
        <item x="359"/>
        <item x="350"/>
        <item x="713"/>
        <item x="986"/>
        <item x="520"/>
        <item x="798"/>
        <item x="572"/>
        <item x="95"/>
        <item x="46"/>
        <item x="20"/>
        <item x="541"/>
        <item x="694"/>
        <item x="415"/>
        <item x="632"/>
        <item x="764"/>
        <item x="804"/>
        <item x="333"/>
        <item x="687"/>
        <item x="656"/>
        <item x="400"/>
        <item x="733"/>
        <item x="969"/>
        <item x="11"/>
        <item x="416"/>
        <item x="757"/>
        <item x="482"/>
        <item x="898"/>
        <item x="758"/>
        <item x="430"/>
        <item x="65"/>
        <item x="661"/>
        <item x="1065"/>
        <item x="1126"/>
        <item x="786"/>
        <item x="175"/>
        <item x="8"/>
        <item x="1091"/>
        <item x="91"/>
        <item x="903"/>
        <item x="873"/>
        <item x="356"/>
        <item x="712"/>
        <item x="467"/>
        <item x="318"/>
        <item x="1003"/>
        <item x="112"/>
        <item x="1119"/>
        <item x="220"/>
        <item x="255"/>
        <item x="973"/>
        <item x="471"/>
        <item x="1010"/>
        <item x="377"/>
        <item x="1129"/>
        <item x="837"/>
        <item x="535"/>
        <item x="715"/>
        <item x="937"/>
        <item x="962"/>
        <item x="325"/>
        <item x="60"/>
        <item x="276"/>
        <item x="340"/>
        <item x="1029"/>
        <item x="1074"/>
        <item x="933"/>
        <item x="809"/>
        <item x="1064"/>
        <item x="700"/>
        <item x="166"/>
        <item x="165"/>
        <item x="871"/>
        <item x="43"/>
        <item x="751"/>
        <item x="242"/>
        <item x="555"/>
        <item x="793"/>
        <item x="106"/>
        <item x="1052"/>
        <item x="592"/>
        <item x="118"/>
        <item x="601"/>
        <item x="949"/>
        <item x="677"/>
        <item x="113"/>
        <item x="1031"/>
        <item x="802"/>
        <item x="743"/>
        <item x="309"/>
        <item x="676"/>
        <item x="51"/>
        <item x="997"/>
        <item x="332"/>
        <item x="441"/>
        <item x="570"/>
        <item x="854"/>
        <item x="618"/>
        <item x="122"/>
        <item x="598"/>
        <item x="1008"/>
        <item x="247"/>
        <item x="461"/>
        <item x="704"/>
        <item x="183"/>
        <item x="403"/>
        <item x="216"/>
        <item x="205"/>
        <item x="1118"/>
        <item x="768"/>
        <item x="1145"/>
        <item x="495"/>
        <item x="27"/>
        <item x="1152"/>
        <item x="3"/>
        <item x="130"/>
        <item x="829"/>
        <item x="13"/>
        <item x="101"/>
        <item x="856"/>
        <item x="155"/>
        <item x="926"/>
        <item x="640"/>
        <item x="124"/>
        <item x="567"/>
        <item x="501"/>
        <item x="392"/>
        <item x="936"/>
        <item x="822"/>
        <item x="1096"/>
        <item x="292"/>
        <item x="209"/>
        <item x="137"/>
        <item x="537"/>
        <item x="240"/>
        <item x="420"/>
        <item x="477"/>
        <item x="971"/>
        <item x="931"/>
        <item x="223"/>
        <item x="271"/>
        <item x="717"/>
        <item x="1107"/>
        <item x="263"/>
        <item x="1120"/>
        <item x="200"/>
        <item x="1063"/>
        <item x="483"/>
        <item x="1072"/>
        <item x="635"/>
        <item x="894"/>
        <item x="860"/>
        <item x="504"/>
        <item x="1102"/>
        <item x="686"/>
        <item x="508"/>
        <item x="1006"/>
        <item x="18"/>
        <item x="437"/>
        <item x="362"/>
        <item x="859"/>
        <item x="1078"/>
        <item x="524"/>
        <item x="1093"/>
        <item x="499"/>
        <item x="994"/>
        <item x="372"/>
        <item x="650"/>
        <item x="211"/>
        <item x="569"/>
        <item x="522"/>
        <item x="1000"/>
        <item x="540"/>
        <item x="376"/>
        <item x="998"/>
        <item x="252"/>
        <item x="917"/>
        <item x="836"/>
        <item x="327"/>
        <item x="397"/>
        <item x="159"/>
        <item x="674"/>
        <item x="85"/>
        <item x="782"/>
        <item x="348"/>
        <item x="251"/>
        <item x="358"/>
        <item x="919"/>
        <item x="1124"/>
        <item x="756"/>
        <item x="1044"/>
        <item x="548"/>
        <item x="184"/>
        <item x="948"/>
        <item x="527"/>
        <item x="525"/>
        <item x="1086"/>
        <item x="912"/>
        <item x="1071"/>
        <item x="342"/>
        <item x="1162"/>
        <item x="774"/>
        <item x="529"/>
        <item x="1017"/>
        <item x="1173"/>
        <item x="684"/>
        <item x="1191"/>
        <item x="568"/>
        <item x="716"/>
        <item x="719"/>
        <item x="491"/>
        <item x="563"/>
        <item x="810"/>
        <item x="596"/>
        <item x="1099"/>
        <item x="867"/>
        <item x="164"/>
        <item x="1039"/>
        <item x="957"/>
        <item x="523"/>
        <item x="125"/>
        <item x="1167"/>
        <item x="202"/>
        <item x="593"/>
        <item x="250"/>
        <item x="928"/>
        <item x="1197"/>
        <item x="814"/>
        <item x="1131"/>
        <item x="924"/>
        <item x="328"/>
        <item x="10"/>
        <item x="1097"/>
        <item x="458"/>
        <item x="1101"/>
        <item x="267"/>
        <item x="435"/>
        <item x="281"/>
        <item x="191"/>
        <item x="654"/>
        <item x="386"/>
        <item x="987"/>
        <item x="1161"/>
        <item x="626"/>
        <item x="663"/>
        <item x="389"/>
        <item x="19"/>
        <item x="484"/>
        <item x="827"/>
        <item x="56"/>
        <item x="553"/>
        <item x="1135"/>
        <item x="287"/>
        <item x="927"/>
        <item x="647"/>
        <item x="63"/>
        <item x="1196"/>
        <item x="295"/>
        <item x="157"/>
        <item x="272"/>
        <item t="default"/>
      </items>
    </pivotField>
    <pivotField showAll="0"/>
    <pivotField dataField="1" showAll="0"/>
    <pivotField showAll="0">
      <items count="17">
        <item x="1"/>
        <item x="13"/>
        <item x="3"/>
        <item x="12"/>
        <item x="7"/>
        <item x="6"/>
        <item x="8"/>
        <item x="0"/>
        <item x="14"/>
        <item x="4"/>
        <item x="10"/>
        <item x="9"/>
        <item x="15"/>
        <item x="11"/>
        <item x="5"/>
        <item x="2"/>
        <item t="default"/>
      </items>
    </pivotField>
    <pivotField showAll="0"/>
    <pivotField numFmtId="10" showAll="0"/>
    <pivotField numFmtId="10" showAll="0">
      <items count="1201">
        <item x="19"/>
        <item x="191"/>
        <item x="379"/>
        <item x="1089"/>
        <item x="343"/>
        <item x="1194"/>
        <item x="1175"/>
        <item x="335"/>
        <item x="840"/>
        <item x="180"/>
        <item x="223"/>
        <item x="920"/>
        <item x="846"/>
        <item x="435"/>
        <item x="1053"/>
        <item x="595"/>
        <item x="187"/>
        <item x="354"/>
        <item x="1073"/>
        <item x="224"/>
        <item x="735"/>
        <item x="126"/>
        <item x="716"/>
        <item x="1101"/>
        <item x="618"/>
        <item x="1133"/>
        <item x="828"/>
        <item x="202"/>
        <item x="474"/>
        <item x="940"/>
        <item x="698"/>
        <item x="650"/>
        <item x="619"/>
        <item x="1143"/>
        <item x="714"/>
        <item x="436"/>
        <item x="931"/>
        <item x="346"/>
        <item x="362"/>
        <item x="423"/>
        <item x="722"/>
        <item x="980"/>
        <item x="752"/>
        <item x="554"/>
        <item x="409"/>
        <item x="569"/>
        <item x="553"/>
        <item x="164"/>
        <item x="271"/>
        <item x="56"/>
        <item x="415"/>
        <item x="63"/>
        <item x="22"/>
        <item x="712"/>
        <item x="1165"/>
        <item x="7"/>
        <item x="1193"/>
        <item x="72"/>
        <item x="639"/>
        <item x="792"/>
        <item x="287"/>
        <item x="759"/>
        <item x="272"/>
        <item x="1062"/>
        <item x="995"/>
        <item x="357"/>
        <item x="625"/>
        <item x="176"/>
        <item x="1136"/>
        <item x="1008"/>
        <item x="1164"/>
        <item x="294"/>
        <item x="199"/>
        <item x="157"/>
        <item x="1000"/>
        <item x="153"/>
        <item x="10"/>
        <item x="1173"/>
        <item x="1199"/>
        <item x="475"/>
        <item x="485"/>
        <item x="184"/>
        <item x="890"/>
        <item x="918"/>
        <item x="1180"/>
        <item x="922"/>
        <item x="923"/>
        <item x="131"/>
        <item x="999"/>
        <item x="295"/>
        <item x="1030"/>
        <item x="641"/>
        <item x="159"/>
        <item x="967"/>
        <item x="675"/>
        <item x="15"/>
        <item x="459"/>
        <item x="528"/>
        <item x="526"/>
        <item x="949"/>
        <item x="655"/>
        <item x="1168"/>
        <item x="234"/>
        <item x="1036"/>
        <item x="868"/>
        <item x="450"/>
        <item x="163"/>
        <item x="368"/>
        <item x="904"/>
        <item x="916"/>
        <item x="991"/>
        <item x="1184"/>
        <item x="1105"/>
        <item x="1191"/>
        <item x="808"/>
        <item x="571"/>
        <item x="256"/>
        <item x="1041"/>
        <item x="648"/>
        <item x="1104"/>
        <item x="627"/>
        <item x="958"/>
        <item x="353"/>
        <item x="161"/>
        <item x="541"/>
        <item x="837"/>
        <item x="676"/>
        <item x="622"/>
        <item x="817"/>
        <item x="628"/>
        <item x="64"/>
        <item x="895"/>
        <item x="860"/>
        <item x="179"/>
        <item x="21"/>
        <item x="401"/>
        <item x="113"/>
        <item x="600"/>
        <item x="963"/>
        <item x="387"/>
        <item x="1045"/>
        <item x="876"/>
        <item x="533"/>
        <item x="720"/>
        <item x="898"/>
        <item x="332"/>
        <item x="1017"/>
        <item x="613"/>
        <item x="6"/>
        <item x="135"/>
        <item x="1178"/>
        <item x="530"/>
        <item x="897"/>
        <item x="93"/>
        <item x="993"/>
        <item x="414"/>
        <item x="192"/>
        <item x="612"/>
        <item x="928"/>
        <item x="1163"/>
        <item x="1071"/>
        <item x="773"/>
        <item x="27"/>
        <item x="764"/>
        <item x="1190"/>
        <item x="593"/>
        <item x="832"/>
        <item x="574"/>
        <item x="149"/>
        <item x="371"/>
        <item x="1198"/>
        <item x="279"/>
        <item x="657"/>
        <item x="691"/>
        <item x="315"/>
        <item x="929"/>
        <item x="250"/>
        <item x="952"/>
        <item x="869"/>
        <item x="758"/>
        <item x="565"/>
        <item x="185"/>
        <item x="442"/>
        <item x="558"/>
        <item x="664"/>
        <item x="727"/>
        <item x="537"/>
        <item x="859"/>
        <item x="624"/>
        <item x="128"/>
        <item x="456"/>
        <item x="1103"/>
        <item x="1112"/>
        <item x="1013"/>
        <item x="1066"/>
        <item x="810"/>
        <item x="653"/>
        <item x="997"/>
        <item x="768"/>
        <item x="504"/>
        <item x="924"/>
        <item x="310"/>
        <item x="1099"/>
        <item x="629"/>
        <item x="732"/>
        <item x="597"/>
        <item x="961"/>
        <item x="377"/>
        <item x="1115"/>
        <item x="936"/>
        <item x="503"/>
        <item x="855"/>
        <item x="775"/>
        <item x="919"/>
        <item x="281"/>
        <item x="303"/>
        <item x="385"/>
        <item x="482"/>
        <item x="564"/>
        <item x="581"/>
        <item x="361"/>
        <item x="734"/>
        <item x="125"/>
        <item x="577"/>
        <item x="524"/>
        <item x="915"/>
        <item x="847"/>
        <item x="85"/>
        <item x="1029"/>
        <item x="243"/>
        <item x="1174"/>
        <item x="25"/>
        <item x="851"/>
        <item x="925"/>
        <item x="751"/>
        <item x="416"/>
        <item x="685"/>
        <item x="173"/>
        <item x="1192"/>
        <item x="309"/>
        <item x="891"/>
        <item x="1019"/>
        <item x="681"/>
        <item x="1048"/>
        <item x="1001"/>
        <item x="227"/>
        <item x="836"/>
        <item x="174"/>
        <item x="419"/>
        <item x="299"/>
        <item x="984"/>
        <item x="1088"/>
        <item x="643"/>
        <item x="746"/>
        <item x="570"/>
        <item x="976"/>
        <item x="438"/>
        <item x="1111"/>
        <item x="791"/>
        <item x="844"/>
        <item x="856"/>
        <item x="508"/>
        <item x="1172"/>
        <item x="1070"/>
        <item x="692"/>
        <item x="1102"/>
        <item x="1169"/>
        <item x="834"/>
        <item x="709"/>
        <item x="575"/>
        <item x="989"/>
        <item x="1006"/>
        <item x="974"/>
        <item x="862"/>
        <item x="1149"/>
        <item x="525"/>
        <item x="696"/>
        <item x="24"/>
        <item x="489"/>
        <item x="1065"/>
        <item x="580"/>
        <item x="3"/>
        <item x="136"/>
        <item x="382"/>
        <item x="608"/>
        <item x="896"/>
        <item x="737"/>
        <item x="1181"/>
        <item x="1114"/>
        <item x="1100"/>
        <item x="977"/>
        <item x="319"/>
        <item x="392"/>
        <item x="731"/>
        <item x="684"/>
        <item x="717"/>
        <item x="1052"/>
        <item x="550"/>
        <item x="421"/>
        <item x="1195"/>
        <item x="505"/>
        <item x="988"/>
        <item x="440"/>
        <item x="1106"/>
        <item x="251"/>
        <item x="132"/>
        <item x="585"/>
        <item x="122"/>
        <item x="557"/>
        <item x="1078"/>
        <item x="973"/>
        <item x="424"/>
        <item x="704"/>
        <item x="216"/>
        <item x="509"/>
        <item x="695"/>
        <item x="799"/>
        <item x="292"/>
        <item x="484"/>
        <item x="913"/>
        <item x="340"/>
        <item x="818"/>
        <item x="257"/>
        <item x="826"/>
        <item x="34"/>
        <item x="144"/>
        <item x="258"/>
        <item x="715"/>
        <item x="880"/>
        <item x="403"/>
        <item x="957"/>
        <item x="453"/>
        <item x="408"/>
        <item x="552"/>
        <item x="757"/>
        <item x="790"/>
        <item x="1129"/>
        <item x="325"/>
        <item x="322"/>
        <item x="451"/>
        <item x="892"/>
        <item x="1148"/>
        <item x="1147"/>
        <item x="5"/>
        <item x="40"/>
        <item x="780"/>
        <item x="211"/>
        <item x="349"/>
        <item x="604"/>
        <item x="209"/>
        <item x="914"/>
        <item x="535"/>
        <item x="599"/>
        <item x="861"/>
        <item x="682"/>
        <item x="488"/>
        <item x="308"/>
        <item x="18"/>
        <item x="455"/>
        <item x="114"/>
        <item x="549"/>
        <item x="738"/>
        <item x="582"/>
        <item x="874"/>
        <item x="711"/>
        <item x="1171"/>
        <item x="468"/>
        <item x="671"/>
        <item x="733"/>
        <item x="1024"/>
        <item x="1188"/>
        <item x="158"/>
        <item x="870"/>
        <item x="140"/>
        <item x="1043"/>
        <item x="932"/>
        <item x="265"/>
        <item x="926"/>
        <item x="998"/>
        <item x="333"/>
        <item x="555"/>
        <item x="1074"/>
        <item x="556"/>
        <item x="983"/>
        <item x="244"/>
        <item x="786"/>
        <item x="1179"/>
        <item x="1109"/>
        <item x="1137"/>
        <item x="342"/>
        <item x="1142"/>
        <item x="821"/>
        <item x="783"/>
        <item x="252"/>
        <item x="270"/>
        <item x="118"/>
        <item x="774"/>
        <item x="819"/>
        <item x="743"/>
        <item x="854"/>
        <item x="420"/>
        <item x="772"/>
        <item x="1056"/>
        <item x="718"/>
        <item x="586"/>
        <item x="602"/>
        <item x="188"/>
        <item x="220"/>
        <item x="945"/>
        <item x="280"/>
        <item x="1126"/>
        <item x="134"/>
        <item x="742"/>
        <item x="205"/>
        <item x="1154"/>
        <item x="813"/>
        <item x="1046"/>
        <item x="105"/>
        <item x="238"/>
        <item x="493"/>
        <item x="583"/>
        <item x="1095"/>
        <item x="249"/>
        <item x="1122"/>
        <item x="2"/>
        <item x="838"/>
        <item x="189"/>
        <item x="418"/>
        <item x="89"/>
        <item x="815"/>
        <item x="713"/>
        <item x="406"/>
        <item x="933"/>
        <item x="355"/>
        <item x="1153"/>
        <item x="106"/>
        <item x="367"/>
        <item x="101"/>
        <item x="534"/>
        <item x="390"/>
        <item x="359"/>
        <item x="1096"/>
        <item x="795"/>
        <item x="749"/>
        <item x="568"/>
        <item x="284"/>
        <item x="88"/>
        <item x="275"/>
        <item x="69"/>
        <item x="490"/>
        <item x="1003"/>
        <item x="822"/>
        <item x="1050"/>
        <item x="516"/>
        <item x="328"/>
        <item x="130"/>
        <item x="247"/>
        <item x="373"/>
        <item x="214"/>
        <item x="222"/>
        <item x="398"/>
        <item x="84"/>
        <item x="96"/>
        <item x="1007"/>
        <item x="242"/>
        <item x="1002"/>
        <item x="649"/>
        <item x="578"/>
        <item x="673"/>
        <item x="992"/>
        <item x="1177"/>
        <item x="200"/>
        <item x="523"/>
        <item x="35"/>
        <item x="393"/>
        <item x="785"/>
        <item x="806"/>
        <item x="481"/>
        <item x="687"/>
        <item x="934"/>
        <item x="207"/>
        <item x="666"/>
        <item x="302"/>
        <item x="544"/>
        <item x="269"/>
        <item x="73"/>
        <item x="954"/>
        <item x="264"/>
        <item x="286"/>
        <item x="465"/>
        <item x="950"/>
        <item x="776"/>
        <item x="948"/>
        <item x="823"/>
        <item x="231"/>
        <item x="1110"/>
        <item x="1072"/>
        <item x="388"/>
        <item x="987"/>
        <item x="1022"/>
        <item x="267"/>
        <item x="116"/>
        <item x="183"/>
        <item x="1076"/>
        <item x="107"/>
        <item x="363"/>
        <item x="1063"/>
        <item x="594"/>
        <item x="326"/>
        <item x="1189"/>
        <item x="576"/>
        <item x="365"/>
        <item x="1031"/>
        <item x="883"/>
        <item x="800"/>
        <item x="1009"/>
        <item x="473"/>
        <item x="263"/>
        <item x="68"/>
        <item x="208"/>
        <item x="972"/>
        <item x="374"/>
        <item x="329"/>
        <item x="1033"/>
        <item x="959"/>
        <item x="1012"/>
        <item x="389"/>
        <item x="767"/>
        <item x="276"/>
        <item x="148"/>
        <item x="680"/>
        <item x="502"/>
        <item x="169"/>
        <item x="457"/>
        <item x="590"/>
        <item x="1058"/>
        <item x="1079"/>
        <item x="364"/>
        <item x="301"/>
        <item x="921"/>
        <item x="659"/>
        <item x="763"/>
        <item x="141"/>
        <item x="739"/>
        <item x="781"/>
        <item x="1134"/>
        <item x="434"/>
        <item x="937"/>
        <item x="344"/>
        <item x="178"/>
        <item x="689"/>
        <item x="147"/>
        <item x="466"/>
        <item x="522"/>
        <item x="311"/>
        <item x="640"/>
        <item x="540"/>
        <item x="1087"/>
        <item x="422"/>
        <item x="877"/>
        <item x="886"/>
        <item x="517"/>
        <item x="240"/>
        <item x="1131"/>
        <item x="793"/>
        <item x="560"/>
        <item x="1170"/>
        <item x="1005"/>
        <item x="1080"/>
        <item x="761"/>
        <item x="705"/>
        <item x="103"/>
        <item x="198"/>
        <item x="589"/>
        <item x="43"/>
        <item x="850"/>
        <item x="143"/>
        <item x="798"/>
        <item x="291"/>
        <item x="300"/>
        <item x="404"/>
        <item x="296"/>
        <item x="110"/>
        <item x="228"/>
        <item x="884"/>
        <item x="563"/>
        <item x="53"/>
        <item x="76"/>
        <item x="75"/>
        <item x="964"/>
        <item x="426"/>
        <item x="397"/>
        <item x="942"/>
        <item x="762"/>
        <item x="981"/>
        <item x="1069"/>
        <item x="1023"/>
        <item x="225"/>
        <item x="965"/>
        <item x="431"/>
        <item x="99"/>
        <item x="760"/>
        <item x="137"/>
        <item x="41"/>
        <item x="1098"/>
        <item x="725"/>
        <item x="605"/>
        <item x="852"/>
        <item x="656"/>
        <item x="827"/>
        <item x="769"/>
        <item x="233"/>
        <item x="744"/>
        <item x="124"/>
        <item x="700"/>
        <item x="127"/>
        <item x="543"/>
        <item x="536"/>
        <item x="1176"/>
        <item x="55"/>
        <item x="331"/>
        <item x="1047"/>
        <item x="1128"/>
        <item x="410"/>
        <item x="229"/>
        <item x="472"/>
        <item x="95"/>
        <item x="358"/>
        <item x="461"/>
        <item x="845"/>
        <item x="908"/>
        <item x="60"/>
        <item x="478"/>
        <item x="458"/>
        <item x="492"/>
        <item x="1068"/>
        <item x="542"/>
        <item x="375"/>
        <item x="1075"/>
        <item x="491"/>
        <item x="538"/>
        <item x="1083"/>
        <item x="1120"/>
        <item x="166"/>
        <item x="888"/>
        <item x="181"/>
        <item x="811"/>
        <item x="882"/>
        <item x="678"/>
        <item x="1091"/>
        <item x="825"/>
        <item x="1092"/>
        <item x="708"/>
        <item x="971"/>
        <item x="378"/>
        <item x="642"/>
        <item x="947"/>
        <item x="282"/>
        <item x="1020"/>
        <item x="927"/>
        <item x="903"/>
        <item x="1057"/>
        <item x="384"/>
        <item x="79"/>
        <item x="155"/>
        <item x="383"/>
        <item x="501"/>
        <item x="766"/>
        <item x="879"/>
        <item x="65"/>
        <item x="636"/>
        <item x="236"/>
        <item x="1059"/>
        <item x="651"/>
        <item x="496"/>
        <item x="360"/>
        <item x="445"/>
        <item x="1040"/>
        <item x="985"/>
        <item x="171"/>
        <item x="745"/>
        <item x="966"/>
        <item x="334"/>
        <item x="97"/>
        <item x="1144"/>
        <item x="59"/>
        <item x="306"/>
        <item x="905"/>
        <item x="370"/>
        <item x="1011"/>
        <item x="679"/>
        <item x="145"/>
        <item x="146"/>
        <item x="469"/>
        <item x="857"/>
        <item x="899"/>
        <item x="787"/>
        <item x="8"/>
        <item x="946"/>
        <item x="572"/>
        <item x="669"/>
        <item x="506"/>
        <item x="1157"/>
        <item x="824"/>
        <item x="104"/>
        <item x="356"/>
        <item x="1162"/>
        <item x="912"/>
        <item x="196"/>
        <item x="441"/>
        <item x="61"/>
        <item x="91"/>
        <item x="901"/>
        <item x="92"/>
        <item x="14"/>
        <item x="614"/>
        <item x="1197"/>
        <item x="728"/>
        <item x="1145"/>
        <item x="730"/>
        <item x="784"/>
        <item x="112"/>
        <item x="314"/>
        <item x="683"/>
        <item x="1039"/>
        <item x="843"/>
        <item x="782"/>
        <item x="98"/>
        <item x="1158"/>
        <item x="248"/>
        <item x="1127"/>
        <item x="1038"/>
        <item x="437"/>
        <item x="559"/>
        <item x="740"/>
        <item x="830"/>
        <item x="0"/>
        <item x="462"/>
        <item x="463"/>
        <item x="956"/>
        <item x="460"/>
        <item x="756"/>
        <item x="439"/>
        <item x="36"/>
        <item x="394"/>
        <item x="241"/>
        <item x="9"/>
        <item x="167"/>
        <item x="232"/>
        <item x="31"/>
        <item x="566"/>
        <item x="288"/>
        <item x="432"/>
        <item x="318"/>
        <item x="52"/>
        <item x="1004"/>
        <item x="13"/>
        <item x="16"/>
        <item x="601"/>
        <item x="1054"/>
        <item x="412"/>
        <item x="1016"/>
        <item x="1055"/>
        <item x="1090"/>
        <item x="894"/>
        <item x="765"/>
        <item x="994"/>
        <item x="647"/>
        <item x="616"/>
        <item x="117"/>
        <item x="42"/>
        <item x="978"/>
        <item x="156"/>
        <item x="1028"/>
        <item x="237"/>
        <item x="701"/>
        <item x="154"/>
        <item x="975"/>
        <item x="1025"/>
        <item x="186"/>
        <item x="777"/>
        <item x="848"/>
        <item x="1014"/>
        <item x="1146"/>
        <item x="592"/>
        <item x="867"/>
        <item x="1161"/>
        <item x="1015"/>
        <item x="519"/>
        <item x="688"/>
        <item x="289"/>
        <item x="351"/>
        <item x="803"/>
        <item x="794"/>
        <item x="729"/>
        <item x="239"/>
        <item x="1121"/>
        <item x="654"/>
        <item x="215"/>
        <item x="849"/>
        <item x="812"/>
        <item x="1135"/>
        <item x="1160"/>
        <item x="165"/>
        <item x="955"/>
        <item x="617"/>
        <item x="119"/>
        <item x="400"/>
        <item x="662"/>
        <item x="548"/>
        <item x="866"/>
        <item x="313"/>
        <item x="551"/>
        <item x="1185"/>
        <item x="206"/>
        <item x="753"/>
        <item x="1152"/>
        <item x="521"/>
        <item x="833"/>
        <item x="863"/>
        <item x="111"/>
        <item x="677"/>
        <item x="906"/>
        <item x="816"/>
        <item x="66"/>
        <item x="413"/>
        <item x="278"/>
        <item x="51"/>
        <item x="1141"/>
        <item x="28"/>
        <item x="665"/>
        <item x="476"/>
        <item x="58"/>
        <item x="839"/>
        <item x="660"/>
        <item x="204"/>
        <item x="1037"/>
        <item x="1108"/>
        <item x="139"/>
        <item x="872"/>
        <item x="193"/>
        <item x="1116"/>
        <item x="741"/>
        <item x="444"/>
        <item x="630"/>
        <item x="1093"/>
        <item x="86"/>
        <item x="706"/>
        <item x="893"/>
        <item x="944"/>
        <item x="213"/>
        <item x="133"/>
        <item x="515"/>
        <item x="907"/>
        <item x="467"/>
        <item x="255"/>
        <item x="305"/>
        <item x="637"/>
        <item x="842"/>
        <item x="938"/>
        <item x="33"/>
        <item x="633"/>
        <item x="809"/>
        <item x="1156"/>
        <item x="805"/>
        <item x="694"/>
        <item x="339"/>
        <item x="427"/>
        <item x="454"/>
        <item x="499"/>
        <item x="968"/>
        <item x="672"/>
        <item x="1113"/>
        <item x="670"/>
        <item x="307"/>
        <item x="667"/>
        <item x="197"/>
        <item x="520"/>
        <item x="1167"/>
        <item x="486"/>
        <item x="293"/>
        <item x="402"/>
        <item x="1"/>
        <item x="770"/>
        <item x="285"/>
        <item x="889"/>
        <item x="661"/>
        <item x="20"/>
        <item x="532"/>
        <item x="858"/>
        <item x="609"/>
        <item x="23"/>
        <item x="500"/>
        <item x="820"/>
        <item x="47"/>
        <item x="513"/>
        <item x="873"/>
        <item x="1186"/>
        <item x="801"/>
        <item x="324"/>
        <item x="320"/>
        <item x="982"/>
        <item x="1061"/>
        <item x="46"/>
        <item x="1067"/>
        <item x="771"/>
        <item x="621"/>
        <item x="789"/>
        <item x="477"/>
        <item x="120"/>
        <item x="1132"/>
        <item x="70"/>
        <item x="1150"/>
        <item x="366"/>
        <item x="969"/>
        <item x="610"/>
        <item x="87"/>
        <item x="686"/>
        <item x="428"/>
        <item x="32"/>
        <item x="338"/>
        <item x="724"/>
        <item x="1182"/>
        <item x="539"/>
        <item x="547"/>
        <item x="494"/>
        <item x="1027"/>
        <item x="1042"/>
        <item x="429"/>
        <item x="268"/>
        <item x="260"/>
        <item x="878"/>
        <item x="471"/>
        <item x="259"/>
        <item x="142"/>
        <item x="94"/>
        <item x="283"/>
        <item x="201"/>
        <item x="917"/>
        <item x="1051"/>
        <item x="887"/>
        <item x="996"/>
        <item x="323"/>
        <item x="483"/>
        <item x="464"/>
        <item x="190"/>
        <item x="990"/>
        <item x="511"/>
        <item x="312"/>
        <item x="710"/>
        <item x="381"/>
        <item x="1107"/>
        <item x="11"/>
        <item x="274"/>
        <item x="900"/>
        <item x="77"/>
        <item x="778"/>
        <item x="405"/>
        <item x="573"/>
        <item x="45"/>
        <item x="102"/>
        <item x="970"/>
        <item x="1077"/>
        <item x="603"/>
        <item x="380"/>
        <item x="909"/>
        <item x="417"/>
        <item x="1097"/>
        <item x="218"/>
        <item x="587"/>
        <item x="109"/>
        <item x="470"/>
        <item x="336"/>
        <item x="261"/>
        <item x="447"/>
        <item x="221"/>
        <item x="83"/>
        <item x="80"/>
        <item x="510"/>
        <item x="1034"/>
        <item x="674"/>
        <item x="50"/>
        <item x="1196"/>
        <item x="1159"/>
        <item x="230"/>
        <item x="348"/>
        <item x="449"/>
        <item x="588"/>
        <item x="902"/>
        <item x="606"/>
        <item x="1035"/>
        <item x="607"/>
        <item x="507"/>
        <item x="853"/>
        <item x="210"/>
        <item x="645"/>
        <item x="631"/>
        <item x="396"/>
        <item x="448"/>
        <item x="67"/>
        <item x="807"/>
        <item x="345"/>
        <item x="57"/>
        <item x="498"/>
        <item x="518"/>
        <item x="160"/>
        <item x="123"/>
        <item x="1183"/>
        <item x="446"/>
        <item x="433"/>
        <item x="699"/>
        <item x="253"/>
        <item x="546"/>
        <item x="129"/>
        <item x="1044"/>
        <item x="598"/>
        <item x="78"/>
        <item x="979"/>
        <item x="316"/>
        <item x="623"/>
        <item x="626"/>
        <item x="411"/>
        <item x="960"/>
        <item x="235"/>
        <item x="81"/>
        <item x="487"/>
        <item x="962"/>
        <item x="82"/>
        <item x="754"/>
        <item x="391"/>
        <item x="707"/>
        <item x="1138"/>
        <item x="831"/>
        <item x="1139"/>
        <item x="26"/>
        <item x="632"/>
        <item x="638"/>
        <item x="615"/>
        <item x="30"/>
        <item x="44"/>
        <item x="172"/>
        <item x="182"/>
        <item x="266"/>
        <item x="881"/>
        <item x="951"/>
        <item x="203"/>
        <item x="1151"/>
        <item x="273"/>
        <item x="12"/>
        <item x="430"/>
        <item x="29"/>
        <item x="443"/>
        <item x="1082"/>
        <item x="321"/>
        <item x="170"/>
        <item x="386"/>
        <item x="1086"/>
        <item x="219"/>
        <item x="584"/>
        <item x="1119"/>
        <item x="217"/>
        <item x="327"/>
        <item x="1084"/>
        <item x="1049"/>
        <item x="723"/>
        <item x="1085"/>
        <item x="1026"/>
        <item x="246"/>
        <item x="865"/>
        <item x="871"/>
        <item x="407"/>
        <item x="479"/>
        <item x="138"/>
        <item x="690"/>
        <item x="100"/>
        <item x="875"/>
        <item x="693"/>
        <item x="352"/>
        <item x="939"/>
        <item x="1166"/>
        <item x="591"/>
        <item x="747"/>
        <item x="829"/>
        <item x="1094"/>
        <item x="1123"/>
        <item x="797"/>
        <item x="1032"/>
        <item x="841"/>
        <item x="941"/>
        <item x="721"/>
        <item x="277"/>
        <item x="4"/>
        <item x="796"/>
        <item x="399"/>
        <item x="376"/>
        <item x="17"/>
        <item x="658"/>
        <item x="562"/>
        <item x="750"/>
        <item x="115"/>
        <item x="620"/>
        <item x="986"/>
        <item x="702"/>
        <item x="48"/>
        <item x="703"/>
        <item x="226"/>
        <item x="1187"/>
        <item x="37"/>
        <item x="596"/>
        <item x="341"/>
        <item x="347"/>
        <item x="1140"/>
        <item x="497"/>
        <item x="663"/>
        <item x="1010"/>
        <item x="635"/>
        <item x="1021"/>
        <item x="545"/>
        <item x="531"/>
        <item x="369"/>
        <item x="54"/>
        <item x="304"/>
        <item x="611"/>
        <item x="150"/>
        <item x="108"/>
        <item x="121"/>
        <item x="1081"/>
        <item x="337"/>
        <item x="748"/>
        <item x="726"/>
        <item x="39"/>
        <item x="480"/>
        <item x="634"/>
        <item x="527"/>
        <item x="788"/>
        <item x="350"/>
        <item x="864"/>
        <item x="561"/>
        <item x="804"/>
        <item x="194"/>
        <item x="62"/>
        <item x="1124"/>
        <item x="1018"/>
        <item x="317"/>
        <item x="1155"/>
        <item x="567"/>
        <item x="74"/>
        <item x="652"/>
        <item x="254"/>
        <item x="90"/>
        <item x="930"/>
        <item x="885"/>
        <item x="290"/>
        <item x="262"/>
        <item x="372"/>
        <item x="579"/>
        <item x="644"/>
        <item x="195"/>
        <item x="814"/>
        <item x="911"/>
        <item x="297"/>
        <item x="779"/>
        <item x="298"/>
        <item x="177"/>
        <item x="212"/>
        <item x="1130"/>
        <item x="495"/>
        <item x="646"/>
        <item x="935"/>
        <item x="1118"/>
        <item x="529"/>
        <item x="175"/>
        <item x="755"/>
        <item x="910"/>
        <item x="1117"/>
        <item x="1125"/>
        <item x="514"/>
        <item x="802"/>
        <item x="697"/>
        <item x="835"/>
        <item x="452"/>
        <item x="71"/>
        <item x="953"/>
        <item x="395"/>
        <item x="168"/>
        <item x="943"/>
        <item x="151"/>
        <item x="162"/>
        <item x="1060"/>
        <item x="719"/>
        <item x="49"/>
        <item x="668"/>
        <item x="245"/>
        <item x="736"/>
        <item x="152"/>
        <item x="330"/>
        <item x="512"/>
        <item x="38"/>
        <item x="1064"/>
        <item x="42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dragToRow="0" dragToCol="0" dragToPage="0" showAll="0" defaultSubtotal="0"/>
  </pivotFields>
  <rowFields count="1">
    <field x="3"/>
  </rowFields>
  <rowItems count="4">
    <i>
      <x/>
    </i>
    <i>
      <x v="1"/>
    </i>
    <i>
      <x v="2"/>
    </i>
    <i t="grand">
      <x/>
    </i>
  </rowItems>
  <colItems count="1">
    <i/>
  </colItems>
  <dataFields count="1">
    <dataField name="Average of CSAT" fld="7" subtotal="average" baseField="3" baseItem="0"/>
  </dataFields>
  <chartFormats count="4">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3" count="1" selected="0">
            <x v="0"/>
          </reference>
        </references>
      </pivotArea>
    </chartFormat>
    <chartFormat chart="3" format="10">
      <pivotArea type="data" outline="0" fieldPosition="0">
        <references count="2">
          <reference field="4294967294" count="1" selected="0">
            <x v="0"/>
          </reference>
          <reference field="3" count="1" selected="0">
            <x v="1"/>
          </reference>
        </references>
      </pivotArea>
    </chartFormat>
    <chartFormat chart="3" format="1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965D99B-5FB7-4EBF-B260-B1B5237E3C7D}"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iscount_Percentage">
  <location ref="A44:B61" firstHeaderRow="1" firstDataRow="1" firstDataCol="1"/>
  <pivotFields count="16">
    <pivotField numFmtId="14" showAll="0">
      <items count="601">
        <item x="79"/>
        <item x="511"/>
        <item x="199"/>
        <item x="86"/>
        <item x="123"/>
        <item x="525"/>
        <item x="29"/>
        <item x="99"/>
        <item x="467"/>
        <item x="346"/>
        <item x="559"/>
        <item x="325"/>
        <item x="52"/>
        <item x="138"/>
        <item x="242"/>
        <item x="151"/>
        <item x="168"/>
        <item x="300"/>
        <item x="313"/>
        <item x="442"/>
        <item x="422"/>
        <item x="187"/>
        <item x="225"/>
        <item x="159"/>
        <item x="380"/>
        <item x="165"/>
        <item x="431"/>
        <item x="474"/>
        <item x="512"/>
        <item x="144"/>
        <item x="154"/>
        <item x="73"/>
        <item x="129"/>
        <item x="360"/>
        <item x="108"/>
        <item x="88"/>
        <item x="318"/>
        <item x="460"/>
        <item x="358"/>
        <item x="553"/>
        <item x="43"/>
        <item x="240"/>
        <item x="424"/>
        <item x="207"/>
        <item x="447"/>
        <item x="569"/>
        <item x="576"/>
        <item x="149"/>
        <item x="173"/>
        <item x="222"/>
        <item x="537"/>
        <item x="493"/>
        <item x="497"/>
        <item x="49"/>
        <item x="238"/>
        <item x="364"/>
        <item x="492"/>
        <item x="304"/>
        <item x="558"/>
        <item x="290"/>
        <item x="87"/>
        <item x="509"/>
        <item x="139"/>
        <item x="298"/>
        <item x="219"/>
        <item x="117"/>
        <item x="428"/>
        <item x="591"/>
        <item x="175"/>
        <item x="102"/>
        <item x="323"/>
        <item x="599"/>
        <item x="595"/>
        <item x="375"/>
        <item x="554"/>
        <item x="80"/>
        <item x="122"/>
        <item x="486"/>
        <item x="51"/>
        <item x="314"/>
        <item x="205"/>
        <item x="0"/>
        <item x="39"/>
        <item x="388"/>
        <item x="434"/>
        <item x="189"/>
        <item x="137"/>
        <item x="93"/>
        <item x="84"/>
        <item x="438"/>
        <item x="120"/>
        <item x="127"/>
        <item x="177"/>
        <item x="295"/>
        <item x="47"/>
        <item x="152"/>
        <item x="403"/>
        <item x="232"/>
        <item x="582"/>
        <item x="289"/>
        <item x="46"/>
        <item x="475"/>
        <item x="371"/>
        <item x="167"/>
        <item x="261"/>
        <item x="389"/>
        <item x="188"/>
        <item x="457"/>
        <item x="463"/>
        <item x="367"/>
        <item x="355"/>
        <item x="294"/>
        <item x="465"/>
        <item x="118"/>
        <item x="251"/>
        <item x="212"/>
        <item x="254"/>
        <item x="476"/>
        <item x="478"/>
        <item x="423"/>
        <item x="69"/>
        <item x="27"/>
        <item x="437"/>
        <item x="31"/>
        <item x="310"/>
        <item x="377"/>
        <item x="521"/>
        <item x="311"/>
        <item x="213"/>
        <item x="107"/>
        <item x="32"/>
        <item x="452"/>
        <item x="541"/>
        <item x="223"/>
        <item x="291"/>
        <item x="510"/>
        <item x="579"/>
        <item x="427"/>
        <item x="505"/>
        <item x="539"/>
        <item x="383"/>
        <item x="36"/>
        <item x="317"/>
        <item x="362"/>
        <item x="155"/>
        <item x="359"/>
        <item x="548"/>
        <item x="384"/>
        <item x="469"/>
        <item x="246"/>
        <item x="279"/>
        <item x="296"/>
        <item x="191"/>
        <item x="508"/>
        <item x="148"/>
        <item x="305"/>
        <item x="575"/>
        <item x="19"/>
        <item x="373"/>
        <item x="163"/>
        <item x="536"/>
        <item x="285"/>
        <item x="44"/>
        <item x="392"/>
        <item x="104"/>
        <item x="264"/>
        <item x="8"/>
        <item x="566"/>
        <item x="301"/>
        <item x="363"/>
        <item x="190"/>
        <item x="81"/>
        <item x="209"/>
        <item x="394"/>
        <item x="164"/>
        <item x="498"/>
        <item x="540"/>
        <item x="255"/>
        <item x="297"/>
        <item x="265"/>
        <item x="195"/>
        <item x="523"/>
        <item x="516"/>
        <item x="142"/>
        <item x="162"/>
        <item x="321"/>
        <item x="468"/>
        <item x="239"/>
        <item x="564"/>
        <item x="439"/>
        <item x="92"/>
        <item x="574"/>
        <item x="387"/>
        <item x="237"/>
        <item x="128"/>
        <item x="315"/>
        <item x="385"/>
        <item x="258"/>
        <item x="551"/>
        <item x="281"/>
        <item x="596"/>
        <item x="75"/>
        <item x="494"/>
        <item x="115"/>
        <item x="146"/>
        <item x="473"/>
        <item x="48"/>
        <item x="354"/>
        <item x="425"/>
        <item x="249"/>
        <item x="462"/>
        <item x="106"/>
        <item x="587"/>
        <item x="366"/>
        <item x="169"/>
        <item x="160"/>
        <item x="259"/>
        <item x="417"/>
        <item x="275"/>
        <item x="446"/>
        <item x="215"/>
        <item x="583"/>
        <item x="507"/>
        <item x="267"/>
        <item x="170"/>
        <item x="231"/>
        <item x="5"/>
        <item x="503"/>
        <item x="57"/>
        <item x="334"/>
        <item x="59"/>
        <item x="408"/>
        <item x="235"/>
        <item x="76"/>
        <item x="109"/>
        <item x="268"/>
        <item x="119"/>
        <item x="410"/>
        <item x="405"/>
        <item x="157"/>
        <item x="276"/>
        <item x="557"/>
        <item x="584"/>
        <item x="531"/>
        <item x="101"/>
        <item x="593"/>
        <item x="543"/>
        <item x="370"/>
        <item x="156"/>
        <item x="236"/>
        <item x="89"/>
        <item x="200"/>
        <item x="252"/>
        <item x="82"/>
        <item x="181"/>
        <item x="150"/>
        <item x="597"/>
        <item x="182"/>
        <item x="485"/>
        <item x="495"/>
        <item x="546"/>
        <item x="350"/>
        <item x="241"/>
        <item x="560"/>
        <item x="538"/>
        <item x="95"/>
        <item x="153"/>
        <item x="562"/>
        <item x="445"/>
        <item x="535"/>
        <item x="65"/>
        <item x="544"/>
        <item x="299"/>
        <item x="1"/>
        <item x="327"/>
        <item x="577"/>
        <item x="443"/>
        <item x="83"/>
        <item x="216"/>
        <item x="528"/>
        <item x="263"/>
        <item x="345"/>
        <item x="340"/>
        <item x="282"/>
        <item x="580"/>
        <item x="158"/>
        <item x="110"/>
        <item x="415"/>
        <item x="37"/>
        <item x="228"/>
        <item x="206"/>
        <item x="309"/>
        <item x="483"/>
        <item x="339"/>
        <item x="489"/>
        <item x="293"/>
        <item x="229"/>
        <item x="274"/>
        <item x="132"/>
        <item x="262"/>
        <item x="34"/>
        <item x="433"/>
        <item x="6"/>
        <item x="337"/>
        <item x="184"/>
        <item x="441"/>
        <item x="202"/>
        <item x="21"/>
        <item x="401"/>
        <item x="269"/>
        <item x="590"/>
        <item x="112"/>
        <item x="530"/>
        <item x="365"/>
        <item x="589"/>
        <item x="278"/>
        <item x="572"/>
        <item x="22"/>
        <item x="351"/>
        <item x="7"/>
        <item x="499"/>
        <item x="328"/>
        <item x="141"/>
        <item x="287"/>
        <item x="15"/>
        <item x="519"/>
        <item x="125"/>
        <item x="60"/>
        <item x="63"/>
        <item x="214"/>
        <item x="41"/>
        <item x="33"/>
        <item x="70"/>
        <item x="348"/>
        <item x="332"/>
        <item x="113"/>
        <item x="134"/>
        <item x="386"/>
        <item x="40"/>
        <item x="481"/>
        <item x="97"/>
        <item x="450"/>
        <item x="247"/>
        <item x="514"/>
        <item x="145"/>
        <item x="54"/>
        <item x="283"/>
        <item x="183"/>
        <item x="286"/>
        <item x="455"/>
        <item x="491"/>
        <item x="448"/>
        <item x="194"/>
        <item x="178"/>
        <item x="284"/>
        <item x="114"/>
        <item x="50"/>
        <item x="500"/>
        <item x="470"/>
        <item x="464"/>
        <item x="227"/>
        <item x="78"/>
        <item x="376"/>
        <item x="352"/>
        <item x="526"/>
        <item x="413"/>
        <item x="517"/>
        <item x="288"/>
        <item x="308"/>
        <item x="454"/>
        <item x="397"/>
        <item x="211"/>
        <item x="329"/>
        <item x="353"/>
        <item x="400"/>
        <item x="131"/>
        <item x="67"/>
        <item x="594"/>
        <item x="121"/>
        <item x="111"/>
        <item x="324"/>
        <item x="336"/>
        <item x="518"/>
        <item x="571"/>
        <item x="429"/>
        <item x="218"/>
        <item x="62"/>
        <item x="208"/>
        <item x="472"/>
        <item x="198"/>
        <item x="484"/>
        <item x="243"/>
        <item x="549"/>
        <item x="105"/>
        <item x="524"/>
        <item x="35"/>
        <item x="451"/>
        <item x="221"/>
        <item x="440"/>
        <item x="369"/>
        <item x="585"/>
        <item x="230"/>
        <item x="26"/>
        <item x="12"/>
        <item x="2"/>
        <item x="10"/>
        <item x="477"/>
        <item x="482"/>
        <item x="55"/>
        <item x="126"/>
        <item x="320"/>
        <item x="13"/>
        <item x="567"/>
        <item x="244"/>
        <item x="91"/>
        <item x="135"/>
        <item x="68"/>
        <item x="203"/>
        <item x="224"/>
        <item x="77"/>
        <item x="133"/>
        <item x="513"/>
        <item x="124"/>
        <item x="179"/>
        <item x="166"/>
        <item x="466"/>
        <item x="185"/>
        <item x="172"/>
        <item x="402"/>
        <item x="506"/>
        <item x="17"/>
        <item x="515"/>
        <item x="316"/>
        <item x="379"/>
        <item x="217"/>
        <item x="307"/>
        <item x="338"/>
        <item x="180"/>
        <item x="456"/>
        <item x="273"/>
        <item x="416"/>
        <item x="435"/>
        <item x="570"/>
        <item x="174"/>
        <item x="581"/>
        <item x="461"/>
        <item x="496"/>
        <item x="58"/>
        <item x="302"/>
        <item x="98"/>
        <item x="341"/>
        <item x="504"/>
        <item x="186"/>
        <item x="292"/>
        <item x="277"/>
        <item x="280"/>
        <item x="74"/>
        <item x="347"/>
        <item x="342"/>
        <item x="3"/>
        <item x="234"/>
        <item x="343"/>
        <item x="16"/>
        <item x="542"/>
        <item x="23"/>
        <item x="331"/>
        <item x="349"/>
        <item x="396"/>
        <item x="140"/>
        <item x="28"/>
        <item x="253"/>
        <item x="96"/>
        <item x="398"/>
        <item x="147"/>
        <item x="458"/>
        <item x="527"/>
        <item x="100"/>
        <item x="326"/>
        <item x="479"/>
        <item x="257"/>
        <item x="335"/>
        <item x="430"/>
        <item x="171"/>
        <item x="436"/>
        <item x="330"/>
        <item x="196"/>
        <item x="487"/>
        <item x="444"/>
        <item x="409"/>
        <item x="197"/>
        <item x="245"/>
        <item x="319"/>
        <item x="272"/>
        <item x="490"/>
        <item x="406"/>
        <item x="381"/>
        <item x="220"/>
        <item x="24"/>
        <item x="312"/>
        <item x="14"/>
        <item x="393"/>
        <item x="522"/>
        <item x="56"/>
        <item x="248"/>
        <item x="573"/>
        <item x="143"/>
        <item x="547"/>
        <item x="502"/>
        <item x="592"/>
        <item x="586"/>
        <item x="390"/>
        <item x="38"/>
        <item x="414"/>
        <item x="30"/>
        <item x="130"/>
        <item x="561"/>
        <item x="378"/>
        <item x="306"/>
        <item x="210"/>
        <item x="64"/>
        <item x="418"/>
        <item x="534"/>
        <item x="204"/>
        <item x="192"/>
        <item x="578"/>
        <item x="116"/>
        <item x="136"/>
        <item x="404"/>
        <item x="598"/>
        <item x="419"/>
        <item x="322"/>
        <item x="18"/>
        <item x="11"/>
        <item x="260"/>
        <item x="399"/>
        <item x="453"/>
        <item x="533"/>
        <item x="552"/>
        <item x="71"/>
        <item x="395"/>
        <item x="520"/>
        <item x="25"/>
        <item x="233"/>
        <item x="556"/>
        <item x="391"/>
        <item x="94"/>
        <item x="103"/>
        <item x="90"/>
        <item x="568"/>
        <item x="72"/>
        <item x="193"/>
        <item x="45"/>
        <item x="407"/>
        <item x="250"/>
        <item x="176"/>
        <item x="361"/>
        <item x="372"/>
        <item x="532"/>
        <item x="374"/>
        <item x="412"/>
        <item x="256"/>
        <item x="344"/>
        <item x="421"/>
        <item x="333"/>
        <item x="356"/>
        <item x="4"/>
        <item x="529"/>
        <item x="488"/>
        <item x="53"/>
        <item x="449"/>
        <item x="565"/>
        <item x="357"/>
        <item x="271"/>
        <item x="85"/>
        <item x="42"/>
        <item x="459"/>
        <item x="161"/>
        <item x="266"/>
        <item x="303"/>
        <item x="550"/>
        <item x="545"/>
        <item x="270"/>
        <item x="426"/>
        <item x="20"/>
        <item x="588"/>
        <item x="420"/>
        <item x="480"/>
        <item x="66"/>
        <item x="201"/>
        <item x="555"/>
        <item x="61"/>
        <item x="563"/>
        <item x="501"/>
        <item x="368"/>
        <item x="382"/>
        <item x="432"/>
        <item x="411"/>
        <item x="9"/>
        <item x="226"/>
        <item x="471"/>
        <item t="default"/>
      </items>
    </pivotField>
    <pivotField showAll="0">
      <items count="5">
        <item x="1"/>
        <item x="2"/>
        <item x="0"/>
        <item x="3"/>
        <item t="default"/>
      </items>
    </pivotField>
    <pivotField showAll="0">
      <items count="5">
        <item x="2"/>
        <item x="1"/>
        <item x="0"/>
        <item x="3"/>
        <item t="default"/>
      </items>
    </pivotField>
    <pivotField showAll="0">
      <items count="4">
        <item x="1"/>
        <item x="0"/>
        <item x="2"/>
        <item t="default"/>
      </items>
    </pivotField>
    <pivotField dataField="1" showAll="0">
      <items count="1197">
        <item x="78"/>
        <item x="100"/>
        <item x="135"/>
        <item x="575"/>
        <item x="174"/>
        <item x="610"/>
        <item x="730"/>
        <item x="508"/>
        <item x="55"/>
        <item x="315"/>
        <item x="1011"/>
        <item x="1113"/>
        <item x="1148"/>
        <item x="577"/>
        <item x="825"/>
        <item x="219"/>
        <item x="1166"/>
        <item x="375"/>
        <item x="672"/>
        <item x="563"/>
        <item x="214"/>
        <item x="981"/>
        <item x="615"/>
        <item x="355"/>
        <item x="109"/>
        <item x="103"/>
        <item x="145"/>
        <item x="516"/>
        <item x="953"/>
        <item x="889"/>
        <item x="998"/>
        <item x="849"/>
        <item x="553"/>
        <item x="476"/>
        <item x="443"/>
        <item x="625"/>
        <item x="1046"/>
        <item x="30"/>
        <item x="395"/>
        <item x="914"/>
        <item x="887"/>
        <item x="144"/>
        <item x="237"/>
        <item x="40"/>
        <item x="400"/>
        <item x="413"/>
        <item x="392"/>
        <item x="1172"/>
        <item x="172"/>
        <item x="149"/>
        <item x="69"/>
        <item x="325"/>
        <item x="283"/>
        <item x="346"/>
        <item x="1176"/>
        <item x="92"/>
        <item x="1020"/>
        <item x="943"/>
        <item x="1068"/>
        <item x="179"/>
        <item x="907"/>
        <item x="388"/>
        <item x="86"/>
        <item x="98"/>
        <item x="604"/>
        <item x="1006"/>
        <item x="382"/>
        <item x="222"/>
        <item x="331"/>
        <item x="217"/>
        <item x="1178"/>
        <item x="439"/>
        <item x="1137"/>
        <item x="756"/>
        <item x="743"/>
        <item x="793"/>
        <item x="28"/>
        <item x="671"/>
        <item x="840"/>
        <item x="710"/>
        <item x="364"/>
        <item x="105"/>
        <item x="115"/>
        <item x="409"/>
        <item x="712"/>
        <item x="350"/>
        <item x="674"/>
        <item x="139"/>
        <item x="527"/>
        <item x="197"/>
        <item x="1015"/>
        <item x="955"/>
        <item x="59"/>
        <item x="158"/>
        <item x="1026"/>
        <item x="776"/>
        <item x="425"/>
        <item x="728"/>
        <item x="383"/>
        <item x="1182"/>
        <item x="920"/>
        <item x="347"/>
        <item x="1136"/>
        <item x="454"/>
        <item x="75"/>
        <item x="1081"/>
        <item x="681"/>
        <item x="97"/>
        <item x="99"/>
        <item x="646"/>
        <item x="379"/>
        <item x="327"/>
        <item x="661"/>
        <item x="142"/>
        <item x="494"/>
        <item x="1175"/>
        <item x="265"/>
        <item x="330"/>
        <item x="565"/>
        <item x="853"/>
        <item x="540"/>
        <item x="258"/>
        <item x="833"/>
        <item x="1038"/>
        <item x="630"/>
        <item x="729"/>
        <item x="1070"/>
        <item x="123"/>
        <item x="1123"/>
        <item x="587"/>
        <item x="146"/>
        <item x="582"/>
        <item x="120"/>
        <item x="623"/>
        <item x="1104"/>
        <item x="1170"/>
        <item x="444"/>
        <item x="304"/>
        <item x="762"/>
        <item x="603"/>
        <item x="190"/>
        <item x="93"/>
        <item x="721"/>
        <item x="855"/>
        <item x="529"/>
        <item x="1069"/>
        <item x="1174"/>
        <item x="821"/>
        <item x="430"/>
        <item x="1162"/>
        <item x="50"/>
        <item x="1034"/>
        <item x="288"/>
        <item x="1187"/>
        <item x="1177"/>
        <item x="780"/>
        <item x="308"/>
        <item x="493"/>
        <item x="406"/>
        <item x="1049"/>
        <item x="345"/>
        <item x="488"/>
        <item x="545"/>
        <item x="733"/>
        <item x="858"/>
        <item x="1169"/>
        <item x="1050"/>
        <item x="1168"/>
        <item x="284"/>
        <item x="1110"/>
        <item x="440"/>
        <item x="396"/>
        <item x="918"/>
        <item x="768"/>
        <item x="724"/>
        <item x="617"/>
        <item x="62"/>
        <item x="1045"/>
        <item x="1016"/>
        <item x="1030"/>
        <item x="465"/>
        <item x="704"/>
        <item x="37"/>
        <item x="608"/>
        <item x="148"/>
        <item x="1075"/>
        <item x="171"/>
        <item x="463"/>
        <item x="134"/>
        <item x="453"/>
        <item x="173"/>
        <item x="831"/>
        <item x="515"/>
        <item x="535"/>
        <item x="1043"/>
        <item x="789"/>
        <item x="422"/>
        <item x="136"/>
        <item x="962"/>
        <item x="475"/>
        <item x="578"/>
        <item x="862"/>
        <item x="817"/>
        <item x="804"/>
        <item x="1158"/>
        <item x="195"/>
        <item x="467"/>
        <item x="177"/>
        <item x="814"/>
        <item x="452"/>
        <item x="913"/>
        <item x="445"/>
        <item x="57"/>
        <item x="585"/>
        <item x="960"/>
        <item x="792"/>
        <item x="626"/>
        <item x="361"/>
        <item x="1120"/>
        <item x="697"/>
        <item x="320"/>
        <item x="683"/>
        <item x="335"/>
        <item x="900"/>
        <item x="206"/>
        <item x="784"/>
        <item x="732"/>
        <item x="785"/>
        <item x="260"/>
        <item x="309"/>
        <item x="1139"/>
        <item x="1130"/>
        <item x="9"/>
        <item x="945"/>
        <item x="245"/>
        <item x="834"/>
        <item x="622"/>
        <item x="650"/>
        <item x="908"/>
        <item x="1053"/>
        <item x="456"/>
        <item x="916"/>
        <item x="902"/>
        <item x="827"/>
        <item x="151"/>
        <item x="352"/>
        <item x="464"/>
        <item x="957"/>
        <item x="746"/>
        <item x="875"/>
        <item x="901"/>
        <item x="911"/>
        <item x="693"/>
        <item x="274"/>
        <item x="193"/>
        <item x="951"/>
        <item x="501"/>
        <item x="289"/>
        <item x="1028"/>
        <item x="1145"/>
        <item x="160"/>
        <item x="25"/>
        <item x="338"/>
        <item x="959"/>
        <item x="727"/>
        <item x="1132"/>
        <item x="1084"/>
        <item x="45"/>
        <item x="725"/>
        <item x="49"/>
        <item x="381"/>
        <item x="261"/>
        <item x="1066"/>
        <item x="21"/>
        <item x="614"/>
        <item x="32"/>
        <item x="939"/>
        <item x="915"/>
        <item x="24"/>
        <item x="1156"/>
        <item x="368"/>
        <item x="15"/>
        <item x="102"/>
        <item x="490"/>
        <item x="218"/>
        <item x="600"/>
        <item x="270"/>
        <item x="885"/>
        <item x="241"/>
        <item x="507"/>
        <item x="663"/>
        <item x="1146"/>
        <item x="938"/>
        <item x="108"/>
        <item x="711"/>
        <item x="922"/>
        <item x="474"/>
        <item x="992"/>
        <item x="1033"/>
        <item x="299"/>
        <item x="324"/>
        <item x="1054"/>
        <item x="613"/>
        <item x="1000"/>
        <item x="353"/>
        <item x="645"/>
        <item x="298"/>
        <item x="253"/>
        <item x="740"/>
        <item x="94"/>
        <item x="766"/>
        <item x="38"/>
        <item x="832"/>
        <item x="567"/>
        <item x="965"/>
        <item x="971"/>
        <item x="380"/>
        <item x="616"/>
        <item x="1115"/>
        <item x="861"/>
        <item x="818"/>
        <item x="555"/>
        <item x="1057"/>
        <item x="1003"/>
        <item x="473"/>
        <item x="891"/>
        <item x="581"/>
        <item x="207"/>
        <item x="1025"/>
        <item x="638"/>
        <item x="707"/>
        <item x="921"/>
        <item x="1010"/>
        <item x="460"/>
        <item x="269"/>
        <item x="434"/>
        <item x="612"/>
        <item x="520"/>
        <item x="129"/>
        <item x="397"/>
        <item x="777"/>
        <item x="932"/>
        <item x="1023"/>
        <item x="843"/>
        <item x="696"/>
        <item x="870"/>
        <item x="877"/>
        <item x="764"/>
        <item x="941"/>
        <item x="850"/>
        <item x="1004"/>
        <item x="1085"/>
        <item x="127"/>
        <item x="595"/>
        <item x="221"/>
        <item x="892"/>
        <item x="470"/>
        <item x="429"/>
        <item x="141"/>
        <item x="874"/>
        <item x="424"/>
        <item x="111"/>
        <item x="1190"/>
        <item x="372"/>
        <item x="1060"/>
        <item x="761"/>
        <item x="293"/>
        <item x="186"/>
        <item x="54"/>
        <item x="735"/>
        <item x="198"/>
        <item x="737"/>
        <item x="848"/>
        <item x="1181"/>
        <item x="607"/>
        <item x="236"/>
        <item x="232"/>
        <item x="750"/>
        <item x="39"/>
        <item x="294"/>
        <item x="213"/>
        <item x="285"/>
        <item x="96"/>
        <item x="963"/>
        <item x="1103"/>
        <item x="708"/>
        <item x="212"/>
        <item x="897"/>
        <item x="239"/>
        <item x="1112"/>
        <item x="665"/>
        <item x="34"/>
        <item x="639"/>
        <item x="566"/>
        <item x="228"/>
        <item x="629"/>
        <item x="229"/>
        <item x="1"/>
        <item x="1167"/>
        <item x="121"/>
        <item x="842"/>
        <item x="243"/>
        <item x="275"/>
        <item x="385"/>
        <item x="280"/>
        <item x="879"/>
        <item x="147"/>
        <item x="414"/>
        <item x="76"/>
        <item x="1089"/>
        <item x="279"/>
        <item x="1131"/>
        <item x="808"/>
        <item x="336"/>
        <item x="1163"/>
        <item x="548"/>
        <item x="403"/>
        <item x="925"/>
        <item x="1106"/>
        <item x="12"/>
        <item x="87"/>
        <item x="698"/>
        <item x="131"/>
        <item x="437"/>
        <item x="14"/>
        <item x="31"/>
        <item x="845"/>
        <item x="1012"/>
        <item x="649"/>
        <item x="1184"/>
        <item x="61"/>
        <item x="389"/>
        <item x="975"/>
        <item x="367"/>
        <item x="110"/>
        <item x="1099"/>
        <item x="1027"/>
        <item x="435"/>
        <item x="982"/>
        <item x="83"/>
        <item x="104"/>
        <item x="747"/>
        <item x="586"/>
        <item x="533"/>
        <item x="167"/>
        <item x="1022"/>
        <item x="466"/>
        <item x="723"/>
        <item x="72"/>
        <item x="489"/>
        <item x="1140"/>
        <item x="643"/>
        <item x="374"/>
        <item x="890"/>
        <item x="709"/>
        <item x="192"/>
        <item x="865"/>
        <item x="503"/>
        <item x="819"/>
        <item x="1164"/>
        <item x="53"/>
        <item x="1155"/>
        <item x="64"/>
        <item x="1056"/>
        <item x="318"/>
        <item x="1135"/>
        <item x="522"/>
        <item x="745"/>
        <item x="899"/>
        <item x="978"/>
        <item x="1188"/>
        <item x="257"/>
        <item x="809"/>
        <item x="557"/>
        <item x="233"/>
        <item x="116"/>
        <item x="544"/>
        <item x="618"/>
        <item x="5"/>
        <item x="36"/>
        <item x="798"/>
        <item x="1024"/>
        <item x="356"/>
        <item x="966"/>
        <item x="66"/>
        <item x="751"/>
        <item x="41"/>
        <item x="1094"/>
        <item x="1087"/>
        <item x="644"/>
        <item x="47"/>
        <item x="458"/>
        <item x="332"/>
        <item x="796"/>
        <item x="16"/>
        <item x="89"/>
        <item x="748"/>
        <item x="692"/>
        <item x="1154"/>
        <item x="1144"/>
        <item x="620"/>
        <item x="22"/>
        <item x="450"/>
        <item x="774"/>
        <item x="574"/>
        <item x="1090"/>
        <item x="895"/>
        <item x="904"/>
        <item x="584"/>
        <item x="498"/>
        <item x="68"/>
        <item x="362"/>
        <item x="715"/>
        <item x="703"/>
        <item x="199"/>
        <item x="354"/>
        <item x="322"/>
        <item x="249"/>
        <item x="906"/>
        <item x="316"/>
        <item x="598"/>
        <item x="481"/>
        <item x="1073"/>
        <item x="88"/>
        <item x="551"/>
        <item x="806"/>
        <item x="1018"/>
        <item x="1061"/>
        <item x="673"/>
        <item x="800"/>
        <item x="686"/>
        <item x="864"/>
        <item x="196"/>
        <item x="244"/>
        <item x="1077"/>
        <item x="185"/>
        <item x="1008"/>
        <item x="386"/>
        <item x="930"/>
        <item x="844"/>
        <item x="543"/>
        <item x="455"/>
        <item x="659"/>
        <item x="415"/>
        <item x="491"/>
        <item x="1062"/>
        <item x="628"/>
        <item x="1080"/>
        <item x="866"/>
        <item x="140"/>
        <item x="896"/>
        <item x="1051"/>
        <item x="302"/>
        <item x="1035"/>
        <item x="1109"/>
        <item x="991"/>
        <item x="547"/>
        <item x="358"/>
        <item x="863"/>
        <item x="224"/>
        <item x="7"/>
        <item x="689"/>
        <item x="408"/>
        <item x="589"/>
        <item x="676"/>
        <item x="989"/>
        <item x="666"/>
        <item x="1134"/>
        <item x="771"/>
        <item x="731"/>
        <item x="479"/>
        <item x="967"/>
        <item x="161"/>
        <item x="1048"/>
        <item x="1088"/>
        <item x="691"/>
        <item x="813"/>
        <item x="235"/>
        <item x="869"/>
        <item x="1161"/>
        <item x="621"/>
        <item x="779"/>
        <item x="107"/>
        <item x="637"/>
        <item x="42"/>
        <item x="427"/>
        <item x="268"/>
        <item x="647"/>
        <item x="738"/>
        <item x="741"/>
        <item x="119"/>
        <item x="256"/>
        <item x="1092"/>
        <item x="801"/>
        <item x="749"/>
        <item x="132"/>
        <item x="300"/>
        <item x="441"/>
        <item x="1001"/>
        <item x="303"/>
        <item x="534"/>
        <item x="935"/>
        <item x="188"/>
        <item x="461"/>
        <item x="248"/>
        <item x="590"/>
        <item x="189"/>
        <item x="1047"/>
        <item x="660"/>
        <item x="839"/>
        <item x="558"/>
        <item x="138"/>
        <item x="1014"/>
        <item x="321"/>
        <item x="583"/>
        <item x="410"/>
        <item x="846"/>
        <item x="180"/>
        <item x="176"/>
        <item x="820"/>
        <item x="0"/>
        <item x="150"/>
        <item x="1108"/>
        <item x="506"/>
        <item x="722"/>
        <item x="1191"/>
        <item x="1186"/>
        <item x="187"/>
        <item x="371"/>
        <item x="988"/>
        <item x="754"/>
        <item x="964"/>
        <item x="126"/>
        <item x="2"/>
        <item x="726"/>
        <item x="1076"/>
        <item x="495"/>
        <item x="79"/>
        <item x="412"/>
        <item x="376"/>
        <item x="486"/>
        <item x="1180"/>
        <item x="782"/>
        <item x="773"/>
        <item x="340"/>
        <item x="337"/>
        <item x="702"/>
        <item x="1142"/>
        <item x="580"/>
        <item x="946"/>
        <item x="995"/>
        <item x="114"/>
        <item x="81"/>
        <item x="1032"/>
        <item x="451"/>
        <item x="940"/>
        <item x="788"/>
        <item x="210"/>
        <item x="884"/>
        <item x="684"/>
        <item x="700"/>
        <item x="6"/>
        <item x="640"/>
        <item x="1102"/>
        <item x="306"/>
        <item x="154"/>
        <item x="423"/>
        <item x="851"/>
        <item x="699"/>
        <item x="588"/>
        <item x="117"/>
        <item x="264"/>
        <item x="990"/>
        <item x="772"/>
        <item x="517"/>
        <item x="576"/>
        <item x="44"/>
        <item x="868"/>
        <item x="552"/>
        <item x="579"/>
        <item x="753"/>
        <item x="153"/>
        <item x="1149"/>
        <item x="163"/>
        <item x="84"/>
        <item x="128"/>
        <item x="836"/>
        <item x="624"/>
        <item x="420"/>
        <item x="976"/>
        <item x="418"/>
        <item x="391"/>
        <item x="1173"/>
        <item x="469"/>
        <item x="291"/>
        <item x="635"/>
        <item x="311"/>
        <item x="1021"/>
        <item x="537"/>
        <item x="449"/>
        <item x="1059"/>
        <item x="950"/>
        <item x="714"/>
        <item x="227"/>
        <item x="143"/>
        <item x="816"/>
        <item x="234"/>
        <item x="519"/>
        <item x="1111"/>
        <item x="923"/>
        <item x="73"/>
        <item x="958"/>
        <item x="987"/>
        <item x="1041"/>
        <item x="826"/>
        <item x="446"/>
        <item x="786"/>
        <item x="70"/>
        <item x="296"/>
        <item x="656"/>
        <item x="790"/>
        <item x="1036"/>
        <item x="215"/>
        <item x="559"/>
        <item x="883"/>
        <item x="156"/>
        <item x="531"/>
        <item x="162"/>
        <item x="984"/>
        <item x="886"/>
        <item x="539"/>
        <item x="759"/>
        <item x="550"/>
        <item x="301"/>
        <item x="770"/>
        <item x="980"/>
        <item x="1037"/>
        <item x="477"/>
        <item x="807"/>
        <item x="878"/>
        <item x="169"/>
        <item x="1138"/>
        <item x="974"/>
        <item x="1192"/>
        <item x="929"/>
        <item x="716"/>
        <item x="668"/>
        <item x="795"/>
        <item x="407"/>
        <item x="504"/>
        <item x="1107"/>
        <item x="736"/>
        <item x="658"/>
        <item x="876"/>
        <item x="969"/>
        <item x="357"/>
        <item x="401"/>
        <item x="67"/>
        <item x="369"/>
        <item x="1067"/>
        <item x="23"/>
        <item x="238"/>
        <item x="482"/>
        <item x="52"/>
        <item x="259"/>
        <item x="82"/>
        <item x="791"/>
        <item x="653"/>
        <item x="194"/>
        <item x="903"/>
        <item x="822"/>
        <item x="1121"/>
        <item x="231"/>
        <item x="1183"/>
        <item x="657"/>
        <item x="394"/>
        <item x="910"/>
        <item x="758"/>
        <item x="419"/>
        <item x="178"/>
        <item x="752"/>
        <item x="226"/>
        <item x="168"/>
        <item x="983"/>
        <item x="682"/>
        <item x="4"/>
        <item x="560"/>
        <item x="416"/>
        <item x="734"/>
        <item x="973"/>
        <item x="944"/>
        <item x="611"/>
        <item x="619"/>
        <item x="365"/>
        <item x="952"/>
        <item x="694"/>
        <item x="133"/>
        <item x="961"/>
        <item x="225"/>
        <item x="652"/>
        <item x="1055"/>
        <item x="572"/>
        <item x="313"/>
        <item x="277"/>
        <item x="208"/>
        <item x="631"/>
        <item x="366"/>
        <item x="1125"/>
        <item x="739"/>
        <item x="411"/>
        <item x="605"/>
        <item x="742"/>
        <item x="74"/>
        <item x="562"/>
        <item x="799"/>
        <item x="852"/>
        <item x="384"/>
        <item x="1119"/>
        <item x="695"/>
        <item x="669"/>
        <item x="1095"/>
        <item x="680"/>
        <item x="286"/>
        <item x="113"/>
        <item x="778"/>
        <item x="760"/>
        <item x="571"/>
        <item x="591"/>
        <item x="342"/>
        <item x="882"/>
        <item x="593"/>
        <item x="810"/>
        <item x="1064"/>
        <item x="282"/>
        <item x="312"/>
        <item x="58"/>
        <item x="339"/>
        <item x="972"/>
        <item x="370"/>
        <item x="35"/>
        <item x="33"/>
        <item x="781"/>
        <item x="319"/>
        <item x="1079"/>
        <item x="841"/>
        <item x="17"/>
        <item x="767"/>
        <item x="442"/>
        <item x="344"/>
        <item x="310"/>
        <item x="223"/>
        <item x="471"/>
        <item x="181"/>
        <item x="873"/>
        <item x="954"/>
        <item x="641"/>
        <item x="854"/>
        <item x="606"/>
        <item x="27"/>
        <item x="448"/>
        <item x="1114"/>
        <item x="71"/>
        <item x="468"/>
        <item x="1153"/>
        <item x="29"/>
        <item x="763"/>
        <item x="942"/>
        <item x="271"/>
        <item x="426"/>
        <item x="170"/>
        <item x="601"/>
        <item x="1185"/>
        <item x="847"/>
        <item x="667"/>
        <item x="824"/>
        <item x="457"/>
        <item x="317"/>
        <item x="985"/>
        <item x="905"/>
        <item x="642"/>
        <item x="713"/>
        <item x="881"/>
        <item x="872"/>
        <item x="546"/>
        <item x="433"/>
        <item x="220"/>
        <item x="654"/>
        <item x="48"/>
        <item x="596"/>
        <item x="122"/>
        <item x="634"/>
        <item x="1141"/>
        <item x="838"/>
        <item x="510"/>
        <item x="556"/>
        <item x="246"/>
        <item x="3"/>
        <item x="993"/>
        <item x="977"/>
        <item x="1083"/>
        <item x="26"/>
        <item x="216"/>
        <item x="979"/>
        <item x="1101"/>
        <item x="894"/>
        <item x="118"/>
        <item x="599"/>
        <item x="307"/>
        <item x="532"/>
        <item x="996"/>
        <item x="333"/>
        <item x="204"/>
        <item x="602"/>
        <item x="919"/>
        <item x="254"/>
        <item x="1157"/>
        <item x="1179"/>
        <item x="497"/>
        <item x="1143"/>
        <item x="1147"/>
        <item x="1193"/>
        <item x="1082"/>
        <item x="859"/>
        <item x="909"/>
        <item x="997"/>
        <item x="106"/>
        <item x="917"/>
        <item x="670"/>
        <item x="933"/>
        <item x="95"/>
        <item x="242"/>
        <item x="994"/>
        <item x="77"/>
        <item x="829"/>
        <item x="812"/>
        <item x="888"/>
        <item x="343"/>
        <item x="314"/>
        <item x="561"/>
        <item x="541"/>
        <item x="431"/>
        <item x="679"/>
        <item x="542"/>
        <item x="326"/>
        <item x="159"/>
        <item x="802"/>
        <item x="480"/>
        <item x="1071"/>
        <item x="205"/>
        <item x="1042"/>
        <item x="1074"/>
        <item x="360"/>
        <item x="675"/>
        <item x="837"/>
        <item x="1171"/>
        <item x="428"/>
        <item x="1029"/>
        <item x="432"/>
        <item x="276"/>
        <item x="706"/>
        <item x="1124"/>
        <item x="305"/>
        <item x="247"/>
        <item x="292"/>
        <item x="1128"/>
        <item x="1150"/>
        <item x="797"/>
        <item x="1127"/>
        <item x="948"/>
        <item x="1013"/>
        <item x="421"/>
        <item x="184"/>
        <item x="857"/>
        <item x="266"/>
        <item x="334"/>
        <item x="1063"/>
        <item x="203"/>
        <item x="438"/>
        <item x="209"/>
        <item x="65"/>
        <item x="278"/>
        <item x="514"/>
        <item x="569"/>
        <item x="323"/>
        <item x="101"/>
        <item x="1031"/>
        <item x="1160"/>
        <item x="528"/>
        <item x="947"/>
        <item x="377"/>
        <item x="130"/>
        <item x="592"/>
        <item x="898"/>
        <item x="1098"/>
        <item x="1189"/>
        <item x="526"/>
        <item x="152"/>
        <item x="1007"/>
        <item x="536"/>
        <item x="505"/>
        <item x="893"/>
        <item x="183"/>
        <item x="43"/>
        <item x="472"/>
        <item x="80"/>
        <item x="999"/>
        <item x="570"/>
        <item x="525"/>
        <item x="755"/>
        <item x="484"/>
        <item x="787"/>
        <item x="8"/>
        <item x="513"/>
        <item x="90"/>
        <item x="509"/>
        <item x="511"/>
        <item x="931"/>
        <item x="164"/>
        <item x="568"/>
        <item x="499"/>
        <item x="60"/>
        <item x="949"/>
        <item x="1152"/>
        <item x="1040"/>
        <item x="91"/>
        <item x="351"/>
        <item x="378"/>
        <item x="765"/>
        <item x="85"/>
        <item x="1105"/>
        <item x="609"/>
        <item x="860"/>
        <item x="202"/>
        <item x="880"/>
        <item x="718"/>
        <item x="705"/>
        <item x="530"/>
        <item x="166"/>
        <item x="18"/>
        <item x="1009"/>
        <item x="393"/>
        <item x="1072"/>
        <item x="744"/>
        <item x="521"/>
        <item x="404"/>
        <item x="688"/>
        <item x="112"/>
        <item x="720"/>
        <item x="867"/>
        <item x="1129"/>
        <item x="1118"/>
        <item x="290"/>
        <item x="211"/>
        <item x="1039"/>
        <item x="678"/>
        <item x="823"/>
        <item x="191"/>
        <item x="956"/>
        <item x="1195"/>
        <item x="518"/>
        <item x="1002"/>
        <item x="775"/>
        <item x="769"/>
        <item x="348"/>
        <item x="662"/>
        <item x="402"/>
        <item x="251"/>
        <item x="502"/>
        <item x="297"/>
        <item x="1086"/>
        <item x="436"/>
        <item x="934"/>
        <item x="200"/>
        <item x="1093"/>
        <item x="633"/>
        <item x="10"/>
        <item x="273"/>
        <item x="1017"/>
        <item x="936"/>
        <item x="685"/>
        <item x="1116"/>
        <item x="805"/>
        <item x="252"/>
        <item x="349"/>
        <item x="1005"/>
        <item x="835"/>
        <item x="687"/>
        <item x="597"/>
        <item x="1117"/>
        <item x="564"/>
        <item x="757"/>
        <item x="20"/>
        <item x="970"/>
        <item x="19"/>
        <item x="459"/>
        <item x="1091"/>
        <item x="405"/>
        <item x="46"/>
        <item x="263"/>
        <item x="783"/>
        <item x="201"/>
        <item x="373"/>
        <item x="250"/>
        <item x="1052"/>
        <item x="124"/>
        <item x="701"/>
        <item x="496"/>
        <item x="240"/>
        <item x="928"/>
        <item x="912"/>
        <item x="523"/>
        <item x="1096"/>
        <item x="182"/>
        <item x="717"/>
        <item x="549"/>
        <item x="524"/>
        <item x="137"/>
        <item x="125"/>
        <item x="363"/>
        <item x="447"/>
        <item x="462"/>
        <item x="655"/>
        <item x="165"/>
        <item x="926"/>
        <item x="1122"/>
        <item x="1065"/>
        <item x="690"/>
        <item x="155"/>
        <item x="794"/>
        <item x="1151"/>
        <item x="255"/>
        <item x="328"/>
        <item x="1019"/>
        <item x="828"/>
        <item x="573"/>
        <item x="856"/>
        <item x="359"/>
        <item x="719"/>
        <item x="512"/>
        <item x="398"/>
        <item x="483"/>
        <item x="803"/>
        <item x="11"/>
        <item x="1165"/>
        <item x="1044"/>
        <item x="1100"/>
        <item x="230"/>
        <item x="937"/>
        <item x="387"/>
        <item x="56"/>
        <item x="1097"/>
        <item x="632"/>
        <item x="830"/>
        <item x="871"/>
        <item x="262"/>
        <item x="487"/>
        <item x="924"/>
        <item x="968"/>
        <item x="554"/>
        <item x="485"/>
        <item x="478"/>
        <item x="627"/>
        <item x="538"/>
        <item x="677"/>
        <item x="417"/>
        <item x="399"/>
        <item x="51"/>
        <item x="1078"/>
        <item x="13"/>
        <item x="1126"/>
        <item x="1159"/>
        <item x="281"/>
        <item x="664"/>
        <item x="636"/>
        <item x="287"/>
        <item x="651"/>
        <item x="986"/>
        <item x="815"/>
        <item x="927"/>
        <item x="594"/>
        <item x="63"/>
        <item x="1058"/>
        <item x="648"/>
        <item x="329"/>
        <item x="492"/>
        <item x="267"/>
        <item x="811"/>
        <item x="390"/>
        <item x="157"/>
        <item x="295"/>
        <item x="341"/>
        <item x="1194"/>
        <item x="175"/>
        <item x="500"/>
        <item x="1133"/>
        <item x="272"/>
        <item t="default"/>
      </items>
    </pivotField>
    <pivotField showAll="0">
      <items count="1199">
        <item x="78"/>
        <item x="100"/>
        <item x="1115"/>
        <item x="609"/>
        <item x="219"/>
        <item x="729"/>
        <item x="1150"/>
        <item x="614"/>
        <item x="55"/>
        <item x="671"/>
        <item x="574"/>
        <item x="109"/>
        <item x="174"/>
        <item x="135"/>
        <item x="824"/>
        <item x="841"/>
        <item x="374"/>
        <item x="1168"/>
        <item x="507"/>
        <item x="562"/>
        <item x="314"/>
        <item x="394"/>
        <item x="214"/>
        <item x="442"/>
        <item x="576"/>
        <item x="982"/>
        <item x="354"/>
        <item x="954"/>
        <item x="30"/>
        <item x="145"/>
        <item x="475"/>
        <item x="103"/>
        <item x="849"/>
        <item x="515"/>
        <item x="172"/>
        <item x="887"/>
        <item x="399"/>
        <item x="237"/>
        <item x="412"/>
        <item x="283"/>
        <item x="889"/>
        <item x="999"/>
        <item x="1174"/>
        <item x="217"/>
        <item x="144"/>
        <item x="1046"/>
        <item x="552"/>
        <item x="943"/>
        <item x="914"/>
        <item x="115"/>
        <item x="624"/>
        <item x="86"/>
        <item x="40"/>
        <item x="92"/>
        <item x="349"/>
        <item x="1180"/>
        <item x="69"/>
        <item x="424"/>
        <item x="526"/>
        <item x="391"/>
        <item x="98"/>
        <item x="907"/>
        <item x="709"/>
        <item x="1139"/>
        <item x="1020"/>
        <item x="324"/>
        <item x="28"/>
        <item x="438"/>
        <item x="755"/>
        <item x="673"/>
        <item x="387"/>
        <item x="149"/>
        <item x="330"/>
        <item x="346"/>
        <item x="139"/>
        <item x="1138"/>
        <item x="222"/>
        <item x="197"/>
        <item x="792"/>
        <item x="1068"/>
        <item x="603"/>
        <item x="645"/>
        <item x="345"/>
        <item x="1178"/>
        <item x="329"/>
        <item x="363"/>
        <item x="179"/>
        <item x="381"/>
        <item x="742"/>
        <item x="1184"/>
        <item x="670"/>
        <item x="1026"/>
        <item x="105"/>
        <item x="326"/>
        <item x="59"/>
        <item x="1007"/>
        <item x="727"/>
        <item x="453"/>
        <item x="382"/>
        <item x="142"/>
        <item x="493"/>
        <item x="660"/>
        <item x="528"/>
        <item x="303"/>
        <item x="775"/>
        <item x="123"/>
        <item x="839"/>
        <item x="720"/>
        <item x="920"/>
        <item x="97"/>
        <item x="956"/>
        <item x="1081"/>
        <item x="622"/>
        <item x="158"/>
        <item x="586"/>
        <item x="75"/>
        <item x="711"/>
        <item x="408"/>
        <item x="1164"/>
        <item x="99"/>
        <item x="832"/>
        <item x="629"/>
        <item x="429"/>
        <item x="544"/>
        <item x="120"/>
        <item x="1015"/>
        <item x="728"/>
        <item x="602"/>
        <item x="190"/>
        <item x="50"/>
        <item x="1106"/>
        <item x="443"/>
        <item x="1038"/>
        <item x="1125"/>
        <item x="344"/>
        <item x="62"/>
        <item x="1016"/>
        <item x="146"/>
        <item x="539"/>
        <item x="1049"/>
        <item x="680"/>
        <item x="37"/>
        <item x="1030"/>
        <item x="1177"/>
        <item x="451"/>
        <item x="395"/>
        <item x="1070"/>
        <item x="265"/>
        <item x="853"/>
        <item x="195"/>
        <item x="177"/>
        <item x="813"/>
        <item x="803"/>
        <item x="288"/>
        <item x="696"/>
        <item x="258"/>
        <item x="761"/>
        <item x="830"/>
        <item x="723"/>
        <item x="245"/>
        <item x="1122"/>
        <item x="1075"/>
        <item x="581"/>
        <item x="564"/>
        <item x="151"/>
        <item x="378"/>
        <item x="616"/>
        <item x="961"/>
        <item x="952"/>
        <item x="57"/>
        <item x="625"/>
        <item x="788"/>
        <item x="49"/>
        <item x="820"/>
        <item x="514"/>
        <item x="1172"/>
        <item x="405"/>
        <item x="492"/>
        <item x="351"/>
        <item x="462"/>
        <item x="692"/>
        <item x="855"/>
        <item x="466"/>
        <item x="1045"/>
        <item x="307"/>
        <item x="862"/>
        <item x="779"/>
        <item x="319"/>
        <item x="171"/>
        <item x="487"/>
        <item x="93"/>
        <item x="1179"/>
        <item x="260"/>
        <item x="732"/>
        <item x="1069"/>
        <item x="908"/>
        <item x="1084"/>
        <item x="284"/>
        <item x="1176"/>
        <item x="1160"/>
        <item x="901"/>
        <item x="160"/>
        <item x="916"/>
        <item x="1050"/>
        <item x="148"/>
        <item x="463"/>
        <item x="206"/>
        <item x="464"/>
        <item x="1034"/>
        <item x="274"/>
        <item x="444"/>
        <item x="1189"/>
        <item x="963"/>
        <item x="662"/>
        <item x="421"/>
        <item x="108"/>
        <item x="38"/>
        <item x="682"/>
        <item x="858"/>
        <item x="1170"/>
        <item x="900"/>
        <item x="439"/>
        <item x="1112"/>
        <item x="337"/>
        <item x="45"/>
        <item x="783"/>
        <item x="938"/>
        <item x="9"/>
        <item x="261"/>
        <item x="134"/>
        <item x="193"/>
        <item x="1053"/>
        <item x="297"/>
        <item x="380"/>
        <item x="918"/>
        <item x="577"/>
        <item x="703"/>
        <item x="1171"/>
        <item x="767"/>
        <item x="289"/>
        <item x="452"/>
        <item x="566"/>
        <item x="607"/>
        <item x="946"/>
        <item x="506"/>
        <item x="102"/>
        <item x="32"/>
        <item x="534"/>
        <item x="218"/>
        <item x="902"/>
        <item x="911"/>
        <item x="173"/>
        <item x="1033"/>
        <item x="1132"/>
        <item x="136"/>
        <item x="826"/>
        <item x="500"/>
        <item x="913"/>
        <item x="1117"/>
        <item x="1148"/>
        <item x="784"/>
        <item x="1158"/>
        <item x="253"/>
        <item x="584"/>
        <item x="644"/>
        <item x="637"/>
        <item x="958"/>
        <item x="706"/>
        <item x="1043"/>
        <item x="371"/>
        <item x="323"/>
        <item x="613"/>
        <item x="870"/>
        <item x="724"/>
        <item x="379"/>
        <item x="1066"/>
        <item x="816"/>
        <item x="94"/>
        <item x="54"/>
        <item x="360"/>
        <item x="129"/>
        <item x="241"/>
        <item x="474"/>
        <item x="874"/>
        <item x="212"/>
        <item x="39"/>
        <item x="993"/>
        <item x="749"/>
        <item x="308"/>
        <item x="1025"/>
        <item x="731"/>
        <item x="833"/>
        <item x="791"/>
        <item x="121"/>
        <item x="221"/>
        <item x="877"/>
        <item x="469"/>
        <item x="519"/>
        <item x="885"/>
        <item x="455"/>
        <item x="745"/>
        <item x="739"/>
        <item x="615"/>
        <item x="1147"/>
        <item x="606"/>
        <item x="428"/>
        <item x="621"/>
        <item x="334"/>
        <item x="25"/>
        <item x="489"/>
        <item x="1141"/>
        <item x="765"/>
        <item x="960"/>
        <item x="875"/>
        <item x="776"/>
        <item x="1023"/>
        <item x="459"/>
        <item x="1057"/>
        <item x="726"/>
        <item x="892"/>
        <item x="293"/>
        <item x="1105"/>
        <item x="12"/>
        <item x="649"/>
        <item x="746"/>
        <item x="270"/>
        <item x="1028"/>
        <item x="24"/>
        <item x="285"/>
        <item x="111"/>
        <item x="722"/>
        <item x="213"/>
        <item x="710"/>
        <item x="1004"/>
        <item x="1001"/>
        <item x="643"/>
        <item x="1183"/>
        <item x="186"/>
        <item x="335"/>
        <item x="1134"/>
        <item x="848"/>
        <item x="1054"/>
        <item x="1114"/>
        <item x="1"/>
        <item x="472"/>
        <item x="21"/>
        <item x="396"/>
        <item x="664"/>
        <item x="747"/>
        <item x="433"/>
        <item x="83"/>
        <item x="1137"/>
        <item x="232"/>
        <item x="1011"/>
        <item x="239"/>
        <item x="915"/>
        <item x="87"/>
        <item x="795"/>
        <item x="1024"/>
        <item x="1062"/>
        <item x="941"/>
        <item x="127"/>
        <item x="207"/>
        <item x="1165"/>
        <item x="367"/>
        <item x="269"/>
        <item x="298"/>
        <item x="15"/>
        <item x="619"/>
        <item x="1157"/>
        <item x="599"/>
        <item x="236"/>
        <item x="1085"/>
        <item x="565"/>
        <item x="939"/>
        <item x="554"/>
        <item x="702"/>
        <item x="1133"/>
        <item x="547"/>
        <item x="141"/>
        <item x="707"/>
        <item x="760"/>
        <item x="817"/>
        <item x="972"/>
        <item x="899"/>
        <item x="932"/>
        <item x="842"/>
        <item x="198"/>
        <item x="583"/>
        <item x="891"/>
        <item x="922"/>
        <item x="1012"/>
        <item x="1009"/>
        <item x="964"/>
        <item x="861"/>
        <item x="612"/>
        <item x="864"/>
        <item x="863"/>
        <item x="31"/>
        <item x="436"/>
        <item x="778"/>
        <item x="229"/>
        <item x="315"/>
        <item x="497"/>
        <item x="14"/>
        <item x="473"/>
        <item x="597"/>
        <item x="865"/>
        <item x="1089"/>
        <item x="352"/>
        <item x="228"/>
        <item x="808"/>
        <item x="61"/>
        <item x="580"/>
        <item x="385"/>
        <item x="831"/>
        <item x="167"/>
        <item x="104"/>
        <item x="47"/>
        <item x="695"/>
        <item x="967"/>
        <item x="76"/>
        <item x="1080"/>
        <item x="96"/>
        <item x="843"/>
        <item x="478"/>
        <item x="966"/>
        <item x="147"/>
        <item x="317"/>
        <item x="423"/>
        <item x="1005"/>
        <item x="1142"/>
        <item x="66"/>
        <item x="1092"/>
        <item x="611"/>
        <item x="494"/>
        <item x="850"/>
        <item x="150"/>
        <item x="1136"/>
        <item x="110"/>
        <item x="921"/>
        <item x="235"/>
        <item x="36"/>
        <item x="685"/>
        <item x="1047"/>
        <item x="744"/>
        <item x="275"/>
        <item x="725"/>
        <item x="763"/>
        <item x="138"/>
        <item x="736"/>
        <item x="1104"/>
        <item x="1108"/>
        <item x="906"/>
        <item x="388"/>
        <item x="336"/>
        <item x="320"/>
        <item x="16"/>
        <item x="884"/>
        <item x="355"/>
        <item x="280"/>
        <item x="465"/>
        <item x="34"/>
        <item x="53"/>
        <item x="787"/>
        <item x="1169"/>
        <item x="701"/>
        <item x="375"/>
        <item x="578"/>
        <item x="648"/>
        <item x="550"/>
        <item x="546"/>
        <item x="373"/>
        <item x="233"/>
        <item x="1156"/>
        <item x="753"/>
        <item x="521"/>
        <item x="940"/>
        <item x="1056"/>
        <item x="879"/>
        <item x="162"/>
        <item x="366"/>
        <item x="770"/>
        <item x="1111"/>
        <item x="925"/>
        <item x="968"/>
        <item x="457"/>
        <item x="797"/>
        <item x="667"/>
        <item x="620"/>
        <item x="268"/>
        <item x="735"/>
        <item x="41"/>
        <item x="1186"/>
        <item x="904"/>
        <item x="402"/>
        <item x="594"/>
        <item x="585"/>
        <item x="1060"/>
        <item x="1035"/>
        <item x="634"/>
        <item x="81"/>
        <item x="628"/>
        <item x="243"/>
        <item x="1090"/>
        <item x="116"/>
        <item x="800"/>
        <item x="897"/>
        <item x="384"/>
        <item x="426"/>
        <item x="294"/>
        <item x="866"/>
        <item x="1022"/>
        <item x="636"/>
        <item x="196"/>
        <item x="1192"/>
        <item x="1018"/>
        <item x="543"/>
        <item x="734"/>
        <item x="818"/>
        <item x="44"/>
        <item x="989"/>
        <item x="1073"/>
        <item x="740"/>
        <item x="976"/>
        <item x="1032"/>
        <item x="168"/>
        <item x="1123"/>
        <item x="819"/>
        <item x="210"/>
        <item x="929"/>
        <item x="698"/>
        <item x="530"/>
        <item x="279"/>
        <item x="413"/>
        <item x="390"/>
        <item x="1100"/>
        <item x="1088"/>
        <item x="119"/>
        <item x="659"/>
        <item x="638"/>
        <item x="985"/>
        <item x="838"/>
        <item x="983"/>
        <item x="587"/>
        <item x="488"/>
        <item x="1027"/>
        <item x="910"/>
        <item x="194"/>
        <item x="42"/>
        <item x="1094"/>
        <item x="646"/>
        <item x="368"/>
        <item x="68"/>
        <item x="807"/>
        <item x="708"/>
        <item x="642"/>
        <item x="844"/>
        <item x="490"/>
        <item x="657"/>
        <item x="890"/>
        <item x="257"/>
        <item x="89"/>
        <item x="542"/>
        <item x="485"/>
        <item x="959"/>
        <item x="5"/>
        <item x="556"/>
        <item x="1185"/>
        <item x="799"/>
        <item x="448"/>
        <item x="406"/>
        <item x="357"/>
        <item x="1014"/>
        <item x="1061"/>
        <item x="131"/>
        <item x="1077"/>
        <item x="502"/>
        <item x="440"/>
        <item x="248"/>
        <item x="226"/>
        <item x="651"/>
        <item x="532"/>
        <item x="445"/>
        <item x="480"/>
        <item x="610"/>
        <item x="1190"/>
        <item x="805"/>
        <item x="74"/>
        <item x="0"/>
        <item x="773"/>
        <item x="4"/>
        <item x="658"/>
        <item x="192"/>
        <item x="672"/>
        <item x="697"/>
        <item x="88"/>
        <item x="249"/>
        <item x="588"/>
        <item x="688"/>
        <item x="1144"/>
        <item x="942"/>
        <item x="806"/>
        <item x="82"/>
        <item x="1146"/>
        <item x="71"/>
        <item x="411"/>
        <item x="845"/>
        <item x="505"/>
        <item x="460"/>
        <item x="277"/>
        <item x="1059"/>
        <item x="64"/>
        <item x="67"/>
        <item x="561"/>
        <item x="750"/>
        <item x="1166"/>
        <item x="72"/>
        <item x="1194"/>
        <item x="1116"/>
        <item x="434"/>
        <item x="321"/>
        <item x="714"/>
        <item x="301"/>
        <item x="691"/>
        <item x="299"/>
        <item x="1121"/>
        <item x="409"/>
        <item x="781"/>
        <item x="965"/>
        <item x="1079"/>
        <item x="752"/>
        <item x="886"/>
        <item x="154"/>
        <item x="895"/>
        <item x="244"/>
        <item x="590"/>
        <item x="665"/>
        <item x="70"/>
        <item x="117"/>
        <item x="538"/>
        <item x="79"/>
        <item x="107"/>
        <item x="589"/>
        <item x="17"/>
        <item x="840"/>
        <item x="410"/>
        <item x="981"/>
        <item x="1048"/>
        <item x="977"/>
        <item x="476"/>
        <item x="331"/>
        <item x="979"/>
        <item x="316"/>
        <item x="454"/>
        <item x="815"/>
        <item x="769"/>
        <item x="259"/>
        <item x="140"/>
        <item x="305"/>
        <item x="630"/>
        <item x="573"/>
        <item x="518"/>
        <item x="812"/>
        <item x="23"/>
        <item x="1002"/>
        <item x="748"/>
        <item x="617"/>
        <item x="909"/>
        <item x="633"/>
        <item x="852"/>
        <item x="533"/>
        <item x="215"/>
        <item x="407"/>
        <item x="801"/>
        <item x="468"/>
        <item x="254"/>
        <item x="595"/>
        <item x="699"/>
        <item x="869"/>
        <item x="449"/>
        <item x="48"/>
        <item x="29"/>
        <item x="189"/>
        <item x="152"/>
        <item x="188"/>
        <item x="170"/>
        <item x="156"/>
        <item x="1095"/>
        <item x="737"/>
        <item x="851"/>
        <item x="730"/>
        <item x="582"/>
        <item x="185"/>
        <item x="22"/>
        <item x="1087"/>
        <item x="777"/>
        <item x="496"/>
        <item x="947"/>
        <item x="639"/>
        <item x="1036"/>
        <item x="199"/>
        <item x="558"/>
        <item x="560"/>
        <item x="513"/>
        <item x="365"/>
        <item x="447"/>
        <item x="246"/>
        <item x="693"/>
        <item x="516"/>
        <item x="1083"/>
        <item x="479"/>
        <item x="132"/>
        <item x="605"/>
        <item x="311"/>
        <item x="361"/>
        <item x="133"/>
        <item x="1037"/>
        <item x="754"/>
        <item x="2"/>
        <item x="1021"/>
        <item x="291"/>
        <item x="52"/>
        <item x="353"/>
        <item x="545"/>
        <item x="432"/>
        <item x="828"/>
        <item x="896"/>
        <item x="992"/>
        <item x="575"/>
        <item x="310"/>
        <item x="26"/>
        <item x="1082"/>
        <item x="627"/>
        <item x="264"/>
        <item x="470"/>
        <item x="1149"/>
        <item x="878"/>
        <item x="393"/>
        <item x="978"/>
        <item x="974"/>
        <item x="143"/>
        <item x="90"/>
        <item x="945"/>
        <item x="690"/>
        <item x="312"/>
        <item x="991"/>
        <item x="796"/>
        <item x="655"/>
        <item x="675"/>
        <item x="1193"/>
        <item x="302"/>
        <item x="338"/>
        <item x="935"/>
        <item x="990"/>
        <item x="970"/>
        <item x="930"/>
        <item x="33"/>
        <item x="114"/>
        <item x="84"/>
        <item x="161"/>
        <item x="883"/>
        <item x="414"/>
        <item x="509"/>
        <item x="1076"/>
        <item x="1181"/>
        <item x="846"/>
        <item x="1175"/>
        <item x="339"/>
        <item x="58"/>
        <item x="834"/>
        <item x="450"/>
        <item x="1151"/>
        <item x="290"/>
        <item x="7"/>
        <item x="771"/>
        <item x="557"/>
        <item x="934"/>
        <item x="984"/>
        <item x="296"/>
        <item x="417"/>
        <item x="511"/>
        <item x="203"/>
        <item x="1042"/>
        <item x="1110"/>
        <item x="266"/>
        <item x="256"/>
        <item x="73"/>
        <item x="579"/>
        <item x="419"/>
        <item x="1067"/>
        <item x="1051"/>
        <item x="300"/>
        <item x="718"/>
        <item x="666"/>
        <item x="224"/>
        <item x="872"/>
        <item x="1163"/>
        <item x="571"/>
        <item x="876"/>
        <item x="169"/>
        <item x="683"/>
        <item x="1188"/>
        <item x="1098"/>
        <item x="551"/>
        <item x="668"/>
        <item x="370"/>
        <item x="1055"/>
        <item x="950"/>
        <item x="77"/>
        <item x="996"/>
        <item x="383"/>
        <item x="995"/>
        <item x="880"/>
        <item x="905"/>
        <item x="531"/>
        <item x="178"/>
        <item x="559"/>
        <item x="306"/>
        <item x="176"/>
        <item x="772"/>
        <item x="847"/>
        <item x="225"/>
        <item x="955"/>
        <item x="369"/>
        <item x="231"/>
        <item x="1153"/>
        <item x="1041"/>
        <item x="282"/>
        <item x="604"/>
        <item x="785"/>
        <item x="653"/>
        <item x="600"/>
        <item x="262"/>
        <item x="80"/>
        <item x="669"/>
        <item x="794"/>
        <item x="835"/>
        <item x="427"/>
        <item x="1182"/>
        <item x="888"/>
        <item x="1128"/>
        <item x="721"/>
        <item x="204"/>
        <item x="759"/>
        <item x="180"/>
        <item x="1019"/>
        <item x="1155"/>
        <item x="821"/>
        <item x="825"/>
        <item x="1130"/>
        <item x="273"/>
        <item x="322"/>
        <item x="364"/>
        <item x="1140"/>
        <item x="6"/>
        <item x="789"/>
        <item x="738"/>
        <item x="238"/>
        <item x="868"/>
        <item x="128"/>
        <item x="187"/>
        <item x="623"/>
        <item x="181"/>
        <item x="823"/>
        <item x="208"/>
        <item x="953"/>
        <item x="517"/>
        <item x="857"/>
        <item x="510"/>
        <item x="227"/>
        <item x="1103"/>
        <item x="1159"/>
        <item x="679"/>
        <item x="126"/>
        <item x="988"/>
        <item x="304"/>
        <item x="689"/>
        <item x="705"/>
        <item x="549"/>
        <item x="536"/>
        <item x="1143"/>
        <item x="811"/>
        <item x="347"/>
        <item x="1040"/>
        <item x="398"/>
        <item x="182"/>
        <item x="641"/>
        <item x="951"/>
        <item x="1113"/>
        <item x="882"/>
        <item x="780"/>
        <item x="163"/>
        <item x="512"/>
        <item x="286"/>
        <item x="923"/>
        <item x="881"/>
        <item x="944"/>
        <item x="343"/>
        <item x="1058"/>
        <item x="153"/>
        <item x="425"/>
        <item x="766"/>
        <item x="422"/>
        <item x="608"/>
        <item x="498"/>
        <item x="278"/>
        <item x="681"/>
        <item x="1195"/>
        <item x="975"/>
        <item x="631"/>
        <item x="1154"/>
        <item x="1013"/>
        <item x="1109"/>
        <item x="741"/>
        <item x="486"/>
        <item x="431"/>
        <item x="313"/>
        <item x="762"/>
        <item x="35"/>
        <item x="234"/>
        <item x="790"/>
        <item x="591"/>
        <item x="404"/>
        <item x="503"/>
        <item x="446"/>
        <item x="678"/>
        <item x="456"/>
        <item x="481"/>
        <item x="1187"/>
        <item x="1127"/>
        <item x="401"/>
        <item x="341"/>
        <item x="980"/>
        <item x="230"/>
        <item x="418"/>
        <item x="893"/>
        <item x="201"/>
        <item x="652"/>
        <item x="359"/>
        <item x="350"/>
        <item x="713"/>
        <item x="986"/>
        <item x="520"/>
        <item x="798"/>
        <item x="572"/>
        <item x="95"/>
        <item x="46"/>
        <item x="20"/>
        <item x="541"/>
        <item x="694"/>
        <item x="415"/>
        <item x="632"/>
        <item x="764"/>
        <item x="804"/>
        <item x="333"/>
        <item x="687"/>
        <item x="656"/>
        <item x="400"/>
        <item x="733"/>
        <item x="969"/>
        <item x="11"/>
        <item x="416"/>
        <item x="757"/>
        <item x="482"/>
        <item x="898"/>
        <item x="758"/>
        <item x="430"/>
        <item x="65"/>
        <item x="661"/>
        <item x="1065"/>
        <item x="1126"/>
        <item x="786"/>
        <item x="175"/>
        <item x="8"/>
        <item x="1091"/>
        <item x="91"/>
        <item x="903"/>
        <item x="873"/>
        <item x="356"/>
        <item x="712"/>
        <item x="467"/>
        <item x="318"/>
        <item x="1003"/>
        <item x="112"/>
        <item x="1119"/>
        <item x="220"/>
        <item x="255"/>
        <item x="973"/>
        <item x="471"/>
        <item x="1010"/>
        <item x="377"/>
        <item x="1129"/>
        <item x="837"/>
        <item x="535"/>
        <item x="715"/>
        <item x="937"/>
        <item x="962"/>
        <item x="325"/>
        <item x="60"/>
        <item x="276"/>
        <item x="340"/>
        <item x="1029"/>
        <item x="1074"/>
        <item x="933"/>
        <item x="809"/>
        <item x="1064"/>
        <item x="700"/>
        <item x="166"/>
        <item x="165"/>
        <item x="871"/>
        <item x="43"/>
        <item x="751"/>
        <item x="242"/>
        <item x="555"/>
        <item x="793"/>
        <item x="106"/>
        <item x="1052"/>
        <item x="592"/>
        <item x="118"/>
        <item x="601"/>
        <item x="949"/>
        <item x="677"/>
        <item x="113"/>
        <item x="1031"/>
        <item x="802"/>
        <item x="743"/>
        <item x="309"/>
        <item x="676"/>
        <item x="51"/>
        <item x="997"/>
        <item x="332"/>
        <item x="441"/>
        <item x="570"/>
        <item x="854"/>
        <item x="618"/>
        <item x="122"/>
        <item x="598"/>
        <item x="1008"/>
        <item x="247"/>
        <item x="461"/>
        <item x="704"/>
        <item x="183"/>
        <item x="403"/>
        <item x="216"/>
        <item x="205"/>
        <item x="1118"/>
        <item x="768"/>
        <item x="1145"/>
        <item x="495"/>
        <item x="27"/>
        <item x="1152"/>
        <item x="3"/>
        <item x="130"/>
        <item x="829"/>
        <item x="13"/>
        <item x="101"/>
        <item x="856"/>
        <item x="155"/>
        <item x="926"/>
        <item x="640"/>
        <item x="124"/>
        <item x="567"/>
        <item x="501"/>
        <item x="392"/>
        <item x="936"/>
        <item x="822"/>
        <item x="1096"/>
        <item x="292"/>
        <item x="209"/>
        <item x="137"/>
        <item x="537"/>
        <item x="240"/>
        <item x="420"/>
        <item x="477"/>
        <item x="971"/>
        <item x="931"/>
        <item x="223"/>
        <item x="271"/>
        <item x="717"/>
        <item x="1107"/>
        <item x="263"/>
        <item x="1120"/>
        <item x="200"/>
        <item x="1063"/>
        <item x="483"/>
        <item x="1072"/>
        <item x="635"/>
        <item x="894"/>
        <item x="860"/>
        <item x="504"/>
        <item x="1102"/>
        <item x="686"/>
        <item x="508"/>
        <item x="1006"/>
        <item x="18"/>
        <item x="437"/>
        <item x="362"/>
        <item x="859"/>
        <item x="1078"/>
        <item x="524"/>
        <item x="1093"/>
        <item x="499"/>
        <item x="994"/>
        <item x="372"/>
        <item x="650"/>
        <item x="211"/>
        <item x="569"/>
        <item x="522"/>
        <item x="1000"/>
        <item x="540"/>
        <item x="376"/>
        <item x="998"/>
        <item x="252"/>
        <item x="917"/>
        <item x="836"/>
        <item x="327"/>
        <item x="397"/>
        <item x="159"/>
        <item x="674"/>
        <item x="85"/>
        <item x="782"/>
        <item x="348"/>
        <item x="251"/>
        <item x="358"/>
        <item x="919"/>
        <item x="1124"/>
        <item x="756"/>
        <item x="1044"/>
        <item x="548"/>
        <item x="184"/>
        <item x="948"/>
        <item x="527"/>
        <item x="525"/>
        <item x="1086"/>
        <item x="912"/>
        <item x="1071"/>
        <item x="342"/>
        <item x="1162"/>
        <item x="774"/>
        <item x="529"/>
        <item x="1017"/>
        <item x="1173"/>
        <item x="684"/>
        <item x="1191"/>
        <item x="568"/>
        <item x="716"/>
        <item x="719"/>
        <item x="491"/>
        <item x="563"/>
        <item x="810"/>
        <item x="596"/>
        <item x="1099"/>
        <item x="867"/>
        <item x="164"/>
        <item x="1039"/>
        <item x="957"/>
        <item x="523"/>
        <item x="125"/>
        <item x="1167"/>
        <item x="202"/>
        <item x="593"/>
        <item x="250"/>
        <item x="928"/>
        <item x="1197"/>
        <item x="814"/>
        <item x="1131"/>
        <item x="924"/>
        <item x="328"/>
        <item x="10"/>
        <item x="1097"/>
        <item x="458"/>
        <item x="1101"/>
        <item x="267"/>
        <item x="435"/>
        <item x="281"/>
        <item x="191"/>
        <item x="654"/>
        <item x="386"/>
        <item x="987"/>
        <item x="1161"/>
        <item x="626"/>
        <item x="663"/>
        <item x="389"/>
        <item x="19"/>
        <item x="484"/>
        <item x="827"/>
        <item x="56"/>
        <item x="553"/>
        <item x="1135"/>
        <item x="287"/>
        <item x="927"/>
        <item x="647"/>
        <item x="63"/>
        <item x="1196"/>
        <item x="295"/>
        <item x="157"/>
        <item x="272"/>
        <item t="default"/>
      </items>
    </pivotField>
    <pivotField showAll="0"/>
    <pivotField showAll="0"/>
    <pivotField axis="axisRow" showAll="0">
      <items count="17">
        <item x="1"/>
        <item x="13"/>
        <item x="3"/>
        <item x="12"/>
        <item x="7"/>
        <item x="6"/>
        <item x="8"/>
        <item x="0"/>
        <item x="14"/>
        <item x="4"/>
        <item x="10"/>
        <item x="9"/>
        <item x="15"/>
        <item x="11"/>
        <item x="5"/>
        <item x="2"/>
        <item t="default"/>
      </items>
    </pivotField>
    <pivotField showAll="0"/>
    <pivotField numFmtId="10" showAll="0"/>
    <pivotField numFmtId="10" showAll="0">
      <items count="1201">
        <item x="19"/>
        <item x="191"/>
        <item x="379"/>
        <item x="1089"/>
        <item x="343"/>
        <item x="1194"/>
        <item x="1175"/>
        <item x="335"/>
        <item x="840"/>
        <item x="180"/>
        <item x="223"/>
        <item x="920"/>
        <item x="846"/>
        <item x="435"/>
        <item x="1053"/>
        <item x="595"/>
        <item x="187"/>
        <item x="354"/>
        <item x="1073"/>
        <item x="224"/>
        <item x="735"/>
        <item x="126"/>
        <item x="716"/>
        <item x="1101"/>
        <item x="618"/>
        <item x="1133"/>
        <item x="828"/>
        <item x="202"/>
        <item x="474"/>
        <item x="940"/>
        <item x="698"/>
        <item x="650"/>
        <item x="619"/>
        <item x="1143"/>
        <item x="714"/>
        <item x="436"/>
        <item x="931"/>
        <item x="346"/>
        <item x="362"/>
        <item x="423"/>
        <item x="722"/>
        <item x="980"/>
        <item x="752"/>
        <item x="554"/>
        <item x="409"/>
        <item x="569"/>
        <item x="553"/>
        <item x="164"/>
        <item x="271"/>
        <item x="56"/>
        <item x="415"/>
        <item x="63"/>
        <item x="22"/>
        <item x="712"/>
        <item x="1165"/>
        <item x="7"/>
        <item x="1193"/>
        <item x="72"/>
        <item x="639"/>
        <item x="792"/>
        <item x="287"/>
        <item x="759"/>
        <item x="272"/>
        <item x="1062"/>
        <item x="995"/>
        <item x="357"/>
        <item x="625"/>
        <item x="176"/>
        <item x="1136"/>
        <item x="1008"/>
        <item x="1164"/>
        <item x="294"/>
        <item x="199"/>
        <item x="157"/>
        <item x="1000"/>
        <item x="153"/>
        <item x="10"/>
        <item x="1173"/>
        <item x="1199"/>
        <item x="475"/>
        <item x="485"/>
        <item x="184"/>
        <item x="890"/>
        <item x="918"/>
        <item x="1180"/>
        <item x="922"/>
        <item x="923"/>
        <item x="131"/>
        <item x="999"/>
        <item x="295"/>
        <item x="1030"/>
        <item x="641"/>
        <item x="159"/>
        <item x="967"/>
        <item x="675"/>
        <item x="15"/>
        <item x="459"/>
        <item x="528"/>
        <item x="526"/>
        <item x="949"/>
        <item x="655"/>
        <item x="1168"/>
        <item x="234"/>
        <item x="1036"/>
        <item x="868"/>
        <item x="450"/>
        <item x="163"/>
        <item x="368"/>
        <item x="904"/>
        <item x="916"/>
        <item x="991"/>
        <item x="1184"/>
        <item x="1105"/>
        <item x="1191"/>
        <item x="808"/>
        <item x="571"/>
        <item x="256"/>
        <item x="1041"/>
        <item x="648"/>
        <item x="1104"/>
        <item x="627"/>
        <item x="958"/>
        <item x="353"/>
        <item x="161"/>
        <item x="541"/>
        <item x="837"/>
        <item x="676"/>
        <item x="622"/>
        <item x="817"/>
        <item x="628"/>
        <item x="64"/>
        <item x="895"/>
        <item x="860"/>
        <item x="179"/>
        <item x="21"/>
        <item x="401"/>
        <item x="113"/>
        <item x="600"/>
        <item x="963"/>
        <item x="387"/>
        <item x="1045"/>
        <item x="876"/>
        <item x="533"/>
        <item x="720"/>
        <item x="898"/>
        <item x="332"/>
        <item x="1017"/>
        <item x="613"/>
        <item x="6"/>
        <item x="135"/>
        <item x="1178"/>
        <item x="530"/>
        <item x="897"/>
        <item x="93"/>
        <item x="993"/>
        <item x="414"/>
        <item x="192"/>
        <item x="612"/>
        <item x="928"/>
        <item x="1163"/>
        <item x="1071"/>
        <item x="773"/>
        <item x="27"/>
        <item x="764"/>
        <item x="1190"/>
        <item x="593"/>
        <item x="832"/>
        <item x="574"/>
        <item x="149"/>
        <item x="371"/>
        <item x="1198"/>
        <item x="279"/>
        <item x="657"/>
        <item x="691"/>
        <item x="315"/>
        <item x="929"/>
        <item x="250"/>
        <item x="952"/>
        <item x="869"/>
        <item x="758"/>
        <item x="565"/>
        <item x="185"/>
        <item x="442"/>
        <item x="558"/>
        <item x="664"/>
        <item x="727"/>
        <item x="537"/>
        <item x="859"/>
        <item x="624"/>
        <item x="128"/>
        <item x="456"/>
        <item x="1103"/>
        <item x="1112"/>
        <item x="1013"/>
        <item x="1066"/>
        <item x="810"/>
        <item x="653"/>
        <item x="997"/>
        <item x="768"/>
        <item x="504"/>
        <item x="924"/>
        <item x="310"/>
        <item x="1099"/>
        <item x="629"/>
        <item x="732"/>
        <item x="597"/>
        <item x="961"/>
        <item x="377"/>
        <item x="1115"/>
        <item x="936"/>
        <item x="503"/>
        <item x="855"/>
        <item x="775"/>
        <item x="919"/>
        <item x="281"/>
        <item x="303"/>
        <item x="385"/>
        <item x="482"/>
        <item x="564"/>
        <item x="581"/>
        <item x="361"/>
        <item x="734"/>
        <item x="125"/>
        <item x="577"/>
        <item x="524"/>
        <item x="915"/>
        <item x="847"/>
        <item x="85"/>
        <item x="1029"/>
        <item x="243"/>
        <item x="1174"/>
        <item x="25"/>
        <item x="851"/>
        <item x="925"/>
        <item x="751"/>
        <item x="416"/>
        <item x="685"/>
        <item x="173"/>
        <item x="1192"/>
        <item x="309"/>
        <item x="891"/>
        <item x="1019"/>
        <item x="681"/>
        <item x="1048"/>
        <item x="1001"/>
        <item x="227"/>
        <item x="836"/>
        <item x="174"/>
        <item x="419"/>
        <item x="299"/>
        <item x="984"/>
        <item x="1088"/>
        <item x="643"/>
        <item x="746"/>
        <item x="570"/>
        <item x="976"/>
        <item x="438"/>
        <item x="1111"/>
        <item x="791"/>
        <item x="844"/>
        <item x="856"/>
        <item x="508"/>
        <item x="1172"/>
        <item x="1070"/>
        <item x="692"/>
        <item x="1102"/>
        <item x="1169"/>
        <item x="834"/>
        <item x="709"/>
        <item x="575"/>
        <item x="989"/>
        <item x="1006"/>
        <item x="974"/>
        <item x="862"/>
        <item x="1149"/>
        <item x="525"/>
        <item x="696"/>
        <item x="24"/>
        <item x="489"/>
        <item x="1065"/>
        <item x="580"/>
        <item x="3"/>
        <item x="136"/>
        <item x="382"/>
        <item x="608"/>
        <item x="896"/>
        <item x="737"/>
        <item x="1181"/>
        <item x="1114"/>
        <item x="1100"/>
        <item x="977"/>
        <item x="319"/>
        <item x="392"/>
        <item x="731"/>
        <item x="684"/>
        <item x="717"/>
        <item x="1052"/>
        <item x="550"/>
        <item x="421"/>
        <item x="1195"/>
        <item x="505"/>
        <item x="988"/>
        <item x="440"/>
        <item x="1106"/>
        <item x="251"/>
        <item x="132"/>
        <item x="585"/>
        <item x="122"/>
        <item x="557"/>
        <item x="1078"/>
        <item x="973"/>
        <item x="424"/>
        <item x="704"/>
        <item x="216"/>
        <item x="509"/>
        <item x="695"/>
        <item x="799"/>
        <item x="292"/>
        <item x="484"/>
        <item x="913"/>
        <item x="340"/>
        <item x="818"/>
        <item x="257"/>
        <item x="826"/>
        <item x="34"/>
        <item x="144"/>
        <item x="258"/>
        <item x="715"/>
        <item x="880"/>
        <item x="403"/>
        <item x="957"/>
        <item x="453"/>
        <item x="408"/>
        <item x="552"/>
        <item x="757"/>
        <item x="790"/>
        <item x="1129"/>
        <item x="325"/>
        <item x="322"/>
        <item x="451"/>
        <item x="892"/>
        <item x="1148"/>
        <item x="1147"/>
        <item x="5"/>
        <item x="40"/>
        <item x="780"/>
        <item x="211"/>
        <item x="349"/>
        <item x="604"/>
        <item x="209"/>
        <item x="914"/>
        <item x="535"/>
        <item x="599"/>
        <item x="861"/>
        <item x="682"/>
        <item x="488"/>
        <item x="308"/>
        <item x="18"/>
        <item x="455"/>
        <item x="114"/>
        <item x="549"/>
        <item x="738"/>
        <item x="582"/>
        <item x="874"/>
        <item x="711"/>
        <item x="1171"/>
        <item x="468"/>
        <item x="671"/>
        <item x="733"/>
        <item x="1024"/>
        <item x="1188"/>
        <item x="158"/>
        <item x="870"/>
        <item x="140"/>
        <item x="1043"/>
        <item x="932"/>
        <item x="265"/>
        <item x="926"/>
        <item x="998"/>
        <item x="333"/>
        <item x="555"/>
        <item x="1074"/>
        <item x="556"/>
        <item x="983"/>
        <item x="244"/>
        <item x="786"/>
        <item x="1179"/>
        <item x="1109"/>
        <item x="1137"/>
        <item x="342"/>
        <item x="1142"/>
        <item x="821"/>
        <item x="783"/>
        <item x="252"/>
        <item x="270"/>
        <item x="118"/>
        <item x="774"/>
        <item x="819"/>
        <item x="743"/>
        <item x="854"/>
        <item x="420"/>
        <item x="772"/>
        <item x="1056"/>
        <item x="718"/>
        <item x="586"/>
        <item x="602"/>
        <item x="188"/>
        <item x="220"/>
        <item x="945"/>
        <item x="280"/>
        <item x="1126"/>
        <item x="134"/>
        <item x="742"/>
        <item x="205"/>
        <item x="1154"/>
        <item x="813"/>
        <item x="1046"/>
        <item x="105"/>
        <item x="238"/>
        <item x="493"/>
        <item x="583"/>
        <item x="1095"/>
        <item x="249"/>
        <item x="1122"/>
        <item x="2"/>
        <item x="838"/>
        <item x="189"/>
        <item x="418"/>
        <item x="89"/>
        <item x="815"/>
        <item x="713"/>
        <item x="406"/>
        <item x="933"/>
        <item x="355"/>
        <item x="1153"/>
        <item x="106"/>
        <item x="367"/>
        <item x="101"/>
        <item x="534"/>
        <item x="390"/>
        <item x="359"/>
        <item x="1096"/>
        <item x="795"/>
        <item x="749"/>
        <item x="568"/>
        <item x="284"/>
        <item x="88"/>
        <item x="275"/>
        <item x="69"/>
        <item x="490"/>
        <item x="1003"/>
        <item x="822"/>
        <item x="1050"/>
        <item x="516"/>
        <item x="328"/>
        <item x="130"/>
        <item x="247"/>
        <item x="373"/>
        <item x="214"/>
        <item x="222"/>
        <item x="398"/>
        <item x="84"/>
        <item x="96"/>
        <item x="1007"/>
        <item x="242"/>
        <item x="1002"/>
        <item x="649"/>
        <item x="578"/>
        <item x="673"/>
        <item x="992"/>
        <item x="1177"/>
        <item x="200"/>
        <item x="523"/>
        <item x="35"/>
        <item x="393"/>
        <item x="785"/>
        <item x="806"/>
        <item x="481"/>
        <item x="687"/>
        <item x="934"/>
        <item x="207"/>
        <item x="666"/>
        <item x="302"/>
        <item x="544"/>
        <item x="269"/>
        <item x="73"/>
        <item x="954"/>
        <item x="264"/>
        <item x="286"/>
        <item x="465"/>
        <item x="950"/>
        <item x="776"/>
        <item x="948"/>
        <item x="823"/>
        <item x="231"/>
        <item x="1110"/>
        <item x="1072"/>
        <item x="388"/>
        <item x="987"/>
        <item x="1022"/>
        <item x="267"/>
        <item x="116"/>
        <item x="183"/>
        <item x="1076"/>
        <item x="107"/>
        <item x="363"/>
        <item x="1063"/>
        <item x="594"/>
        <item x="326"/>
        <item x="1189"/>
        <item x="576"/>
        <item x="365"/>
        <item x="1031"/>
        <item x="883"/>
        <item x="800"/>
        <item x="1009"/>
        <item x="473"/>
        <item x="263"/>
        <item x="68"/>
        <item x="208"/>
        <item x="972"/>
        <item x="374"/>
        <item x="329"/>
        <item x="1033"/>
        <item x="959"/>
        <item x="1012"/>
        <item x="389"/>
        <item x="767"/>
        <item x="276"/>
        <item x="148"/>
        <item x="680"/>
        <item x="502"/>
        <item x="169"/>
        <item x="457"/>
        <item x="590"/>
        <item x="1058"/>
        <item x="1079"/>
        <item x="364"/>
        <item x="301"/>
        <item x="921"/>
        <item x="659"/>
        <item x="763"/>
        <item x="141"/>
        <item x="739"/>
        <item x="781"/>
        <item x="1134"/>
        <item x="434"/>
        <item x="937"/>
        <item x="344"/>
        <item x="178"/>
        <item x="689"/>
        <item x="147"/>
        <item x="466"/>
        <item x="522"/>
        <item x="311"/>
        <item x="640"/>
        <item x="540"/>
        <item x="1087"/>
        <item x="422"/>
        <item x="877"/>
        <item x="886"/>
        <item x="517"/>
        <item x="240"/>
        <item x="1131"/>
        <item x="793"/>
        <item x="560"/>
        <item x="1170"/>
        <item x="1005"/>
        <item x="1080"/>
        <item x="761"/>
        <item x="705"/>
        <item x="103"/>
        <item x="198"/>
        <item x="589"/>
        <item x="43"/>
        <item x="850"/>
        <item x="143"/>
        <item x="798"/>
        <item x="291"/>
        <item x="300"/>
        <item x="404"/>
        <item x="296"/>
        <item x="110"/>
        <item x="228"/>
        <item x="884"/>
        <item x="563"/>
        <item x="53"/>
        <item x="76"/>
        <item x="75"/>
        <item x="964"/>
        <item x="426"/>
        <item x="397"/>
        <item x="942"/>
        <item x="762"/>
        <item x="981"/>
        <item x="1069"/>
        <item x="1023"/>
        <item x="225"/>
        <item x="965"/>
        <item x="431"/>
        <item x="99"/>
        <item x="760"/>
        <item x="137"/>
        <item x="41"/>
        <item x="1098"/>
        <item x="725"/>
        <item x="605"/>
        <item x="852"/>
        <item x="656"/>
        <item x="827"/>
        <item x="769"/>
        <item x="233"/>
        <item x="744"/>
        <item x="124"/>
        <item x="700"/>
        <item x="127"/>
        <item x="543"/>
        <item x="536"/>
        <item x="1176"/>
        <item x="55"/>
        <item x="331"/>
        <item x="1047"/>
        <item x="1128"/>
        <item x="410"/>
        <item x="229"/>
        <item x="472"/>
        <item x="95"/>
        <item x="358"/>
        <item x="461"/>
        <item x="845"/>
        <item x="908"/>
        <item x="60"/>
        <item x="478"/>
        <item x="458"/>
        <item x="492"/>
        <item x="1068"/>
        <item x="542"/>
        <item x="375"/>
        <item x="1075"/>
        <item x="491"/>
        <item x="538"/>
        <item x="1083"/>
        <item x="1120"/>
        <item x="166"/>
        <item x="888"/>
        <item x="181"/>
        <item x="811"/>
        <item x="882"/>
        <item x="678"/>
        <item x="1091"/>
        <item x="825"/>
        <item x="1092"/>
        <item x="708"/>
        <item x="971"/>
        <item x="378"/>
        <item x="642"/>
        <item x="947"/>
        <item x="282"/>
        <item x="1020"/>
        <item x="927"/>
        <item x="903"/>
        <item x="1057"/>
        <item x="384"/>
        <item x="79"/>
        <item x="155"/>
        <item x="383"/>
        <item x="501"/>
        <item x="766"/>
        <item x="879"/>
        <item x="65"/>
        <item x="636"/>
        <item x="236"/>
        <item x="1059"/>
        <item x="651"/>
        <item x="496"/>
        <item x="360"/>
        <item x="445"/>
        <item x="1040"/>
        <item x="985"/>
        <item x="171"/>
        <item x="745"/>
        <item x="966"/>
        <item x="334"/>
        <item x="97"/>
        <item x="1144"/>
        <item x="59"/>
        <item x="306"/>
        <item x="905"/>
        <item x="370"/>
        <item x="1011"/>
        <item x="679"/>
        <item x="145"/>
        <item x="146"/>
        <item x="469"/>
        <item x="857"/>
        <item x="899"/>
        <item x="787"/>
        <item x="8"/>
        <item x="946"/>
        <item x="572"/>
        <item x="669"/>
        <item x="506"/>
        <item x="1157"/>
        <item x="824"/>
        <item x="104"/>
        <item x="356"/>
        <item x="1162"/>
        <item x="912"/>
        <item x="196"/>
        <item x="441"/>
        <item x="61"/>
        <item x="91"/>
        <item x="901"/>
        <item x="92"/>
        <item x="14"/>
        <item x="614"/>
        <item x="1197"/>
        <item x="728"/>
        <item x="1145"/>
        <item x="730"/>
        <item x="784"/>
        <item x="112"/>
        <item x="314"/>
        <item x="683"/>
        <item x="1039"/>
        <item x="843"/>
        <item x="782"/>
        <item x="98"/>
        <item x="1158"/>
        <item x="248"/>
        <item x="1127"/>
        <item x="1038"/>
        <item x="437"/>
        <item x="559"/>
        <item x="740"/>
        <item x="830"/>
        <item x="0"/>
        <item x="462"/>
        <item x="463"/>
        <item x="956"/>
        <item x="460"/>
        <item x="756"/>
        <item x="439"/>
        <item x="36"/>
        <item x="394"/>
        <item x="241"/>
        <item x="9"/>
        <item x="167"/>
        <item x="232"/>
        <item x="31"/>
        <item x="566"/>
        <item x="288"/>
        <item x="432"/>
        <item x="318"/>
        <item x="52"/>
        <item x="1004"/>
        <item x="13"/>
        <item x="16"/>
        <item x="601"/>
        <item x="1054"/>
        <item x="412"/>
        <item x="1016"/>
        <item x="1055"/>
        <item x="1090"/>
        <item x="894"/>
        <item x="765"/>
        <item x="994"/>
        <item x="647"/>
        <item x="616"/>
        <item x="117"/>
        <item x="42"/>
        <item x="978"/>
        <item x="156"/>
        <item x="1028"/>
        <item x="237"/>
        <item x="701"/>
        <item x="154"/>
        <item x="975"/>
        <item x="1025"/>
        <item x="186"/>
        <item x="777"/>
        <item x="848"/>
        <item x="1014"/>
        <item x="1146"/>
        <item x="592"/>
        <item x="867"/>
        <item x="1161"/>
        <item x="1015"/>
        <item x="519"/>
        <item x="688"/>
        <item x="289"/>
        <item x="351"/>
        <item x="803"/>
        <item x="794"/>
        <item x="729"/>
        <item x="239"/>
        <item x="1121"/>
        <item x="654"/>
        <item x="215"/>
        <item x="849"/>
        <item x="812"/>
        <item x="1135"/>
        <item x="1160"/>
        <item x="165"/>
        <item x="955"/>
        <item x="617"/>
        <item x="119"/>
        <item x="400"/>
        <item x="662"/>
        <item x="548"/>
        <item x="866"/>
        <item x="313"/>
        <item x="551"/>
        <item x="1185"/>
        <item x="206"/>
        <item x="753"/>
        <item x="1152"/>
        <item x="521"/>
        <item x="833"/>
        <item x="863"/>
        <item x="111"/>
        <item x="677"/>
        <item x="906"/>
        <item x="816"/>
        <item x="66"/>
        <item x="413"/>
        <item x="278"/>
        <item x="51"/>
        <item x="1141"/>
        <item x="28"/>
        <item x="665"/>
        <item x="476"/>
        <item x="58"/>
        <item x="839"/>
        <item x="660"/>
        <item x="204"/>
        <item x="1037"/>
        <item x="1108"/>
        <item x="139"/>
        <item x="872"/>
        <item x="193"/>
        <item x="1116"/>
        <item x="741"/>
        <item x="444"/>
        <item x="630"/>
        <item x="1093"/>
        <item x="86"/>
        <item x="706"/>
        <item x="893"/>
        <item x="944"/>
        <item x="213"/>
        <item x="133"/>
        <item x="515"/>
        <item x="907"/>
        <item x="467"/>
        <item x="255"/>
        <item x="305"/>
        <item x="637"/>
        <item x="842"/>
        <item x="938"/>
        <item x="33"/>
        <item x="633"/>
        <item x="809"/>
        <item x="1156"/>
        <item x="805"/>
        <item x="694"/>
        <item x="339"/>
        <item x="427"/>
        <item x="454"/>
        <item x="499"/>
        <item x="968"/>
        <item x="672"/>
        <item x="1113"/>
        <item x="670"/>
        <item x="307"/>
        <item x="667"/>
        <item x="197"/>
        <item x="520"/>
        <item x="1167"/>
        <item x="486"/>
        <item x="293"/>
        <item x="402"/>
        <item x="1"/>
        <item x="770"/>
        <item x="285"/>
        <item x="889"/>
        <item x="661"/>
        <item x="20"/>
        <item x="532"/>
        <item x="858"/>
        <item x="609"/>
        <item x="23"/>
        <item x="500"/>
        <item x="820"/>
        <item x="47"/>
        <item x="513"/>
        <item x="873"/>
        <item x="1186"/>
        <item x="801"/>
        <item x="324"/>
        <item x="320"/>
        <item x="982"/>
        <item x="1061"/>
        <item x="46"/>
        <item x="1067"/>
        <item x="771"/>
        <item x="621"/>
        <item x="789"/>
        <item x="477"/>
        <item x="120"/>
        <item x="1132"/>
        <item x="70"/>
        <item x="1150"/>
        <item x="366"/>
        <item x="969"/>
        <item x="610"/>
        <item x="87"/>
        <item x="686"/>
        <item x="428"/>
        <item x="32"/>
        <item x="338"/>
        <item x="724"/>
        <item x="1182"/>
        <item x="539"/>
        <item x="547"/>
        <item x="494"/>
        <item x="1027"/>
        <item x="1042"/>
        <item x="429"/>
        <item x="268"/>
        <item x="260"/>
        <item x="878"/>
        <item x="471"/>
        <item x="259"/>
        <item x="142"/>
        <item x="94"/>
        <item x="283"/>
        <item x="201"/>
        <item x="917"/>
        <item x="1051"/>
        <item x="887"/>
        <item x="996"/>
        <item x="323"/>
        <item x="483"/>
        <item x="464"/>
        <item x="190"/>
        <item x="990"/>
        <item x="511"/>
        <item x="312"/>
        <item x="710"/>
        <item x="381"/>
        <item x="1107"/>
        <item x="11"/>
        <item x="274"/>
        <item x="900"/>
        <item x="77"/>
        <item x="778"/>
        <item x="405"/>
        <item x="573"/>
        <item x="45"/>
        <item x="102"/>
        <item x="970"/>
        <item x="1077"/>
        <item x="603"/>
        <item x="380"/>
        <item x="909"/>
        <item x="417"/>
        <item x="1097"/>
        <item x="218"/>
        <item x="587"/>
        <item x="109"/>
        <item x="470"/>
        <item x="336"/>
        <item x="261"/>
        <item x="447"/>
        <item x="221"/>
        <item x="83"/>
        <item x="80"/>
        <item x="510"/>
        <item x="1034"/>
        <item x="674"/>
        <item x="50"/>
        <item x="1196"/>
        <item x="1159"/>
        <item x="230"/>
        <item x="348"/>
        <item x="449"/>
        <item x="588"/>
        <item x="902"/>
        <item x="606"/>
        <item x="1035"/>
        <item x="607"/>
        <item x="507"/>
        <item x="853"/>
        <item x="210"/>
        <item x="645"/>
        <item x="631"/>
        <item x="396"/>
        <item x="448"/>
        <item x="67"/>
        <item x="807"/>
        <item x="345"/>
        <item x="57"/>
        <item x="498"/>
        <item x="518"/>
        <item x="160"/>
        <item x="123"/>
        <item x="1183"/>
        <item x="446"/>
        <item x="433"/>
        <item x="699"/>
        <item x="253"/>
        <item x="546"/>
        <item x="129"/>
        <item x="1044"/>
        <item x="598"/>
        <item x="78"/>
        <item x="979"/>
        <item x="316"/>
        <item x="623"/>
        <item x="626"/>
        <item x="411"/>
        <item x="960"/>
        <item x="235"/>
        <item x="81"/>
        <item x="487"/>
        <item x="962"/>
        <item x="82"/>
        <item x="754"/>
        <item x="391"/>
        <item x="707"/>
        <item x="1138"/>
        <item x="831"/>
        <item x="1139"/>
        <item x="26"/>
        <item x="632"/>
        <item x="638"/>
        <item x="615"/>
        <item x="30"/>
        <item x="44"/>
        <item x="172"/>
        <item x="182"/>
        <item x="266"/>
        <item x="881"/>
        <item x="951"/>
        <item x="203"/>
        <item x="1151"/>
        <item x="273"/>
        <item x="12"/>
        <item x="430"/>
        <item x="29"/>
        <item x="443"/>
        <item x="1082"/>
        <item x="321"/>
        <item x="170"/>
        <item x="386"/>
        <item x="1086"/>
        <item x="219"/>
        <item x="584"/>
        <item x="1119"/>
        <item x="217"/>
        <item x="327"/>
        <item x="1084"/>
        <item x="1049"/>
        <item x="723"/>
        <item x="1085"/>
        <item x="1026"/>
        <item x="246"/>
        <item x="865"/>
        <item x="871"/>
        <item x="407"/>
        <item x="479"/>
        <item x="138"/>
        <item x="690"/>
        <item x="100"/>
        <item x="875"/>
        <item x="693"/>
        <item x="352"/>
        <item x="939"/>
        <item x="1166"/>
        <item x="591"/>
        <item x="747"/>
        <item x="829"/>
        <item x="1094"/>
        <item x="1123"/>
        <item x="797"/>
        <item x="1032"/>
        <item x="841"/>
        <item x="941"/>
        <item x="721"/>
        <item x="277"/>
        <item x="4"/>
        <item x="796"/>
        <item x="399"/>
        <item x="376"/>
        <item x="17"/>
        <item x="658"/>
        <item x="562"/>
        <item x="750"/>
        <item x="115"/>
        <item x="620"/>
        <item x="986"/>
        <item x="702"/>
        <item x="48"/>
        <item x="703"/>
        <item x="226"/>
        <item x="1187"/>
        <item x="37"/>
        <item x="596"/>
        <item x="341"/>
        <item x="347"/>
        <item x="1140"/>
        <item x="497"/>
        <item x="663"/>
        <item x="1010"/>
        <item x="635"/>
        <item x="1021"/>
        <item x="545"/>
        <item x="531"/>
        <item x="369"/>
        <item x="54"/>
        <item x="304"/>
        <item x="611"/>
        <item x="150"/>
        <item x="108"/>
        <item x="121"/>
        <item x="1081"/>
        <item x="337"/>
        <item x="748"/>
        <item x="726"/>
        <item x="39"/>
        <item x="480"/>
        <item x="634"/>
        <item x="527"/>
        <item x="788"/>
        <item x="350"/>
        <item x="864"/>
        <item x="561"/>
        <item x="804"/>
        <item x="194"/>
        <item x="62"/>
        <item x="1124"/>
        <item x="1018"/>
        <item x="317"/>
        <item x="1155"/>
        <item x="567"/>
        <item x="74"/>
        <item x="652"/>
        <item x="254"/>
        <item x="90"/>
        <item x="930"/>
        <item x="885"/>
        <item x="290"/>
        <item x="262"/>
        <item x="372"/>
        <item x="579"/>
        <item x="644"/>
        <item x="195"/>
        <item x="814"/>
        <item x="911"/>
        <item x="297"/>
        <item x="779"/>
        <item x="298"/>
        <item x="177"/>
        <item x="212"/>
        <item x="1130"/>
        <item x="495"/>
        <item x="646"/>
        <item x="935"/>
        <item x="1118"/>
        <item x="529"/>
        <item x="175"/>
        <item x="755"/>
        <item x="910"/>
        <item x="1117"/>
        <item x="1125"/>
        <item x="514"/>
        <item x="802"/>
        <item x="697"/>
        <item x="835"/>
        <item x="452"/>
        <item x="71"/>
        <item x="953"/>
        <item x="395"/>
        <item x="168"/>
        <item x="943"/>
        <item x="151"/>
        <item x="162"/>
        <item x="1060"/>
        <item x="719"/>
        <item x="49"/>
        <item x="668"/>
        <item x="245"/>
        <item x="736"/>
        <item x="152"/>
        <item x="330"/>
        <item x="512"/>
        <item x="38"/>
        <item x="1064"/>
        <item x="42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dragToRow="0" dragToCol="0" dragToPage="0" showAll="0" defaultSubtotal="0"/>
  </pivotFields>
  <rowFields count="1">
    <field x="8"/>
  </rowFields>
  <rowItems count="17">
    <i>
      <x/>
    </i>
    <i>
      <x v="1"/>
    </i>
    <i>
      <x v="2"/>
    </i>
    <i>
      <x v="3"/>
    </i>
    <i>
      <x v="4"/>
    </i>
    <i>
      <x v="5"/>
    </i>
    <i>
      <x v="6"/>
    </i>
    <i>
      <x v="7"/>
    </i>
    <i>
      <x v="8"/>
    </i>
    <i>
      <x v="9"/>
    </i>
    <i>
      <x v="10"/>
    </i>
    <i>
      <x v="11"/>
    </i>
    <i>
      <x v="12"/>
    </i>
    <i>
      <x v="13"/>
    </i>
    <i>
      <x v="14"/>
    </i>
    <i>
      <x v="15"/>
    </i>
    <i t="grand">
      <x/>
    </i>
  </rowItems>
  <colItems count="1">
    <i/>
  </colItems>
  <dataFields count="1">
    <dataField name="Average of Revenue_USD" fld="4" subtotal="average"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E6982DD-E367-43E4-B1ED-06CE336D40E4}"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product category">
  <location ref="A74:B79" firstHeaderRow="1" firstDataRow="1" firstDataCol="1"/>
  <pivotFields count="16">
    <pivotField numFmtId="14" showAll="0">
      <items count="601">
        <item x="79"/>
        <item x="511"/>
        <item x="199"/>
        <item x="86"/>
        <item x="123"/>
        <item x="525"/>
        <item x="29"/>
        <item x="99"/>
        <item x="467"/>
        <item x="346"/>
        <item x="559"/>
        <item x="325"/>
        <item x="52"/>
        <item x="138"/>
        <item x="242"/>
        <item x="151"/>
        <item x="168"/>
        <item x="300"/>
        <item x="313"/>
        <item x="442"/>
        <item x="422"/>
        <item x="187"/>
        <item x="225"/>
        <item x="159"/>
        <item x="380"/>
        <item x="165"/>
        <item x="431"/>
        <item x="474"/>
        <item x="512"/>
        <item x="144"/>
        <item x="154"/>
        <item x="73"/>
        <item x="129"/>
        <item x="360"/>
        <item x="108"/>
        <item x="88"/>
        <item x="318"/>
        <item x="460"/>
        <item x="358"/>
        <item x="553"/>
        <item x="43"/>
        <item x="240"/>
        <item x="424"/>
        <item x="207"/>
        <item x="447"/>
        <item x="569"/>
        <item x="576"/>
        <item x="149"/>
        <item x="173"/>
        <item x="222"/>
        <item x="537"/>
        <item x="493"/>
        <item x="497"/>
        <item x="49"/>
        <item x="238"/>
        <item x="364"/>
        <item x="492"/>
        <item x="304"/>
        <item x="558"/>
        <item x="290"/>
        <item x="87"/>
        <item x="509"/>
        <item x="139"/>
        <item x="298"/>
        <item x="219"/>
        <item x="117"/>
        <item x="428"/>
        <item x="591"/>
        <item x="175"/>
        <item x="102"/>
        <item x="323"/>
        <item x="599"/>
        <item x="595"/>
        <item x="375"/>
        <item x="554"/>
        <item x="80"/>
        <item x="122"/>
        <item x="486"/>
        <item x="51"/>
        <item x="314"/>
        <item x="205"/>
        <item x="0"/>
        <item x="39"/>
        <item x="388"/>
        <item x="434"/>
        <item x="189"/>
        <item x="137"/>
        <item x="93"/>
        <item x="84"/>
        <item x="438"/>
        <item x="120"/>
        <item x="127"/>
        <item x="177"/>
        <item x="295"/>
        <item x="47"/>
        <item x="152"/>
        <item x="403"/>
        <item x="232"/>
        <item x="582"/>
        <item x="289"/>
        <item x="46"/>
        <item x="475"/>
        <item x="371"/>
        <item x="167"/>
        <item x="261"/>
        <item x="389"/>
        <item x="188"/>
        <item x="457"/>
        <item x="463"/>
        <item x="367"/>
        <item x="355"/>
        <item x="294"/>
        <item x="465"/>
        <item x="118"/>
        <item x="251"/>
        <item x="212"/>
        <item x="254"/>
        <item x="476"/>
        <item x="478"/>
        <item x="423"/>
        <item x="69"/>
        <item x="27"/>
        <item x="437"/>
        <item x="31"/>
        <item x="310"/>
        <item x="377"/>
        <item x="521"/>
        <item x="311"/>
        <item x="213"/>
        <item x="107"/>
        <item x="32"/>
        <item x="452"/>
        <item x="541"/>
        <item x="223"/>
        <item x="291"/>
        <item x="510"/>
        <item x="579"/>
        <item x="427"/>
        <item x="505"/>
        <item x="539"/>
        <item x="383"/>
        <item x="36"/>
        <item x="317"/>
        <item x="362"/>
        <item x="155"/>
        <item x="359"/>
        <item x="548"/>
        <item x="384"/>
        <item x="469"/>
        <item x="246"/>
        <item x="279"/>
        <item x="296"/>
        <item x="191"/>
        <item x="508"/>
        <item x="148"/>
        <item x="305"/>
        <item x="575"/>
        <item x="19"/>
        <item x="373"/>
        <item x="163"/>
        <item x="536"/>
        <item x="285"/>
        <item x="44"/>
        <item x="392"/>
        <item x="104"/>
        <item x="264"/>
        <item x="8"/>
        <item x="566"/>
        <item x="301"/>
        <item x="363"/>
        <item x="190"/>
        <item x="81"/>
        <item x="209"/>
        <item x="394"/>
        <item x="164"/>
        <item x="498"/>
        <item x="540"/>
        <item x="255"/>
        <item x="297"/>
        <item x="265"/>
        <item x="195"/>
        <item x="523"/>
        <item x="516"/>
        <item x="142"/>
        <item x="162"/>
        <item x="321"/>
        <item x="468"/>
        <item x="239"/>
        <item x="564"/>
        <item x="439"/>
        <item x="92"/>
        <item x="574"/>
        <item x="387"/>
        <item x="237"/>
        <item x="128"/>
        <item x="315"/>
        <item x="385"/>
        <item x="258"/>
        <item x="551"/>
        <item x="281"/>
        <item x="596"/>
        <item x="75"/>
        <item x="494"/>
        <item x="115"/>
        <item x="146"/>
        <item x="473"/>
        <item x="48"/>
        <item x="354"/>
        <item x="425"/>
        <item x="249"/>
        <item x="462"/>
        <item x="106"/>
        <item x="587"/>
        <item x="366"/>
        <item x="169"/>
        <item x="160"/>
        <item x="259"/>
        <item x="417"/>
        <item x="275"/>
        <item x="446"/>
        <item x="215"/>
        <item x="583"/>
        <item x="507"/>
        <item x="267"/>
        <item x="170"/>
        <item x="231"/>
        <item x="5"/>
        <item x="503"/>
        <item x="57"/>
        <item x="334"/>
        <item x="59"/>
        <item x="408"/>
        <item x="235"/>
        <item x="76"/>
        <item x="109"/>
        <item x="268"/>
        <item x="119"/>
        <item x="410"/>
        <item x="405"/>
        <item x="157"/>
        <item x="276"/>
        <item x="557"/>
        <item x="584"/>
        <item x="531"/>
        <item x="101"/>
        <item x="593"/>
        <item x="543"/>
        <item x="370"/>
        <item x="156"/>
        <item x="236"/>
        <item x="89"/>
        <item x="200"/>
        <item x="252"/>
        <item x="82"/>
        <item x="181"/>
        <item x="150"/>
        <item x="597"/>
        <item x="182"/>
        <item x="485"/>
        <item x="495"/>
        <item x="546"/>
        <item x="350"/>
        <item x="241"/>
        <item x="560"/>
        <item x="538"/>
        <item x="95"/>
        <item x="153"/>
        <item x="562"/>
        <item x="445"/>
        <item x="535"/>
        <item x="65"/>
        <item x="544"/>
        <item x="299"/>
        <item x="1"/>
        <item x="327"/>
        <item x="577"/>
        <item x="443"/>
        <item x="83"/>
        <item x="216"/>
        <item x="528"/>
        <item x="263"/>
        <item x="345"/>
        <item x="340"/>
        <item x="282"/>
        <item x="580"/>
        <item x="158"/>
        <item x="110"/>
        <item x="415"/>
        <item x="37"/>
        <item x="228"/>
        <item x="206"/>
        <item x="309"/>
        <item x="483"/>
        <item x="339"/>
        <item x="489"/>
        <item x="293"/>
        <item x="229"/>
        <item x="274"/>
        <item x="132"/>
        <item x="262"/>
        <item x="34"/>
        <item x="433"/>
        <item x="6"/>
        <item x="337"/>
        <item x="184"/>
        <item x="441"/>
        <item x="202"/>
        <item x="21"/>
        <item x="401"/>
        <item x="269"/>
        <item x="590"/>
        <item x="112"/>
        <item x="530"/>
        <item x="365"/>
        <item x="589"/>
        <item x="278"/>
        <item x="572"/>
        <item x="22"/>
        <item x="351"/>
        <item x="7"/>
        <item x="499"/>
        <item x="328"/>
        <item x="141"/>
        <item x="287"/>
        <item x="15"/>
        <item x="519"/>
        <item x="125"/>
        <item x="60"/>
        <item x="63"/>
        <item x="214"/>
        <item x="41"/>
        <item x="33"/>
        <item x="70"/>
        <item x="348"/>
        <item x="332"/>
        <item x="113"/>
        <item x="134"/>
        <item x="386"/>
        <item x="40"/>
        <item x="481"/>
        <item x="97"/>
        <item x="450"/>
        <item x="247"/>
        <item x="514"/>
        <item x="145"/>
        <item x="54"/>
        <item x="283"/>
        <item x="183"/>
        <item x="286"/>
        <item x="455"/>
        <item x="491"/>
        <item x="448"/>
        <item x="194"/>
        <item x="178"/>
        <item x="284"/>
        <item x="114"/>
        <item x="50"/>
        <item x="500"/>
        <item x="470"/>
        <item x="464"/>
        <item x="227"/>
        <item x="78"/>
        <item x="376"/>
        <item x="352"/>
        <item x="526"/>
        <item x="413"/>
        <item x="517"/>
        <item x="288"/>
        <item x="308"/>
        <item x="454"/>
        <item x="397"/>
        <item x="211"/>
        <item x="329"/>
        <item x="353"/>
        <item x="400"/>
        <item x="131"/>
        <item x="67"/>
        <item x="594"/>
        <item x="121"/>
        <item x="111"/>
        <item x="324"/>
        <item x="336"/>
        <item x="518"/>
        <item x="571"/>
        <item x="429"/>
        <item x="218"/>
        <item x="62"/>
        <item x="208"/>
        <item x="472"/>
        <item x="198"/>
        <item x="484"/>
        <item x="243"/>
        <item x="549"/>
        <item x="105"/>
        <item x="524"/>
        <item x="35"/>
        <item x="451"/>
        <item x="221"/>
        <item x="440"/>
        <item x="369"/>
        <item x="585"/>
        <item x="230"/>
        <item x="26"/>
        <item x="12"/>
        <item x="2"/>
        <item x="10"/>
        <item x="477"/>
        <item x="482"/>
        <item x="55"/>
        <item x="126"/>
        <item x="320"/>
        <item x="13"/>
        <item x="567"/>
        <item x="244"/>
        <item x="91"/>
        <item x="135"/>
        <item x="68"/>
        <item x="203"/>
        <item x="224"/>
        <item x="77"/>
        <item x="133"/>
        <item x="513"/>
        <item x="124"/>
        <item x="179"/>
        <item x="166"/>
        <item x="466"/>
        <item x="185"/>
        <item x="172"/>
        <item x="402"/>
        <item x="506"/>
        <item x="17"/>
        <item x="515"/>
        <item x="316"/>
        <item x="379"/>
        <item x="217"/>
        <item x="307"/>
        <item x="338"/>
        <item x="180"/>
        <item x="456"/>
        <item x="273"/>
        <item x="416"/>
        <item x="435"/>
        <item x="570"/>
        <item x="174"/>
        <item x="581"/>
        <item x="461"/>
        <item x="496"/>
        <item x="58"/>
        <item x="302"/>
        <item x="98"/>
        <item x="341"/>
        <item x="504"/>
        <item x="186"/>
        <item x="292"/>
        <item x="277"/>
        <item x="280"/>
        <item x="74"/>
        <item x="347"/>
        <item x="342"/>
        <item x="3"/>
        <item x="234"/>
        <item x="343"/>
        <item x="16"/>
        <item x="542"/>
        <item x="23"/>
        <item x="331"/>
        <item x="349"/>
        <item x="396"/>
        <item x="140"/>
        <item x="28"/>
        <item x="253"/>
        <item x="96"/>
        <item x="398"/>
        <item x="147"/>
        <item x="458"/>
        <item x="527"/>
        <item x="100"/>
        <item x="326"/>
        <item x="479"/>
        <item x="257"/>
        <item x="335"/>
        <item x="430"/>
        <item x="171"/>
        <item x="436"/>
        <item x="330"/>
        <item x="196"/>
        <item x="487"/>
        <item x="444"/>
        <item x="409"/>
        <item x="197"/>
        <item x="245"/>
        <item x="319"/>
        <item x="272"/>
        <item x="490"/>
        <item x="406"/>
        <item x="381"/>
        <item x="220"/>
        <item x="24"/>
        <item x="312"/>
        <item x="14"/>
        <item x="393"/>
        <item x="522"/>
        <item x="56"/>
        <item x="248"/>
        <item x="573"/>
        <item x="143"/>
        <item x="547"/>
        <item x="502"/>
        <item x="592"/>
        <item x="586"/>
        <item x="390"/>
        <item x="38"/>
        <item x="414"/>
        <item x="30"/>
        <item x="130"/>
        <item x="561"/>
        <item x="378"/>
        <item x="306"/>
        <item x="210"/>
        <item x="64"/>
        <item x="418"/>
        <item x="534"/>
        <item x="204"/>
        <item x="192"/>
        <item x="578"/>
        <item x="116"/>
        <item x="136"/>
        <item x="404"/>
        <item x="598"/>
        <item x="419"/>
        <item x="322"/>
        <item x="18"/>
        <item x="11"/>
        <item x="260"/>
        <item x="399"/>
        <item x="453"/>
        <item x="533"/>
        <item x="552"/>
        <item x="71"/>
        <item x="395"/>
        <item x="520"/>
        <item x="25"/>
        <item x="233"/>
        <item x="556"/>
        <item x="391"/>
        <item x="94"/>
        <item x="103"/>
        <item x="90"/>
        <item x="568"/>
        <item x="72"/>
        <item x="193"/>
        <item x="45"/>
        <item x="407"/>
        <item x="250"/>
        <item x="176"/>
        <item x="361"/>
        <item x="372"/>
        <item x="532"/>
        <item x="374"/>
        <item x="412"/>
        <item x="256"/>
        <item x="344"/>
        <item x="421"/>
        <item x="333"/>
        <item x="356"/>
        <item x="4"/>
        <item x="529"/>
        <item x="488"/>
        <item x="53"/>
        <item x="449"/>
        <item x="565"/>
        <item x="357"/>
        <item x="271"/>
        <item x="85"/>
        <item x="42"/>
        <item x="459"/>
        <item x="161"/>
        <item x="266"/>
        <item x="303"/>
        <item x="550"/>
        <item x="545"/>
        <item x="270"/>
        <item x="426"/>
        <item x="20"/>
        <item x="588"/>
        <item x="420"/>
        <item x="480"/>
        <item x="66"/>
        <item x="201"/>
        <item x="555"/>
        <item x="61"/>
        <item x="563"/>
        <item x="501"/>
        <item x="368"/>
        <item x="382"/>
        <item x="432"/>
        <item x="411"/>
        <item x="9"/>
        <item x="226"/>
        <item x="471"/>
        <item t="default"/>
      </items>
    </pivotField>
    <pivotField showAll="0">
      <items count="5">
        <item x="1"/>
        <item x="2"/>
        <item x="0"/>
        <item x="3"/>
        <item t="default"/>
      </items>
    </pivotField>
    <pivotField axis="axisRow" showAll="0">
      <items count="5">
        <item x="2"/>
        <item x="1"/>
        <item x="0"/>
        <item x="3"/>
        <item t="default"/>
      </items>
    </pivotField>
    <pivotField showAll="0">
      <items count="4">
        <item x="1"/>
        <item x="0"/>
        <item x="2"/>
        <item t="default"/>
      </items>
    </pivotField>
    <pivotField dataField="1" showAll="0">
      <items count="1197">
        <item x="78"/>
        <item x="100"/>
        <item x="135"/>
        <item x="575"/>
        <item x="174"/>
        <item x="610"/>
        <item x="730"/>
        <item x="508"/>
        <item x="55"/>
        <item x="315"/>
        <item x="1011"/>
        <item x="1113"/>
        <item x="1148"/>
        <item x="577"/>
        <item x="825"/>
        <item x="219"/>
        <item x="1166"/>
        <item x="375"/>
        <item x="672"/>
        <item x="563"/>
        <item x="214"/>
        <item x="981"/>
        <item x="615"/>
        <item x="355"/>
        <item x="109"/>
        <item x="103"/>
        <item x="145"/>
        <item x="516"/>
        <item x="953"/>
        <item x="889"/>
        <item x="998"/>
        <item x="849"/>
        <item x="553"/>
        <item x="476"/>
        <item x="443"/>
        <item x="625"/>
        <item x="1046"/>
        <item x="30"/>
        <item x="395"/>
        <item x="914"/>
        <item x="887"/>
        <item x="144"/>
        <item x="237"/>
        <item x="40"/>
        <item x="400"/>
        <item x="413"/>
        <item x="392"/>
        <item x="1172"/>
        <item x="172"/>
        <item x="149"/>
        <item x="69"/>
        <item x="325"/>
        <item x="283"/>
        <item x="346"/>
        <item x="1176"/>
        <item x="92"/>
        <item x="1020"/>
        <item x="943"/>
        <item x="1068"/>
        <item x="179"/>
        <item x="907"/>
        <item x="388"/>
        <item x="86"/>
        <item x="98"/>
        <item x="604"/>
        <item x="1006"/>
        <item x="382"/>
        <item x="222"/>
        <item x="331"/>
        <item x="217"/>
        <item x="1178"/>
        <item x="439"/>
        <item x="1137"/>
        <item x="756"/>
        <item x="743"/>
        <item x="793"/>
        <item x="28"/>
        <item x="671"/>
        <item x="840"/>
        <item x="710"/>
        <item x="364"/>
        <item x="105"/>
        <item x="115"/>
        <item x="409"/>
        <item x="712"/>
        <item x="350"/>
        <item x="674"/>
        <item x="139"/>
        <item x="527"/>
        <item x="197"/>
        <item x="1015"/>
        <item x="955"/>
        <item x="59"/>
        <item x="158"/>
        <item x="1026"/>
        <item x="776"/>
        <item x="425"/>
        <item x="728"/>
        <item x="383"/>
        <item x="1182"/>
        <item x="920"/>
        <item x="347"/>
        <item x="1136"/>
        <item x="454"/>
        <item x="75"/>
        <item x="1081"/>
        <item x="681"/>
        <item x="97"/>
        <item x="99"/>
        <item x="646"/>
        <item x="379"/>
        <item x="327"/>
        <item x="661"/>
        <item x="142"/>
        <item x="494"/>
        <item x="1175"/>
        <item x="265"/>
        <item x="330"/>
        <item x="565"/>
        <item x="853"/>
        <item x="540"/>
        <item x="258"/>
        <item x="833"/>
        <item x="1038"/>
        <item x="630"/>
        <item x="729"/>
        <item x="1070"/>
        <item x="123"/>
        <item x="1123"/>
        <item x="587"/>
        <item x="146"/>
        <item x="582"/>
        <item x="120"/>
        <item x="623"/>
        <item x="1104"/>
        <item x="1170"/>
        <item x="444"/>
        <item x="304"/>
        <item x="762"/>
        <item x="603"/>
        <item x="190"/>
        <item x="93"/>
        <item x="721"/>
        <item x="855"/>
        <item x="529"/>
        <item x="1069"/>
        <item x="1174"/>
        <item x="821"/>
        <item x="430"/>
        <item x="1162"/>
        <item x="50"/>
        <item x="1034"/>
        <item x="288"/>
        <item x="1187"/>
        <item x="1177"/>
        <item x="780"/>
        <item x="308"/>
        <item x="493"/>
        <item x="406"/>
        <item x="1049"/>
        <item x="345"/>
        <item x="488"/>
        <item x="545"/>
        <item x="733"/>
        <item x="858"/>
        <item x="1169"/>
        <item x="1050"/>
        <item x="1168"/>
        <item x="284"/>
        <item x="1110"/>
        <item x="440"/>
        <item x="396"/>
        <item x="918"/>
        <item x="768"/>
        <item x="724"/>
        <item x="617"/>
        <item x="62"/>
        <item x="1045"/>
        <item x="1016"/>
        <item x="1030"/>
        <item x="465"/>
        <item x="704"/>
        <item x="37"/>
        <item x="608"/>
        <item x="148"/>
        <item x="1075"/>
        <item x="171"/>
        <item x="463"/>
        <item x="134"/>
        <item x="453"/>
        <item x="173"/>
        <item x="831"/>
        <item x="515"/>
        <item x="535"/>
        <item x="1043"/>
        <item x="789"/>
        <item x="422"/>
        <item x="136"/>
        <item x="962"/>
        <item x="475"/>
        <item x="578"/>
        <item x="862"/>
        <item x="817"/>
        <item x="804"/>
        <item x="1158"/>
        <item x="195"/>
        <item x="467"/>
        <item x="177"/>
        <item x="814"/>
        <item x="452"/>
        <item x="913"/>
        <item x="445"/>
        <item x="57"/>
        <item x="585"/>
        <item x="960"/>
        <item x="792"/>
        <item x="626"/>
        <item x="361"/>
        <item x="1120"/>
        <item x="697"/>
        <item x="320"/>
        <item x="683"/>
        <item x="335"/>
        <item x="900"/>
        <item x="206"/>
        <item x="784"/>
        <item x="732"/>
        <item x="785"/>
        <item x="260"/>
        <item x="309"/>
        <item x="1139"/>
        <item x="1130"/>
        <item x="9"/>
        <item x="945"/>
        <item x="245"/>
        <item x="834"/>
        <item x="622"/>
        <item x="650"/>
        <item x="908"/>
        <item x="1053"/>
        <item x="456"/>
        <item x="916"/>
        <item x="902"/>
        <item x="827"/>
        <item x="151"/>
        <item x="352"/>
        <item x="464"/>
        <item x="957"/>
        <item x="746"/>
        <item x="875"/>
        <item x="901"/>
        <item x="911"/>
        <item x="693"/>
        <item x="274"/>
        <item x="193"/>
        <item x="951"/>
        <item x="501"/>
        <item x="289"/>
        <item x="1028"/>
        <item x="1145"/>
        <item x="160"/>
        <item x="25"/>
        <item x="338"/>
        <item x="959"/>
        <item x="727"/>
        <item x="1132"/>
        <item x="1084"/>
        <item x="45"/>
        <item x="725"/>
        <item x="49"/>
        <item x="381"/>
        <item x="261"/>
        <item x="1066"/>
        <item x="21"/>
        <item x="614"/>
        <item x="32"/>
        <item x="939"/>
        <item x="915"/>
        <item x="24"/>
        <item x="1156"/>
        <item x="368"/>
        <item x="15"/>
        <item x="102"/>
        <item x="490"/>
        <item x="218"/>
        <item x="600"/>
        <item x="270"/>
        <item x="885"/>
        <item x="241"/>
        <item x="507"/>
        <item x="663"/>
        <item x="1146"/>
        <item x="938"/>
        <item x="108"/>
        <item x="711"/>
        <item x="922"/>
        <item x="474"/>
        <item x="992"/>
        <item x="1033"/>
        <item x="299"/>
        <item x="324"/>
        <item x="1054"/>
        <item x="613"/>
        <item x="1000"/>
        <item x="353"/>
        <item x="645"/>
        <item x="298"/>
        <item x="253"/>
        <item x="740"/>
        <item x="94"/>
        <item x="766"/>
        <item x="38"/>
        <item x="832"/>
        <item x="567"/>
        <item x="965"/>
        <item x="971"/>
        <item x="380"/>
        <item x="616"/>
        <item x="1115"/>
        <item x="861"/>
        <item x="818"/>
        <item x="555"/>
        <item x="1057"/>
        <item x="1003"/>
        <item x="473"/>
        <item x="891"/>
        <item x="581"/>
        <item x="207"/>
        <item x="1025"/>
        <item x="638"/>
        <item x="707"/>
        <item x="921"/>
        <item x="1010"/>
        <item x="460"/>
        <item x="269"/>
        <item x="434"/>
        <item x="612"/>
        <item x="520"/>
        <item x="129"/>
        <item x="397"/>
        <item x="777"/>
        <item x="932"/>
        <item x="1023"/>
        <item x="843"/>
        <item x="696"/>
        <item x="870"/>
        <item x="877"/>
        <item x="764"/>
        <item x="941"/>
        <item x="850"/>
        <item x="1004"/>
        <item x="1085"/>
        <item x="127"/>
        <item x="595"/>
        <item x="221"/>
        <item x="892"/>
        <item x="470"/>
        <item x="429"/>
        <item x="141"/>
        <item x="874"/>
        <item x="424"/>
        <item x="111"/>
        <item x="1190"/>
        <item x="372"/>
        <item x="1060"/>
        <item x="761"/>
        <item x="293"/>
        <item x="186"/>
        <item x="54"/>
        <item x="735"/>
        <item x="198"/>
        <item x="737"/>
        <item x="848"/>
        <item x="1181"/>
        <item x="607"/>
        <item x="236"/>
        <item x="232"/>
        <item x="750"/>
        <item x="39"/>
        <item x="294"/>
        <item x="213"/>
        <item x="285"/>
        <item x="96"/>
        <item x="963"/>
        <item x="1103"/>
        <item x="708"/>
        <item x="212"/>
        <item x="897"/>
        <item x="239"/>
        <item x="1112"/>
        <item x="665"/>
        <item x="34"/>
        <item x="639"/>
        <item x="566"/>
        <item x="228"/>
        <item x="629"/>
        <item x="229"/>
        <item x="1"/>
        <item x="1167"/>
        <item x="121"/>
        <item x="842"/>
        <item x="243"/>
        <item x="275"/>
        <item x="385"/>
        <item x="280"/>
        <item x="879"/>
        <item x="147"/>
        <item x="414"/>
        <item x="76"/>
        <item x="1089"/>
        <item x="279"/>
        <item x="1131"/>
        <item x="808"/>
        <item x="336"/>
        <item x="1163"/>
        <item x="548"/>
        <item x="403"/>
        <item x="925"/>
        <item x="1106"/>
        <item x="12"/>
        <item x="87"/>
        <item x="698"/>
        <item x="131"/>
        <item x="437"/>
        <item x="14"/>
        <item x="31"/>
        <item x="845"/>
        <item x="1012"/>
        <item x="649"/>
        <item x="1184"/>
        <item x="61"/>
        <item x="389"/>
        <item x="975"/>
        <item x="367"/>
        <item x="110"/>
        <item x="1099"/>
        <item x="1027"/>
        <item x="435"/>
        <item x="982"/>
        <item x="83"/>
        <item x="104"/>
        <item x="747"/>
        <item x="586"/>
        <item x="533"/>
        <item x="167"/>
        <item x="1022"/>
        <item x="466"/>
        <item x="723"/>
        <item x="72"/>
        <item x="489"/>
        <item x="1140"/>
        <item x="643"/>
        <item x="374"/>
        <item x="890"/>
        <item x="709"/>
        <item x="192"/>
        <item x="865"/>
        <item x="503"/>
        <item x="819"/>
        <item x="1164"/>
        <item x="53"/>
        <item x="1155"/>
        <item x="64"/>
        <item x="1056"/>
        <item x="318"/>
        <item x="1135"/>
        <item x="522"/>
        <item x="745"/>
        <item x="899"/>
        <item x="978"/>
        <item x="1188"/>
        <item x="257"/>
        <item x="809"/>
        <item x="557"/>
        <item x="233"/>
        <item x="116"/>
        <item x="544"/>
        <item x="618"/>
        <item x="5"/>
        <item x="36"/>
        <item x="798"/>
        <item x="1024"/>
        <item x="356"/>
        <item x="966"/>
        <item x="66"/>
        <item x="751"/>
        <item x="41"/>
        <item x="1094"/>
        <item x="1087"/>
        <item x="644"/>
        <item x="47"/>
        <item x="458"/>
        <item x="332"/>
        <item x="796"/>
        <item x="16"/>
        <item x="89"/>
        <item x="748"/>
        <item x="692"/>
        <item x="1154"/>
        <item x="1144"/>
        <item x="620"/>
        <item x="22"/>
        <item x="450"/>
        <item x="774"/>
        <item x="574"/>
        <item x="1090"/>
        <item x="895"/>
        <item x="904"/>
        <item x="584"/>
        <item x="498"/>
        <item x="68"/>
        <item x="362"/>
        <item x="715"/>
        <item x="703"/>
        <item x="199"/>
        <item x="354"/>
        <item x="322"/>
        <item x="249"/>
        <item x="906"/>
        <item x="316"/>
        <item x="598"/>
        <item x="481"/>
        <item x="1073"/>
        <item x="88"/>
        <item x="551"/>
        <item x="806"/>
        <item x="1018"/>
        <item x="1061"/>
        <item x="673"/>
        <item x="800"/>
        <item x="686"/>
        <item x="864"/>
        <item x="196"/>
        <item x="244"/>
        <item x="1077"/>
        <item x="185"/>
        <item x="1008"/>
        <item x="386"/>
        <item x="930"/>
        <item x="844"/>
        <item x="543"/>
        <item x="455"/>
        <item x="659"/>
        <item x="415"/>
        <item x="491"/>
        <item x="1062"/>
        <item x="628"/>
        <item x="1080"/>
        <item x="866"/>
        <item x="140"/>
        <item x="896"/>
        <item x="1051"/>
        <item x="302"/>
        <item x="1035"/>
        <item x="1109"/>
        <item x="991"/>
        <item x="547"/>
        <item x="358"/>
        <item x="863"/>
        <item x="224"/>
        <item x="7"/>
        <item x="689"/>
        <item x="408"/>
        <item x="589"/>
        <item x="676"/>
        <item x="989"/>
        <item x="666"/>
        <item x="1134"/>
        <item x="771"/>
        <item x="731"/>
        <item x="479"/>
        <item x="967"/>
        <item x="161"/>
        <item x="1048"/>
        <item x="1088"/>
        <item x="691"/>
        <item x="813"/>
        <item x="235"/>
        <item x="869"/>
        <item x="1161"/>
        <item x="621"/>
        <item x="779"/>
        <item x="107"/>
        <item x="637"/>
        <item x="42"/>
        <item x="427"/>
        <item x="268"/>
        <item x="647"/>
        <item x="738"/>
        <item x="741"/>
        <item x="119"/>
        <item x="256"/>
        <item x="1092"/>
        <item x="801"/>
        <item x="749"/>
        <item x="132"/>
        <item x="300"/>
        <item x="441"/>
        <item x="1001"/>
        <item x="303"/>
        <item x="534"/>
        <item x="935"/>
        <item x="188"/>
        <item x="461"/>
        <item x="248"/>
        <item x="590"/>
        <item x="189"/>
        <item x="1047"/>
        <item x="660"/>
        <item x="839"/>
        <item x="558"/>
        <item x="138"/>
        <item x="1014"/>
        <item x="321"/>
        <item x="583"/>
        <item x="410"/>
        <item x="846"/>
        <item x="180"/>
        <item x="176"/>
        <item x="820"/>
        <item x="0"/>
        <item x="150"/>
        <item x="1108"/>
        <item x="506"/>
        <item x="722"/>
        <item x="1191"/>
        <item x="1186"/>
        <item x="187"/>
        <item x="371"/>
        <item x="988"/>
        <item x="754"/>
        <item x="964"/>
        <item x="126"/>
        <item x="2"/>
        <item x="726"/>
        <item x="1076"/>
        <item x="495"/>
        <item x="79"/>
        <item x="412"/>
        <item x="376"/>
        <item x="486"/>
        <item x="1180"/>
        <item x="782"/>
        <item x="773"/>
        <item x="340"/>
        <item x="337"/>
        <item x="702"/>
        <item x="1142"/>
        <item x="580"/>
        <item x="946"/>
        <item x="995"/>
        <item x="114"/>
        <item x="81"/>
        <item x="1032"/>
        <item x="451"/>
        <item x="940"/>
        <item x="788"/>
        <item x="210"/>
        <item x="884"/>
        <item x="684"/>
        <item x="700"/>
        <item x="6"/>
        <item x="640"/>
        <item x="1102"/>
        <item x="306"/>
        <item x="154"/>
        <item x="423"/>
        <item x="851"/>
        <item x="699"/>
        <item x="588"/>
        <item x="117"/>
        <item x="264"/>
        <item x="990"/>
        <item x="772"/>
        <item x="517"/>
        <item x="576"/>
        <item x="44"/>
        <item x="868"/>
        <item x="552"/>
        <item x="579"/>
        <item x="753"/>
        <item x="153"/>
        <item x="1149"/>
        <item x="163"/>
        <item x="84"/>
        <item x="128"/>
        <item x="836"/>
        <item x="624"/>
        <item x="420"/>
        <item x="976"/>
        <item x="418"/>
        <item x="391"/>
        <item x="1173"/>
        <item x="469"/>
        <item x="291"/>
        <item x="635"/>
        <item x="311"/>
        <item x="1021"/>
        <item x="537"/>
        <item x="449"/>
        <item x="1059"/>
        <item x="950"/>
        <item x="714"/>
        <item x="227"/>
        <item x="143"/>
        <item x="816"/>
        <item x="234"/>
        <item x="519"/>
        <item x="1111"/>
        <item x="923"/>
        <item x="73"/>
        <item x="958"/>
        <item x="987"/>
        <item x="1041"/>
        <item x="826"/>
        <item x="446"/>
        <item x="786"/>
        <item x="70"/>
        <item x="296"/>
        <item x="656"/>
        <item x="790"/>
        <item x="1036"/>
        <item x="215"/>
        <item x="559"/>
        <item x="883"/>
        <item x="156"/>
        <item x="531"/>
        <item x="162"/>
        <item x="984"/>
        <item x="886"/>
        <item x="539"/>
        <item x="759"/>
        <item x="550"/>
        <item x="301"/>
        <item x="770"/>
        <item x="980"/>
        <item x="1037"/>
        <item x="477"/>
        <item x="807"/>
        <item x="878"/>
        <item x="169"/>
        <item x="1138"/>
        <item x="974"/>
        <item x="1192"/>
        <item x="929"/>
        <item x="716"/>
        <item x="668"/>
        <item x="795"/>
        <item x="407"/>
        <item x="504"/>
        <item x="1107"/>
        <item x="736"/>
        <item x="658"/>
        <item x="876"/>
        <item x="969"/>
        <item x="357"/>
        <item x="401"/>
        <item x="67"/>
        <item x="369"/>
        <item x="1067"/>
        <item x="23"/>
        <item x="238"/>
        <item x="482"/>
        <item x="52"/>
        <item x="259"/>
        <item x="82"/>
        <item x="791"/>
        <item x="653"/>
        <item x="194"/>
        <item x="903"/>
        <item x="822"/>
        <item x="1121"/>
        <item x="231"/>
        <item x="1183"/>
        <item x="657"/>
        <item x="394"/>
        <item x="910"/>
        <item x="758"/>
        <item x="419"/>
        <item x="178"/>
        <item x="752"/>
        <item x="226"/>
        <item x="168"/>
        <item x="983"/>
        <item x="682"/>
        <item x="4"/>
        <item x="560"/>
        <item x="416"/>
        <item x="734"/>
        <item x="973"/>
        <item x="944"/>
        <item x="611"/>
        <item x="619"/>
        <item x="365"/>
        <item x="952"/>
        <item x="694"/>
        <item x="133"/>
        <item x="961"/>
        <item x="225"/>
        <item x="652"/>
        <item x="1055"/>
        <item x="572"/>
        <item x="313"/>
        <item x="277"/>
        <item x="208"/>
        <item x="631"/>
        <item x="366"/>
        <item x="1125"/>
        <item x="739"/>
        <item x="411"/>
        <item x="605"/>
        <item x="742"/>
        <item x="74"/>
        <item x="562"/>
        <item x="799"/>
        <item x="852"/>
        <item x="384"/>
        <item x="1119"/>
        <item x="695"/>
        <item x="669"/>
        <item x="1095"/>
        <item x="680"/>
        <item x="286"/>
        <item x="113"/>
        <item x="778"/>
        <item x="760"/>
        <item x="571"/>
        <item x="591"/>
        <item x="342"/>
        <item x="882"/>
        <item x="593"/>
        <item x="810"/>
        <item x="1064"/>
        <item x="282"/>
        <item x="312"/>
        <item x="58"/>
        <item x="339"/>
        <item x="972"/>
        <item x="370"/>
        <item x="35"/>
        <item x="33"/>
        <item x="781"/>
        <item x="319"/>
        <item x="1079"/>
        <item x="841"/>
        <item x="17"/>
        <item x="767"/>
        <item x="442"/>
        <item x="344"/>
        <item x="310"/>
        <item x="223"/>
        <item x="471"/>
        <item x="181"/>
        <item x="873"/>
        <item x="954"/>
        <item x="641"/>
        <item x="854"/>
        <item x="606"/>
        <item x="27"/>
        <item x="448"/>
        <item x="1114"/>
        <item x="71"/>
        <item x="468"/>
        <item x="1153"/>
        <item x="29"/>
        <item x="763"/>
        <item x="942"/>
        <item x="271"/>
        <item x="426"/>
        <item x="170"/>
        <item x="601"/>
        <item x="1185"/>
        <item x="847"/>
        <item x="667"/>
        <item x="824"/>
        <item x="457"/>
        <item x="317"/>
        <item x="985"/>
        <item x="905"/>
        <item x="642"/>
        <item x="713"/>
        <item x="881"/>
        <item x="872"/>
        <item x="546"/>
        <item x="433"/>
        <item x="220"/>
        <item x="654"/>
        <item x="48"/>
        <item x="596"/>
        <item x="122"/>
        <item x="634"/>
        <item x="1141"/>
        <item x="838"/>
        <item x="510"/>
        <item x="556"/>
        <item x="246"/>
        <item x="3"/>
        <item x="993"/>
        <item x="977"/>
        <item x="1083"/>
        <item x="26"/>
        <item x="216"/>
        <item x="979"/>
        <item x="1101"/>
        <item x="894"/>
        <item x="118"/>
        <item x="599"/>
        <item x="307"/>
        <item x="532"/>
        <item x="996"/>
        <item x="333"/>
        <item x="204"/>
        <item x="602"/>
        <item x="919"/>
        <item x="254"/>
        <item x="1157"/>
        <item x="1179"/>
        <item x="497"/>
        <item x="1143"/>
        <item x="1147"/>
        <item x="1193"/>
        <item x="1082"/>
        <item x="859"/>
        <item x="909"/>
        <item x="997"/>
        <item x="106"/>
        <item x="917"/>
        <item x="670"/>
        <item x="933"/>
        <item x="95"/>
        <item x="242"/>
        <item x="994"/>
        <item x="77"/>
        <item x="829"/>
        <item x="812"/>
        <item x="888"/>
        <item x="343"/>
        <item x="314"/>
        <item x="561"/>
        <item x="541"/>
        <item x="431"/>
        <item x="679"/>
        <item x="542"/>
        <item x="326"/>
        <item x="159"/>
        <item x="802"/>
        <item x="480"/>
        <item x="1071"/>
        <item x="205"/>
        <item x="1042"/>
        <item x="1074"/>
        <item x="360"/>
        <item x="675"/>
        <item x="837"/>
        <item x="1171"/>
        <item x="428"/>
        <item x="1029"/>
        <item x="432"/>
        <item x="276"/>
        <item x="706"/>
        <item x="1124"/>
        <item x="305"/>
        <item x="247"/>
        <item x="292"/>
        <item x="1128"/>
        <item x="1150"/>
        <item x="797"/>
        <item x="1127"/>
        <item x="948"/>
        <item x="1013"/>
        <item x="421"/>
        <item x="184"/>
        <item x="857"/>
        <item x="266"/>
        <item x="334"/>
        <item x="1063"/>
        <item x="203"/>
        <item x="438"/>
        <item x="209"/>
        <item x="65"/>
        <item x="278"/>
        <item x="514"/>
        <item x="569"/>
        <item x="323"/>
        <item x="101"/>
        <item x="1031"/>
        <item x="1160"/>
        <item x="528"/>
        <item x="947"/>
        <item x="377"/>
        <item x="130"/>
        <item x="592"/>
        <item x="898"/>
        <item x="1098"/>
        <item x="1189"/>
        <item x="526"/>
        <item x="152"/>
        <item x="1007"/>
        <item x="536"/>
        <item x="505"/>
        <item x="893"/>
        <item x="183"/>
        <item x="43"/>
        <item x="472"/>
        <item x="80"/>
        <item x="999"/>
        <item x="570"/>
        <item x="525"/>
        <item x="755"/>
        <item x="484"/>
        <item x="787"/>
        <item x="8"/>
        <item x="513"/>
        <item x="90"/>
        <item x="509"/>
        <item x="511"/>
        <item x="931"/>
        <item x="164"/>
        <item x="568"/>
        <item x="499"/>
        <item x="60"/>
        <item x="949"/>
        <item x="1152"/>
        <item x="1040"/>
        <item x="91"/>
        <item x="351"/>
        <item x="378"/>
        <item x="765"/>
        <item x="85"/>
        <item x="1105"/>
        <item x="609"/>
        <item x="860"/>
        <item x="202"/>
        <item x="880"/>
        <item x="718"/>
        <item x="705"/>
        <item x="530"/>
        <item x="166"/>
        <item x="18"/>
        <item x="1009"/>
        <item x="393"/>
        <item x="1072"/>
        <item x="744"/>
        <item x="521"/>
        <item x="404"/>
        <item x="688"/>
        <item x="112"/>
        <item x="720"/>
        <item x="867"/>
        <item x="1129"/>
        <item x="1118"/>
        <item x="290"/>
        <item x="211"/>
        <item x="1039"/>
        <item x="678"/>
        <item x="823"/>
        <item x="191"/>
        <item x="956"/>
        <item x="1195"/>
        <item x="518"/>
        <item x="1002"/>
        <item x="775"/>
        <item x="769"/>
        <item x="348"/>
        <item x="662"/>
        <item x="402"/>
        <item x="251"/>
        <item x="502"/>
        <item x="297"/>
        <item x="1086"/>
        <item x="436"/>
        <item x="934"/>
        <item x="200"/>
        <item x="1093"/>
        <item x="633"/>
        <item x="10"/>
        <item x="273"/>
        <item x="1017"/>
        <item x="936"/>
        <item x="685"/>
        <item x="1116"/>
        <item x="805"/>
        <item x="252"/>
        <item x="349"/>
        <item x="1005"/>
        <item x="835"/>
        <item x="687"/>
        <item x="597"/>
        <item x="1117"/>
        <item x="564"/>
        <item x="757"/>
        <item x="20"/>
        <item x="970"/>
        <item x="19"/>
        <item x="459"/>
        <item x="1091"/>
        <item x="405"/>
        <item x="46"/>
        <item x="263"/>
        <item x="783"/>
        <item x="201"/>
        <item x="373"/>
        <item x="250"/>
        <item x="1052"/>
        <item x="124"/>
        <item x="701"/>
        <item x="496"/>
        <item x="240"/>
        <item x="928"/>
        <item x="912"/>
        <item x="523"/>
        <item x="1096"/>
        <item x="182"/>
        <item x="717"/>
        <item x="549"/>
        <item x="524"/>
        <item x="137"/>
        <item x="125"/>
        <item x="363"/>
        <item x="447"/>
        <item x="462"/>
        <item x="655"/>
        <item x="165"/>
        <item x="926"/>
        <item x="1122"/>
        <item x="1065"/>
        <item x="690"/>
        <item x="155"/>
        <item x="794"/>
        <item x="1151"/>
        <item x="255"/>
        <item x="328"/>
        <item x="1019"/>
        <item x="828"/>
        <item x="573"/>
        <item x="856"/>
        <item x="359"/>
        <item x="719"/>
        <item x="512"/>
        <item x="398"/>
        <item x="483"/>
        <item x="803"/>
        <item x="11"/>
        <item x="1165"/>
        <item x="1044"/>
        <item x="1100"/>
        <item x="230"/>
        <item x="937"/>
        <item x="387"/>
        <item x="56"/>
        <item x="1097"/>
        <item x="632"/>
        <item x="830"/>
        <item x="871"/>
        <item x="262"/>
        <item x="487"/>
        <item x="924"/>
        <item x="968"/>
        <item x="554"/>
        <item x="485"/>
        <item x="478"/>
        <item x="627"/>
        <item x="538"/>
        <item x="677"/>
        <item x="417"/>
        <item x="399"/>
        <item x="51"/>
        <item x="1078"/>
        <item x="13"/>
        <item x="1126"/>
        <item x="1159"/>
        <item x="281"/>
        <item x="664"/>
        <item x="636"/>
        <item x="287"/>
        <item x="651"/>
        <item x="986"/>
        <item x="815"/>
        <item x="927"/>
        <item x="594"/>
        <item x="63"/>
        <item x="1058"/>
        <item x="648"/>
        <item x="329"/>
        <item x="492"/>
        <item x="267"/>
        <item x="811"/>
        <item x="390"/>
        <item x="157"/>
        <item x="295"/>
        <item x="341"/>
        <item x="1194"/>
        <item x="175"/>
        <item x="500"/>
        <item x="1133"/>
        <item x="272"/>
        <item t="default"/>
      </items>
    </pivotField>
    <pivotField showAll="0">
      <items count="1199">
        <item x="78"/>
        <item x="100"/>
        <item x="1115"/>
        <item x="609"/>
        <item x="219"/>
        <item x="729"/>
        <item x="1150"/>
        <item x="614"/>
        <item x="55"/>
        <item x="671"/>
        <item x="574"/>
        <item x="109"/>
        <item x="174"/>
        <item x="135"/>
        <item x="824"/>
        <item x="841"/>
        <item x="374"/>
        <item x="1168"/>
        <item x="507"/>
        <item x="562"/>
        <item x="314"/>
        <item x="394"/>
        <item x="214"/>
        <item x="442"/>
        <item x="576"/>
        <item x="982"/>
        <item x="354"/>
        <item x="954"/>
        <item x="30"/>
        <item x="145"/>
        <item x="475"/>
        <item x="103"/>
        <item x="849"/>
        <item x="515"/>
        <item x="172"/>
        <item x="887"/>
        <item x="399"/>
        <item x="237"/>
        <item x="412"/>
        <item x="283"/>
        <item x="889"/>
        <item x="999"/>
        <item x="1174"/>
        <item x="217"/>
        <item x="144"/>
        <item x="1046"/>
        <item x="552"/>
        <item x="943"/>
        <item x="914"/>
        <item x="115"/>
        <item x="624"/>
        <item x="86"/>
        <item x="40"/>
        <item x="92"/>
        <item x="349"/>
        <item x="1180"/>
        <item x="69"/>
        <item x="424"/>
        <item x="526"/>
        <item x="391"/>
        <item x="98"/>
        <item x="907"/>
        <item x="709"/>
        <item x="1139"/>
        <item x="1020"/>
        <item x="324"/>
        <item x="28"/>
        <item x="438"/>
        <item x="755"/>
        <item x="673"/>
        <item x="387"/>
        <item x="149"/>
        <item x="330"/>
        <item x="346"/>
        <item x="139"/>
        <item x="1138"/>
        <item x="222"/>
        <item x="197"/>
        <item x="792"/>
        <item x="1068"/>
        <item x="603"/>
        <item x="645"/>
        <item x="345"/>
        <item x="1178"/>
        <item x="329"/>
        <item x="363"/>
        <item x="179"/>
        <item x="381"/>
        <item x="742"/>
        <item x="1184"/>
        <item x="670"/>
        <item x="1026"/>
        <item x="105"/>
        <item x="326"/>
        <item x="59"/>
        <item x="1007"/>
        <item x="727"/>
        <item x="453"/>
        <item x="382"/>
        <item x="142"/>
        <item x="493"/>
        <item x="660"/>
        <item x="528"/>
        <item x="303"/>
        <item x="775"/>
        <item x="123"/>
        <item x="839"/>
        <item x="720"/>
        <item x="920"/>
        <item x="97"/>
        <item x="956"/>
        <item x="1081"/>
        <item x="622"/>
        <item x="158"/>
        <item x="586"/>
        <item x="75"/>
        <item x="711"/>
        <item x="408"/>
        <item x="1164"/>
        <item x="99"/>
        <item x="832"/>
        <item x="629"/>
        <item x="429"/>
        <item x="544"/>
        <item x="120"/>
        <item x="1015"/>
        <item x="728"/>
        <item x="602"/>
        <item x="190"/>
        <item x="50"/>
        <item x="1106"/>
        <item x="443"/>
        <item x="1038"/>
        <item x="1125"/>
        <item x="344"/>
        <item x="62"/>
        <item x="1016"/>
        <item x="146"/>
        <item x="539"/>
        <item x="1049"/>
        <item x="680"/>
        <item x="37"/>
        <item x="1030"/>
        <item x="1177"/>
        <item x="451"/>
        <item x="395"/>
        <item x="1070"/>
        <item x="265"/>
        <item x="853"/>
        <item x="195"/>
        <item x="177"/>
        <item x="813"/>
        <item x="803"/>
        <item x="288"/>
        <item x="696"/>
        <item x="258"/>
        <item x="761"/>
        <item x="830"/>
        <item x="723"/>
        <item x="245"/>
        <item x="1122"/>
        <item x="1075"/>
        <item x="581"/>
        <item x="564"/>
        <item x="151"/>
        <item x="378"/>
        <item x="616"/>
        <item x="961"/>
        <item x="952"/>
        <item x="57"/>
        <item x="625"/>
        <item x="788"/>
        <item x="49"/>
        <item x="820"/>
        <item x="514"/>
        <item x="1172"/>
        <item x="405"/>
        <item x="492"/>
        <item x="351"/>
        <item x="462"/>
        <item x="692"/>
        <item x="855"/>
        <item x="466"/>
        <item x="1045"/>
        <item x="307"/>
        <item x="862"/>
        <item x="779"/>
        <item x="319"/>
        <item x="171"/>
        <item x="487"/>
        <item x="93"/>
        <item x="1179"/>
        <item x="260"/>
        <item x="732"/>
        <item x="1069"/>
        <item x="908"/>
        <item x="1084"/>
        <item x="284"/>
        <item x="1176"/>
        <item x="1160"/>
        <item x="901"/>
        <item x="160"/>
        <item x="916"/>
        <item x="1050"/>
        <item x="148"/>
        <item x="463"/>
        <item x="206"/>
        <item x="464"/>
        <item x="1034"/>
        <item x="274"/>
        <item x="444"/>
        <item x="1189"/>
        <item x="963"/>
        <item x="662"/>
        <item x="421"/>
        <item x="108"/>
        <item x="38"/>
        <item x="682"/>
        <item x="858"/>
        <item x="1170"/>
        <item x="900"/>
        <item x="439"/>
        <item x="1112"/>
        <item x="337"/>
        <item x="45"/>
        <item x="783"/>
        <item x="938"/>
        <item x="9"/>
        <item x="261"/>
        <item x="134"/>
        <item x="193"/>
        <item x="1053"/>
        <item x="297"/>
        <item x="380"/>
        <item x="918"/>
        <item x="577"/>
        <item x="703"/>
        <item x="1171"/>
        <item x="767"/>
        <item x="289"/>
        <item x="452"/>
        <item x="566"/>
        <item x="607"/>
        <item x="946"/>
        <item x="506"/>
        <item x="102"/>
        <item x="32"/>
        <item x="534"/>
        <item x="218"/>
        <item x="902"/>
        <item x="911"/>
        <item x="173"/>
        <item x="1033"/>
        <item x="1132"/>
        <item x="136"/>
        <item x="826"/>
        <item x="500"/>
        <item x="913"/>
        <item x="1117"/>
        <item x="1148"/>
        <item x="784"/>
        <item x="1158"/>
        <item x="253"/>
        <item x="584"/>
        <item x="644"/>
        <item x="637"/>
        <item x="958"/>
        <item x="706"/>
        <item x="1043"/>
        <item x="371"/>
        <item x="323"/>
        <item x="613"/>
        <item x="870"/>
        <item x="724"/>
        <item x="379"/>
        <item x="1066"/>
        <item x="816"/>
        <item x="94"/>
        <item x="54"/>
        <item x="360"/>
        <item x="129"/>
        <item x="241"/>
        <item x="474"/>
        <item x="874"/>
        <item x="212"/>
        <item x="39"/>
        <item x="993"/>
        <item x="749"/>
        <item x="308"/>
        <item x="1025"/>
        <item x="731"/>
        <item x="833"/>
        <item x="791"/>
        <item x="121"/>
        <item x="221"/>
        <item x="877"/>
        <item x="469"/>
        <item x="519"/>
        <item x="885"/>
        <item x="455"/>
        <item x="745"/>
        <item x="739"/>
        <item x="615"/>
        <item x="1147"/>
        <item x="606"/>
        <item x="428"/>
        <item x="621"/>
        <item x="334"/>
        <item x="25"/>
        <item x="489"/>
        <item x="1141"/>
        <item x="765"/>
        <item x="960"/>
        <item x="875"/>
        <item x="776"/>
        <item x="1023"/>
        <item x="459"/>
        <item x="1057"/>
        <item x="726"/>
        <item x="892"/>
        <item x="293"/>
        <item x="1105"/>
        <item x="12"/>
        <item x="649"/>
        <item x="746"/>
        <item x="270"/>
        <item x="1028"/>
        <item x="24"/>
        <item x="285"/>
        <item x="111"/>
        <item x="722"/>
        <item x="213"/>
        <item x="710"/>
        <item x="1004"/>
        <item x="1001"/>
        <item x="643"/>
        <item x="1183"/>
        <item x="186"/>
        <item x="335"/>
        <item x="1134"/>
        <item x="848"/>
        <item x="1054"/>
        <item x="1114"/>
        <item x="1"/>
        <item x="472"/>
        <item x="21"/>
        <item x="396"/>
        <item x="664"/>
        <item x="747"/>
        <item x="433"/>
        <item x="83"/>
        <item x="1137"/>
        <item x="232"/>
        <item x="1011"/>
        <item x="239"/>
        <item x="915"/>
        <item x="87"/>
        <item x="795"/>
        <item x="1024"/>
        <item x="1062"/>
        <item x="941"/>
        <item x="127"/>
        <item x="207"/>
        <item x="1165"/>
        <item x="367"/>
        <item x="269"/>
        <item x="298"/>
        <item x="15"/>
        <item x="619"/>
        <item x="1157"/>
        <item x="599"/>
        <item x="236"/>
        <item x="1085"/>
        <item x="565"/>
        <item x="939"/>
        <item x="554"/>
        <item x="702"/>
        <item x="1133"/>
        <item x="547"/>
        <item x="141"/>
        <item x="707"/>
        <item x="760"/>
        <item x="817"/>
        <item x="972"/>
        <item x="899"/>
        <item x="932"/>
        <item x="842"/>
        <item x="198"/>
        <item x="583"/>
        <item x="891"/>
        <item x="922"/>
        <item x="1012"/>
        <item x="1009"/>
        <item x="964"/>
        <item x="861"/>
        <item x="612"/>
        <item x="864"/>
        <item x="863"/>
        <item x="31"/>
        <item x="436"/>
        <item x="778"/>
        <item x="229"/>
        <item x="315"/>
        <item x="497"/>
        <item x="14"/>
        <item x="473"/>
        <item x="597"/>
        <item x="865"/>
        <item x="1089"/>
        <item x="352"/>
        <item x="228"/>
        <item x="808"/>
        <item x="61"/>
        <item x="580"/>
        <item x="385"/>
        <item x="831"/>
        <item x="167"/>
        <item x="104"/>
        <item x="47"/>
        <item x="695"/>
        <item x="967"/>
        <item x="76"/>
        <item x="1080"/>
        <item x="96"/>
        <item x="843"/>
        <item x="478"/>
        <item x="966"/>
        <item x="147"/>
        <item x="317"/>
        <item x="423"/>
        <item x="1005"/>
        <item x="1142"/>
        <item x="66"/>
        <item x="1092"/>
        <item x="611"/>
        <item x="494"/>
        <item x="850"/>
        <item x="150"/>
        <item x="1136"/>
        <item x="110"/>
        <item x="921"/>
        <item x="235"/>
        <item x="36"/>
        <item x="685"/>
        <item x="1047"/>
        <item x="744"/>
        <item x="275"/>
        <item x="725"/>
        <item x="763"/>
        <item x="138"/>
        <item x="736"/>
        <item x="1104"/>
        <item x="1108"/>
        <item x="906"/>
        <item x="388"/>
        <item x="336"/>
        <item x="320"/>
        <item x="16"/>
        <item x="884"/>
        <item x="355"/>
        <item x="280"/>
        <item x="465"/>
        <item x="34"/>
        <item x="53"/>
        <item x="787"/>
        <item x="1169"/>
        <item x="701"/>
        <item x="375"/>
        <item x="578"/>
        <item x="648"/>
        <item x="550"/>
        <item x="546"/>
        <item x="373"/>
        <item x="233"/>
        <item x="1156"/>
        <item x="753"/>
        <item x="521"/>
        <item x="940"/>
        <item x="1056"/>
        <item x="879"/>
        <item x="162"/>
        <item x="366"/>
        <item x="770"/>
        <item x="1111"/>
        <item x="925"/>
        <item x="968"/>
        <item x="457"/>
        <item x="797"/>
        <item x="667"/>
        <item x="620"/>
        <item x="268"/>
        <item x="735"/>
        <item x="41"/>
        <item x="1186"/>
        <item x="904"/>
        <item x="402"/>
        <item x="594"/>
        <item x="585"/>
        <item x="1060"/>
        <item x="1035"/>
        <item x="634"/>
        <item x="81"/>
        <item x="628"/>
        <item x="243"/>
        <item x="1090"/>
        <item x="116"/>
        <item x="800"/>
        <item x="897"/>
        <item x="384"/>
        <item x="426"/>
        <item x="294"/>
        <item x="866"/>
        <item x="1022"/>
        <item x="636"/>
        <item x="196"/>
        <item x="1192"/>
        <item x="1018"/>
        <item x="543"/>
        <item x="734"/>
        <item x="818"/>
        <item x="44"/>
        <item x="989"/>
        <item x="1073"/>
        <item x="740"/>
        <item x="976"/>
        <item x="1032"/>
        <item x="168"/>
        <item x="1123"/>
        <item x="819"/>
        <item x="210"/>
        <item x="929"/>
        <item x="698"/>
        <item x="530"/>
        <item x="279"/>
        <item x="413"/>
        <item x="390"/>
        <item x="1100"/>
        <item x="1088"/>
        <item x="119"/>
        <item x="659"/>
        <item x="638"/>
        <item x="985"/>
        <item x="838"/>
        <item x="983"/>
        <item x="587"/>
        <item x="488"/>
        <item x="1027"/>
        <item x="910"/>
        <item x="194"/>
        <item x="42"/>
        <item x="1094"/>
        <item x="646"/>
        <item x="368"/>
        <item x="68"/>
        <item x="807"/>
        <item x="708"/>
        <item x="642"/>
        <item x="844"/>
        <item x="490"/>
        <item x="657"/>
        <item x="890"/>
        <item x="257"/>
        <item x="89"/>
        <item x="542"/>
        <item x="485"/>
        <item x="959"/>
        <item x="5"/>
        <item x="556"/>
        <item x="1185"/>
        <item x="799"/>
        <item x="448"/>
        <item x="406"/>
        <item x="357"/>
        <item x="1014"/>
        <item x="1061"/>
        <item x="131"/>
        <item x="1077"/>
        <item x="502"/>
        <item x="440"/>
        <item x="248"/>
        <item x="226"/>
        <item x="651"/>
        <item x="532"/>
        <item x="445"/>
        <item x="480"/>
        <item x="610"/>
        <item x="1190"/>
        <item x="805"/>
        <item x="74"/>
        <item x="0"/>
        <item x="773"/>
        <item x="4"/>
        <item x="658"/>
        <item x="192"/>
        <item x="672"/>
        <item x="697"/>
        <item x="88"/>
        <item x="249"/>
        <item x="588"/>
        <item x="688"/>
        <item x="1144"/>
        <item x="942"/>
        <item x="806"/>
        <item x="82"/>
        <item x="1146"/>
        <item x="71"/>
        <item x="411"/>
        <item x="845"/>
        <item x="505"/>
        <item x="460"/>
        <item x="277"/>
        <item x="1059"/>
        <item x="64"/>
        <item x="67"/>
        <item x="561"/>
        <item x="750"/>
        <item x="1166"/>
        <item x="72"/>
        <item x="1194"/>
        <item x="1116"/>
        <item x="434"/>
        <item x="321"/>
        <item x="714"/>
        <item x="301"/>
        <item x="691"/>
        <item x="299"/>
        <item x="1121"/>
        <item x="409"/>
        <item x="781"/>
        <item x="965"/>
        <item x="1079"/>
        <item x="752"/>
        <item x="886"/>
        <item x="154"/>
        <item x="895"/>
        <item x="244"/>
        <item x="590"/>
        <item x="665"/>
        <item x="70"/>
        <item x="117"/>
        <item x="538"/>
        <item x="79"/>
        <item x="107"/>
        <item x="589"/>
        <item x="17"/>
        <item x="840"/>
        <item x="410"/>
        <item x="981"/>
        <item x="1048"/>
        <item x="977"/>
        <item x="476"/>
        <item x="331"/>
        <item x="979"/>
        <item x="316"/>
        <item x="454"/>
        <item x="815"/>
        <item x="769"/>
        <item x="259"/>
        <item x="140"/>
        <item x="305"/>
        <item x="630"/>
        <item x="573"/>
        <item x="518"/>
        <item x="812"/>
        <item x="23"/>
        <item x="1002"/>
        <item x="748"/>
        <item x="617"/>
        <item x="909"/>
        <item x="633"/>
        <item x="852"/>
        <item x="533"/>
        <item x="215"/>
        <item x="407"/>
        <item x="801"/>
        <item x="468"/>
        <item x="254"/>
        <item x="595"/>
        <item x="699"/>
        <item x="869"/>
        <item x="449"/>
        <item x="48"/>
        <item x="29"/>
        <item x="189"/>
        <item x="152"/>
        <item x="188"/>
        <item x="170"/>
        <item x="156"/>
        <item x="1095"/>
        <item x="737"/>
        <item x="851"/>
        <item x="730"/>
        <item x="582"/>
        <item x="185"/>
        <item x="22"/>
        <item x="1087"/>
        <item x="777"/>
        <item x="496"/>
        <item x="947"/>
        <item x="639"/>
        <item x="1036"/>
        <item x="199"/>
        <item x="558"/>
        <item x="560"/>
        <item x="513"/>
        <item x="365"/>
        <item x="447"/>
        <item x="246"/>
        <item x="693"/>
        <item x="516"/>
        <item x="1083"/>
        <item x="479"/>
        <item x="132"/>
        <item x="605"/>
        <item x="311"/>
        <item x="361"/>
        <item x="133"/>
        <item x="1037"/>
        <item x="754"/>
        <item x="2"/>
        <item x="1021"/>
        <item x="291"/>
        <item x="52"/>
        <item x="353"/>
        <item x="545"/>
        <item x="432"/>
        <item x="828"/>
        <item x="896"/>
        <item x="992"/>
        <item x="575"/>
        <item x="310"/>
        <item x="26"/>
        <item x="1082"/>
        <item x="627"/>
        <item x="264"/>
        <item x="470"/>
        <item x="1149"/>
        <item x="878"/>
        <item x="393"/>
        <item x="978"/>
        <item x="974"/>
        <item x="143"/>
        <item x="90"/>
        <item x="945"/>
        <item x="690"/>
        <item x="312"/>
        <item x="991"/>
        <item x="796"/>
        <item x="655"/>
        <item x="675"/>
        <item x="1193"/>
        <item x="302"/>
        <item x="338"/>
        <item x="935"/>
        <item x="990"/>
        <item x="970"/>
        <item x="930"/>
        <item x="33"/>
        <item x="114"/>
        <item x="84"/>
        <item x="161"/>
        <item x="883"/>
        <item x="414"/>
        <item x="509"/>
        <item x="1076"/>
        <item x="1181"/>
        <item x="846"/>
        <item x="1175"/>
        <item x="339"/>
        <item x="58"/>
        <item x="834"/>
        <item x="450"/>
        <item x="1151"/>
        <item x="290"/>
        <item x="7"/>
        <item x="771"/>
        <item x="557"/>
        <item x="934"/>
        <item x="984"/>
        <item x="296"/>
        <item x="417"/>
        <item x="511"/>
        <item x="203"/>
        <item x="1042"/>
        <item x="1110"/>
        <item x="266"/>
        <item x="256"/>
        <item x="73"/>
        <item x="579"/>
        <item x="419"/>
        <item x="1067"/>
        <item x="1051"/>
        <item x="300"/>
        <item x="718"/>
        <item x="666"/>
        <item x="224"/>
        <item x="872"/>
        <item x="1163"/>
        <item x="571"/>
        <item x="876"/>
        <item x="169"/>
        <item x="683"/>
        <item x="1188"/>
        <item x="1098"/>
        <item x="551"/>
        <item x="668"/>
        <item x="370"/>
        <item x="1055"/>
        <item x="950"/>
        <item x="77"/>
        <item x="996"/>
        <item x="383"/>
        <item x="995"/>
        <item x="880"/>
        <item x="905"/>
        <item x="531"/>
        <item x="178"/>
        <item x="559"/>
        <item x="306"/>
        <item x="176"/>
        <item x="772"/>
        <item x="847"/>
        <item x="225"/>
        <item x="955"/>
        <item x="369"/>
        <item x="231"/>
        <item x="1153"/>
        <item x="1041"/>
        <item x="282"/>
        <item x="604"/>
        <item x="785"/>
        <item x="653"/>
        <item x="600"/>
        <item x="262"/>
        <item x="80"/>
        <item x="669"/>
        <item x="794"/>
        <item x="835"/>
        <item x="427"/>
        <item x="1182"/>
        <item x="888"/>
        <item x="1128"/>
        <item x="721"/>
        <item x="204"/>
        <item x="759"/>
        <item x="180"/>
        <item x="1019"/>
        <item x="1155"/>
        <item x="821"/>
        <item x="825"/>
        <item x="1130"/>
        <item x="273"/>
        <item x="322"/>
        <item x="364"/>
        <item x="1140"/>
        <item x="6"/>
        <item x="789"/>
        <item x="738"/>
        <item x="238"/>
        <item x="868"/>
        <item x="128"/>
        <item x="187"/>
        <item x="623"/>
        <item x="181"/>
        <item x="823"/>
        <item x="208"/>
        <item x="953"/>
        <item x="517"/>
        <item x="857"/>
        <item x="510"/>
        <item x="227"/>
        <item x="1103"/>
        <item x="1159"/>
        <item x="679"/>
        <item x="126"/>
        <item x="988"/>
        <item x="304"/>
        <item x="689"/>
        <item x="705"/>
        <item x="549"/>
        <item x="536"/>
        <item x="1143"/>
        <item x="811"/>
        <item x="347"/>
        <item x="1040"/>
        <item x="398"/>
        <item x="182"/>
        <item x="641"/>
        <item x="951"/>
        <item x="1113"/>
        <item x="882"/>
        <item x="780"/>
        <item x="163"/>
        <item x="512"/>
        <item x="286"/>
        <item x="923"/>
        <item x="881"/>
        <item x="944"/>
        <item x="343"/>
        <item x="1058"/>
        <item x="153"/>
        <item x="425"/>
        <item x="766"/>
        <item x="422"/>
        <item x="608"/>
        <item x="498"/>
        <item x="278"/>
        <item x="681"/>
        <item x="1195"/>
        <item x="975"/>
        <item x="631"/>
        <item x="1154"/>
        <item x="1013"/>
        <item x="1109"/>
        <item x="741"/>
        <item x="486"/>
        <item x="431"/>
        <item x="313"/>
        <item x="762"/>
        <item x="35"/>
        <item x="234"/>
        <item x="790"/>
        <item x="591"/>
        <item x="404"/>
        <item x="503"/>
        <item x="446"/>
        <item x="678"/>
        <item x="456"/>
        <item x="481"/>
        <item x="1187"/>
        <item x="1127"/>
        <item x="401"/>
        <item x="341"/>
        <item x="980"/>
        <item x="230"/>
        <item x="418"/>
        <item x="893"/>
        <item x="201"/>
        <item x="652"/>
        <item x="359"/>
        <item x="350"/>
        <item x="713"/>
        <item x="986"/>
        <item x="520"/>
        <item x="798"/>
        <item x="572"/>
        <item x="95"/>
        <item x="46"/>
        <item x="20"/>
        <item x="541"/>
        <item x="694"/>
        <item x="415"/>
        <item x="632"/>
        <item x="764"/>
        <item x="804"/>
        <item x="333"/>
        <item x="687"/>
        <item x="656"/>
        <item x="400"/>
        <item x="733"/>
        <item x="969"/>
        <item x="11"/>
        <item x="416"/>
        <item x="757"/>
        <item x="482"/>
        <item x="898"/>
        <item x="758"/>
        <item x="430"/>
        <item x="65"/>
        <item x="661"/>
        <item x="1065"/>
        <item x="1126"/>
        <item x="786"/>
        <item x="175"/>
        <item x="8"/>
        <item x="1091"/>
        <item x="91"/>
        <item x="903"/>
        <item x="873"/>
        <item x="356"/>
        <item x="712"/>
        <item x="467"/>
        <item x="318"/>
        <item x="1003"/>
        <item x="112"/>
        <item x="1119"/>
        <item x="220"/>
        <item x="255"/>
        <item x="973"/>
        <item x="471"/>
        <item x="1010"/>
        <item x="377"/>
        <item x="1129"/>
        <item x="837"/>
        <item x="535"/>
        <item x="715"/>
        <item x="937"/>
        <item x="962"/>
        <item x="325"/>
        <item x="60"/>
        <item x="276"/>
        <item x="340"/>
        <item x="1029"/>
        <item x="1074"/>
        <item x="933"/>
        <item x="809"/>
        <item x="1064"/>
        <item x="700"/>
        <item x="166"/>
        <item x="165"/>
        <item x="871"/>
        <item x="43"/>
        <item x="751"/>
        <item x="242"/>
        <item x="555"/>
        <item x="793"/>
        <item x="106"/>
        <item x="1052"/>
        <item x="592"/>
        <item x="118"/>
        <item x="601"/>
        <item x="949"/>
        <item x="677"/>
        <item x="113"/>
        <item x="1031"/>
        <item x="802"/>
        <item x="743"/>
        <item x="309"/>
        <item x="676"/>
        <item x="51"/>
        <item x="997"/>
        <item x="332"/>
        <item x="441"/>
        <item x="570"/>
        <item x="854"/>
        <item x="618"/>
        <item x="122"/>
        <item x="598"/>
        <item x="1008"/>
        <item x="247"/>
        <item x="461"/>
        <item x="704"/>
        <item x="183"/>
        <item x="403"/>
        <item x="216"/>
        <item x="205"/>
        <item x="1118"/>
        <item x="768"/>
        <item x="1145"/>
        <item x="495"/>
        <item x="27"/>
        <item x="1152"/>
        <item x="3"/>
        <item x="130"/>
        <item x="829"/>
        <item x="13"/>
        <item x="101"/>
        <item x="856"/>
        <item x="155"/>
        <item x="926"/>
        <item x="640"/>
        <item x="124"/>
        <item x="567"/>
        <item x="501"/>
        <item x="392"/>
        <item x="936"/>
        <item x="822"/>
        <item x="1096"/>
        <item x="292"/>
        <item x="209"/>
        <item x="137"/>
        <item x="537"/>
        <item x="240"/>
        <item x="420"/>
        <item x="477"/>
        <item x="971"/>
        <item x="931"/>
        <item x="223"/>
        <item x="271"/>
        <item x="717"/>
        <item x="1107"/>
        <item x="263"/>
        <item x="1120"/>
        <item x="200"/>
        <item x="1063"/>
        <item x="483"/>
        <item x="1072"/>
        <item x="635"/>
        <item x="894"/>
        <item x="860"/>
        <item x="504"/>
        <item x="1102"/>
        <item x="686"/>
        <item x="508"/>
        <item x="1006"/>
        <item x="18"/>
        <item x="437"/>
        <item x="362"/>
        <item x="859"/>
        <item x="1078"/>
        <item x="524"/>
        <item x="1093"/>
        <item x="499"/>
        <item x="994"/>
        <item x="372"/>
        <item x="650"/>
        <item x="211"/>
        <item x="569"/>
        <item x="522"/>
        <item x="1000"/>
        <item x="540"/>
        <item x="376"/>
        <item x="998"/>
        <item x="252"/>
        <item x="917"/>
        <item x="836"/>
        <item x="327"/>
        <item x="397"/>
        <item x="159"/>
        <item x="674"/>
        <item x="85"/>
        <item x="782"/>
        <item x="348"/>
        <item x="251"/>
        <item x="358"/>
        <item x="919"/>
        <item x="1124"/>
        <item x="756"/>
        <item x="1044"/>
        <item x="548"/>
        <item x="184"/>
        <item x="948"/>
        <item x="527"/>
        <item x="525"/>
        <item x="1086"/>
        <item x="912"/>
        <item x="1071"/>
        <item x="342"/>
        <item x="1162"/>
        <item x="774"/>
        <item x="529"/>
        <item x="1017"/>
        <item x="1173"/>
        <item x="684"/>
        <item x="1191"/>
        <item x="568"/>
        <item x="716"/>
        <item x="719"/>
        <item x="491"/>
        <item x="563"/>
        <item x="810"/>
        <item x="596"/>
        <item x="1099"/>
        <item x="867"/>
        <item x="164"/>
        <item x="1039"/>
        <item x="957"/>
        <item x="523"/>
        <item x="125"/>
        <item x="1167"/>
        <item x="202"/>
        <item x="593"/>
        <item x="250"/>
        <item x="928"/>
        <item x="1197"/>
        <item x="814"/>
        <item x="1131"/>
        <item x="924"/>
        <item x="328"/>
        <item x="10"/>
        <item x="1097"/>
        <item x="458"/>
        <item x="1101"/>
        <item x="267"/>
        <item x="435"/>
        <item x="281"/>
        <item x="191"/>
        <item x="654"/>
        <item x="386"/>
        <item x="987"/>
        <item x="1161"/>
        <item x="626"/>
        <item x="663"/>
        <item x="389"/>
        <item x="19"/>
        <item x="484"/>
        <item x="827"/>
        <item x="56"/>
        <item x="553"/>
        <item x="1135"/>
        <item x="287"/>
        <item x="927"/>
        <item x="647"/>
        <item x="63"/>
        <item x="1196"/>
        <item x="295"/>
        <item x="157"/>
        <item x="272"/>
        <item t="default"/>
      </items>
    </pivotField>
    <pivotField showAll="0"/>
    <pivotField showAll="0"/>
    <pivotField showAll="0">
      <items count="17">
        <item x="1"/>
        <item x="13"/>
        <item x="3"/>
        <item x="12"/>
        <item x="7"/>
        <item x="6"/>
        <item x="8"/>
        <item x="0"/>
        <item x="14"/>
        <item x="4"/>
        <item x="10"/>
        <item x="9"/>
        <item x="15"/>
        <item x="11"/>
        <item x="5"/>
        <item x="2"/>
        <item t="default"/>
      </items>
    </pivotField>
    <pivotField showAll="0"/>
    <pivotField numFmtId="10" showAll="0"/>
    <pivotField numFmtId="10" showAll="0">
      <items count="1201">
        <item x="19"/>
        <item x="191"/>
        <item x="379"/>
        <item x="1089"/>
        <item x="343"/>
        <item x="1194"/>
        <item x="1175"/>
        <item x="335"/>
        <item x="840"/>
        <item x="180"/>
        <item x="223"/>
        <item x="920"/>
        <item x="846"/>
        <item x="435"/>
        <item x="1053"/>
        <item x="595"/>
        <item x="187"/>
        <item x="354"/>
        <item x="1073"/>
        <item x="224"/>
        <item x="735"/>
        <item x="126"/>
        <item x="716"/>
        <item x="1101"/>
        <item x="618"/>
        <item x="1133"/>
        <item x="828"/>
        <item x="202"/>
        <item x="474"/>
        <item x="940"/>
        <item x="698"/>
        <item x="650"/>
        <item x="619"/>
        <item x="1143"/>
        <item x="714"/>
        <item x="436"/>
        <item x="931"/>
        <item x="346"/>
        <item x="362"/>
        <item x="423"/>
        <item x="722"/>
        <item x="980"/>
        <item x="752"/>
        <item x="554"/>
        <item x="409"/>
        <item x="569"/>
        <item x="553"/>
        <item x="164"/>
        <item x="271"/>
        <item x="56"/>
        <item x="415"/>
        <item x="63"/>
        <item x="22"/>
        <item x="712"/>
        <item x="1165"/>
        <item x="7"/>
        <item x="1193"/>
        <item x="72"/>
        <item x="639"/>
        <item x="792"/>
        <item x="287"/>
        <item x="759"/>
        <item x="272"/>
        <item x="1062"/>
        <item x="995"/>
        <item x="357"/>
        <item x="625"/>
        <item x="176"/>
        <item x="1136"/>
        <item x="1008"/>
        <item x="1164"/>
        <item x="294"/>
        <item x="199"/>
        <item x="157"/>
        <item x="1000"/>
        <item x="153"/>
        <item x="10"/>
        <item x="1173"/>
        <item x="1199"/>
        <item x="475"/>
        <item x="485"/>
        <item x="184"/>
        <item x="890"/>
        <item x="918"/>
        <item x="1180"/>
        <item x="922"/>
        <item x="923"/>
        <item x="131"/>
        <item x="999"/>
        <item x="295"/>
        <item x="1030"/>
        <item x="641"/>
        <item x="159"/>
        <item x="967"/>
        <item x="675"/>
        <item x="15"/>
        <item x="459"/>
        <item x="528"/>
        <item x="526"/>
        <item x="949"/>
        <item x="655"/>
        <item x="1168"/>
        <item x="234"/>
        <item x="1036"/>
        <item x="868"/>
        <item x="450"/>
        <item x="163"/>
        <item x="368"/>
        <item x="904"/>
        <item x="916"/>
        <item x="991"/>
        <item x="1184"/>
        <item x="1105"/>
        <item x="1191"/>
        <item x="808"/>
        <item x="571"/>
        <item x="256"/>
        <item x="1041"/>
        <item x="648"/>
        <item x="1104"/>
        <item x="627"/>
        <item x="958"/>
        <item x="353"/>
        <item x="161"/>
        <item x="541"/>
        <item x="837"/>
        <item x="676"/>
        <item x="622"/>
        <item x="817"/>
        <item x="628"/>
        <item x="64"/>
        <item x="895"/>
        <item x="860"/>
        <item x="179"/>
        <item x="21"/>
        <item x="401"/>
        <item x="113"/>
        <item x="600"/>
        <item x="963"/>
        <item x="387"/>
        <item x="1045"/>
        <item x="876"/>
        <item x="533"/>
        <item x="720"/>
        <item x="898"/>
        <item x="332"/>
        <item x="1017"/>
        <item x="613"/>
        <item x="6"/>
        <item x="135"/>
        <item x="1178"/>
        <item x="530"/>
        <item x="897"/>
        <item x="93"/>
        <item x="993"/>
        <item x="414"/>
        <item x="192"/>
        <item x="612"/>
        <item x="928"/>
        <item x="1163"/>
        <item x="1071"/>
        <item x="773"/>
        <item x="27"/>
        <item x="764"/>
        <item x="1190"/>
        <item x="593"/>
        <item x="832"/>
        <item x="574"/>
        <item x="149"/>
        <item x="371"/>
        <item x="1198"/>
        <item x="279"/>
        <item x="657"/>
        <item x="691"/>
        <item x="315"/>
        <item x="929"/>
        <item x="250"/>
        <item x="952"/>
        <item x="869"/>
        <item x="758"/>
        <item x="565"/>
        <item x="185"/>
        <item x="442"/>
        <item x="558"/>
        <item x="664"/>
        <item x="727"/>
        <item x="537"/>
        <item x="859"/>
        <item x="624"/>
        <item x="128"/>
        <item x="456"/>
        <item x="1103"/>
        <item x="1112"/>
        <item x="1013"/>
        <item x="1066"/>
        <item x="810"/>
        <item x="653"/>
        <item x="997"/>
        <item x="768"/>
        <item x="504"/>
        <item x="924"/>
        <item x="310"/>
        <item x="1099"/>
        <item x="629"/>
        <item x="732"/>
        <item x="597"/>
        <item x="961"/>
        <item x="377"/>
        <item x="1115"/>
        <item x="936"/>
        <item x="503"/>
        <item x="855"/>
        <item x="775"/>
        <item x="919"/>
        <item x="281"/>
        <item x="303"/>
        <item x="385"/>
        <item x="482"/>
        <item x="564"/>
        <item x="581"/>
        <item x="361"/>
        <item x="734"/>
        <item x="125"/>
        <item x="577"/>
        <item x="524"/>
        <item x="915"/>
        <item x="847"/>
        <item x="85"/>
        <item x="1029"/>
        <item x="243"/>
        <item x="1174"/>
        <item x="25"/>
        <item x="851"/>
        <item x="925"/>
        <item x="751"/>
        <item x="416"/>
        <item x="685"/>
        <item x="173"/>
        <item x="1192"/>
        <item x="309"/>
        <item x="891"/>
        <item x="1019"/>
        <item x="681"/>
        <item x="1048"/>
        <item x="1001"/>
        <item x="227"/>
        <item x="836"/>
        <item x="174"/>
        <item x="419"/>
        <item x="299"/>
        <item x="984"/>
        <item x="1088"/>
        <item x="643"/>
        <item x="746"/>
        <item x="570"/>
        <item x="976"/>
        <item x="438"/>
        <item x="1111"/>
        <item x="791"/>
        <item x="844"/>
        <item x="856"/>
        <item x="508"/>
        <item x="1172"/>
        <item x="1070"/>
        <item x="692"/>
        <item x="1102"/>
        <item x="1169"/>
        <item x="834"/>
        <item x="709"/>
        <item x="575"/>
        <item x="989"/>
        <item x="1006"/>
        <item x="974"/>
        <item x="862"/>
        <item x="1149"/>
        <item x="525"/>
        <item x="696"/>
        <item x="24"/>
        <item x="489"/>
        <item x="1065"/>
        <item x="580"/>
        <item x="3"/>
        <item x="136"/>
        <item x="382"/>
        <item x="608"/>
        <item x="896"/>
        <item x="737"/>
        <item x="1181"/>
        <item x="1114"/>
        <item x="1100"/>
        <item x="977"/>
        <item x="319"/>
        <item x="392"/>
        <item x="731"/>
        <item x="684"/>
        <item x="717"/>
        <item x="1052"/>
        <item x="550"/>
        <item x="421"/>
        <item x="1195"/>
        <item x="505"/>
        <item x="988"/>
        <item x="440"/>
        <item x="1106"/>
        <item x="251"/>
        <item x="132"/>
        <item x="585"/>
        <item x="122"/>
        <item x="557"/>
        <item x="1078"/>
        <item x="973"/>
        <item x="424"/>
        <item x="704"/>
        <item x="216"/>
        <item x="509"/>
        <item x="695"/>
        <item x="799"/>
        <item x="292"/>
        <item x="484"/>
        <item x="913"/>
        <item x="340"/>
        <item x="818"/>
        <item x="257"/>
        <item x="826"/>
        <item x="34"/>
        <item x="144"/>
        <item x="258"/>
        <item x="715"/>
        <item x="880"/>
        <item x="403"/>
        <item x="957"/>
        <item x="453"/>
        <item x="408"/>
        <item x="552"/>
        <item x="757"/>
        <item x="790"/>
        <item x="1129"/>
        <item x="325"/>
        <item x="322"/>
        <item x="451"/>
        <item x="892"/>
        <item x="1148"/>
        <item x="1147"/>
        <item x="5"/>
        <item x="40"/>
        <item x="780"/>
        <item x="211"/>
        <item x="349"/>
        <item x="604"/>
        <item x="209"/>
        <item x="914"/>
        <item x="535"/>
        <item x="599"/>
        <item x="861"/>
        <item x="682"/>
        <item x="488"/>
        <item x="308"/>
        <item x="18"/>
        <item x="455"/>
        <item x="114"/>
        <item x="549"/>
        <item x="738"/>
        <item x="582"/>
        <item x="874"/>
        <item x="711"/>
        <item x="1171"/>
        <item x="468"/>
        <item x="671"/>
        <item x="733"/>
        <item x="1024"/>
        <item x="1188"/>
        <item x="158"/>
        <item x="870"/>
        <item x="140"/>
        <item x="1043"/>
        <item x="932"/>
        <item x="265"/>
        <item x="926"/>
        <item x="998"/>
        <item x="333"/>
        <item x="555"/>
        <item x="1074"/>
        <item x="556"/>
        <item x="983"/>
        <item x="244"/>
        <item x="786"/>
        <item x="1179"/>
        <item x="1109"/>
        <item x="1137"/>
        <item x="342"/>
        <item x="1142"/>
        <item x="821"/>
        <item x="783"/>
        <item x="252"/>
        <item x="270"/>
        <item x="118"/>
        <item x="774"/>
        <item x="819"/>
        <item x="743"/>
        <item x="854"/>
        <item x="420"/>
        <item x="772"/>
        <item x="1056"/>
        <item x="718"/>
        <item x="586"/>
        <item x="602"/>
        <item x="188"/>
        <item x="220"/>
        <item x="945"/>
        <item x="280"/>
        <item x="1126"/>
        <item x="134"/>
        <item x="742"/>
        <item x="205"/>
        <item x="1154"/>
        <item x="813"/>
        <item x="1046"/>
        <item x="105"/>
        <item x="238"/>
        <item x="493"/>
        <item x="583"/>
        <item x="1095"/>
        <item x="249"/>
        <item x="1122"/>
        <item x="2"/>
        <item x="838"/>
        <item x="189"/>
        <item x="418"/>
        <item x="89"/>
        <item x="815"/>
        <item x="713"/>
        <item x="406"/>
        <item x="933"/>
        <item x="355"/>
        <item x="1153"/>
        <item x="106"/>
        <item x="367"/>
        <item x="101"/>
        <item x="534"/>
        <item x="390"/>
        <item x="359"/>
        <item x="1096"/>
        <item x="795"/>
        <item x="749"/>
        <item x="568"/>
        <item x="284"/>
        <item x="88"/>
        <item x="275"/>
        <item x="69"/>
        <item x="490"/>
        <item x="1003"/>
        <item x="822"/>
        <item x="1050"/>
        <item x="516"/>
        <item x="328"/>
        <item x="130"/>
        <item x="247"/>
        <item x="373"/>
        <item x="214"/>
        <item x="222"/>
        <item x="398"/>
        <item x="84"/>
        <item x="96"/>
        <item x="1007"/>
        <item x="242"/>
        <item x="1002"/>
        <item x="649"/>
        <item x="578"/>
        <item x="673"/>
        <item x="992"/>
        <item x="1177"/>
        <item x="200"/>
        <item x="523"/>
        <item x="35"/>
        <item x="393"/>
        <item x="785"/>
        <item x="806"/>
        <item x="481"/>
        <item x="687"/>
        <item x="934"/>
        <item x="207"/>
        <item x="666"/>
        <item x="302"/>
        <item x="544"/>
        <item x="269"/>
        <item x="73"/>
        <item x="954"/>
        <item x="264"/>
        <item x="286"/>
        <item x="465"/>
        <item x="950"/>
        <item x="776"/>
        <item x="948"/>
        <item x="823"/>
        <item x="231"/>
        <item x="1110"/>
        <item x="1072"/>
        <item x="388"/>
        <item x="987"/>
        <item x="1022"/>
        <item x="267"/>
        <item x="116"/>
        <item x="183"/>
        <item x="1076"/>
        <item x="107"/>
        <item x="363"/>
        <item x="1063"/>
        <item x="594"/>
        <item x="326"/>
        <item x="1189"/>
        <item x="576"/>
        <item x="365"/>
        <item x="1031"/>
        <item x="883"/>
        <item x="800"/>
        <item x="1009"/>
        <item x="473"/>
        <item x="263"/>
        <item x="68"/>
        <item x="208"/>
        <item x="972"/>
        <item x="374"/>
        <item x="329"/>
        <item x="1033"/>
        <item x="959"/>
        <item x="1012"/>
        <item x="389"/>
        <item x="767"/>
        <item x="276"/>
        <item x="148"/>
        <item x="680"/>
        <item x="502"/>
        <item x="169"/>
        <item x="457"/>
        <item x="590"/>
        <item x="1058"/>
        <item x="1079"/>
        <item x="364"/>
        <item x="301"/>
        <item x="921"/>
        <item x="659"/>
        <item x="763"/>
        <item x="141"/>
        <item x="739"/>
        <item x="781"/>
        <item x="1134"/>
        <item x="434"/>
        <item x="937"/>
        <item x="344"/>
        <item x="178"/>
        <item x="689"/>
        <item x="147"/>
        <item x="466"/>
        <item x="522"/>
        <item x="311"/>
        <item x="640"/>
        <item x="540"/>
        <item x="1087"/>
        <item x="422"/>
        <item x="877"/>
        <item x="886"/>
        <item x="517"/>
        <item x="240"/>
        <item x="1131"/>
        <item x="793"/>
        <item x="560"/>
        <item x="1170"/>
        <item x="1005"/>
        <item x="1080"/>
        <item x="761"/>
        <item x="705"/>
        <item x="103"/>
        <item x="198"/>
        <item x="589"/>
        <item x="43"/>
        <item x="850"/>
        <item x="143"/>
        <item x="798"/>
        <item x="291"/>
        <item x="300"/>
        <item x="404"/>
        <item x="296"/>
        <item x="110"/>
        <item x="228"/>
        <item x="884"/>
        <item x="563"/>
        <item x="53"/>
        <item x="76"/>
        <item x="75"/>
        <item x="964"/>
        <item x="426"/>
        <item x="397"/>
        <item x="942"/>
        <item x="762"/>
        <item x="981"/>
        <item x="1069"/>
        <item x="1023"/>
        <item x="225"/>
        <item x="965"/>
        <item x="431"/>
        <item x="99"/>
        <item x="760"/>
        <item x="137"/>
        <item x="41"/>
        <item x="1098"/>
        <item x="725"/>
        <item x="605"/>
        <item x="852"/>
        <item x="656"/>
        <item x="827"/>
        <item x="769"/>
        <item x="233"/>
        <item x="744"/>
        <item x="124"/>
        <item x="700"/>
        <item x="127"/>
        <item x="543"/>
        <item x="536"/>
        <item x="1176"/>
        <item x="55"/>
        <item x="331"/>
        <item x="1047"/>
        <item x="1128"/>
        <item x="410"/>
        <item x="229"/>
        <item x="472"/>
        <item x="95"/>
        <item x="358"/>
        <item x="461"/>
        <item x="845"/>
        <item x="908"/>
        <item x="60"/>
        <item x="478"/>
        <item x="458"/>
        <item x="492"/>
        <item x="1068"/>
        <item x="542"/>
        <item x="375"/>
        <item x="1075"/>
        <item x="491"/>
        <item x="538"/>
        <item x="1083"/>
        <item x="1120"/>
        <item x="166"/>
        <item x="888"/>
        <item x="181"/>
        <item x="811"/>
        <item x="882"/>
        <item x="678"/>
        <item x="1091"/>
        <item x="825"/>
        <item x="1092"/>
        <item x="708"/>
        <item x="971"/>
        <item x="378"/>
        <item x="642"/>
        <item x="947"/>
        <item x="282"/>
        <item x="1020"/>
        <item x="927"/>
        <item x="903"/>
        <item x="1057"/>
        <item x="384"/>
        <item x="79"/>
        <item x="155"/>
        <item x="383"/>
        <item x="501"/>
        <item x="766"/>
        <item x="879"/>
        <item x="65"/>
        <item x="636"/>
        <item x="236"/>
        <item x="1059"/>
        <item x="651"/>
        <item x="496"/>
        <item x="360"/>
        <item x="445"/>
        <item x="1040"/>
        <item x="985"/>
        <item x="171"/>
        <item x="745"/>
        <item x="966"/>
        <item x="334"/>
        <item x="97"/>
        <item x="1144"/>
        <item x="59"/>
        <item x="306"/>
        <item x="905"/>
        <item x="370"/>
        <item x="1011"/>
        <item x="679"/>
        <item x="145"/>
        <item x="146"/>
        <item x="469"/>
        <item x="857"/>
        <item x="899"/>
        <item x="787"/>
        <item x="8"/>
        <item x="946"/>
        <item x="572"/>
        <item x="669"/>
        <item x="506"/>
        <item x="1157"/>
        <item x="824"/>
        <item x="104"/>
        <item x="356"/>
        <item x="1162"/>
        <item x="912"/>
        <item x="196"/>
        <item x="441"/>
        <item x="61"/>
        <item x="91"/>
        <item x="901"/>
        <item x="92"/>
        <item x="14"/>
        <item x="614"/>
        <item x="1197"/>
        <item x="728"/>
        <item x="1145"/>
        <item x="730"/>
        <item x="784"/>
        <item x="112"/>
        <item x="314"/>
        <item x="683"/>
        <item x="1039"/>
        <item x="843"/>
        <item x="782"/>
        <item x="98"/>
        <item x="1158"/>
        <item x="248"/>
        <item x="1127"/>
        <item x="1038"/>
        <item x="437"/>
        <item x="559"/>
        <item x="740"/>
        <item x="830"/>
        <item x="0"/>
        <item x="462"/>
        <item x="463"/>
        <item x="956"/>
        <item x="460"/>
        <item x="756"/>
        <item x="439"/>
        <item x="36"/>
        <item x="394"/>
        <item x="241"/>
        <item x="9"/>
        <item x="167"/>
        <item x="232"/>
        <item x="31"/>
        <item x="566"/>
        <item x="288"/>
        <item x="432"/>
        <item x="318"/>
        <item x="52"/>
        <item x="1004"/>
        <item x="13"/>
        <item x="16"/>
        <item x="601"/>
        <item x="1054"/>
        <item x="412"/>
        <item x="1016"/>
        <item x="1055"/>
        <item x="1090"/>
        <item x="894"/>
        <item x="765"/>
        <item x="994"/>
        <item x="647"/>
        <item x="616"/>
        <item x="117"/>
        <item x="42"/>
        <item x="978"/>
        <item x="156"/>
        <item x="1028"/>
        <item x="237"/>
        <item x="701"/>
        <item x="154"/>
        <item x="975"/>
        <item x="1025"/>
        <item x="186"/>
        <item x="777"/>
        <item x="848"/>
        <item x="1014"/>
        <item x="1146"/>
        <item x="592"/>
        <item x="867"/>
        <item x="1161"/>
        <item x="1015"/>
        <item x="519"/>
        <item x="688"/>
        <item x="289"/>
        <item x="351"/>
        <item x="803"/>
        <item x="794"/>
        <item x="729"/>
        <item x="239"/>
        <item x="1121"/>
        <item x="654"/>
        <item x="215"/>
        <item x="849"/>
        <item x="812"/>
        <item x="1135"/>
        <item x="1160"/>
        <item x="165"/>
        <item x="955"/>
        <item x="617"/>
        <item x="119"/>
        <item x="400"/>
        <item x="662"/>
        <item x="548"/>
        <item x="866"/>
        <item x="313"/>
        <item x="551"/>
        <item x="1185"/>
        <item x="206"/>
        <item x="753"/>
        <item x="1152"/>
        <item x="521"/>
        <item x="833"/>
        <item x="863"/>
        <item x="111"/>
        <item x="677"/>
        <item x="906"/>
        <item x="816"/>
        <item x="66"/>
        <item x="413"/>
        <item x="278"/>
        <item x="51"/>
        <item x="1141"/>
        <item x="28"/>
        <item x="665"/>
        <item x="476"/>
        <item x="58"/>
        <item x="839"/>
        <item x="660"/>
        <item x="204"/>
        <item x="1037"/>
        <item x="1108"/>
        <item x="139"/>
        <item x="872"/>
        <item x="193"/>
        <item x="1116"/>
        <item x="741"/>
        <item x="444"/>
        <item x="630"/>
        <item x="1093"/>
        <item x="86"/>
        <item x="706"/>
        <item x="893"/>
        <item x="944"/>
        <item x="213"/>
        <item x="133"/>
        <item x="515"/>
        <item x="907"/>
        <item x="467"/>
        <item x="255"/>
        <item x="305"/>
        <item x="637"/>
        <item x="842"/>
        <item x="938"/>
        <item x="33"/>
        <item x="633"/>
        <item x="809"/>
        <item x="1156"/>
        <item x="805"/>
        <item x="694"/>
        <item x="339"/>
        <item x="427"/>
        <item x="454"/>
        <item x="499"/>
        <item x="968"/>
        <item x="672"/>
        <item x="1113"/>
        <item x="670"/>
        <item x="307"/>
        <item x="667"/>
        <item x="197"/>
        <item x="520"/>
        <item x="1167"/>
        <item x="486"/>
        <item x="293"/>
        <item x="402"/>
        <item x="1"/>
        <item x="770"/>
        <item x="285"/>
        <item x="889"/>
        <item x="661"/>
        <item x="20"/>
        <item x="532"/>
        <item x="858"/>
        <item x="609"/>
        <item x="23"/>
        <item x="500"/>
        <item x="820"/>
        <item x="47"/>
        <item x="513"/>
        <item x="873"/>
        <item x="1186"/>
        <item x="801"/>
        <item x="324"/>
        <item x="320"/>
        <item x="982"/>
        <item x="1061"/>
        <item x="46"/>
        <item x="1067"/>
        <item x="771"/>
        <item x="621"/>
        <item x="789"/>
        <item x="477"/>
        <item x="120"/>
        <item x="1132"/>
        <item x="70"/>
        <item x="1150"/>
        <item x="366"/>
        <item x="969"/>
        <item x="610"/>
        <item x="87"/>
        <item x="686"/>
        <item x="428"/>
        <item x="32"/>
        <item x="338"/>
        <item x="724"/>
        <item x="1182"/>
        <item x="539"/>
        <item x="547"/>
        <item x="494"/>
        <item x="1027"/>
        <item x="1042"/>
        <item x="429"/>
        <item x="268"/>
        <item x="260"/>
        <item x="878"/>
        <item x="471"/>
        <item x="259"/>
        <item x="142"/>
        <item x="94"/>
        <item x="283"/>
        <item x="201"/>
        <item x="917"/>
        <item x="1051"/>
        <item x="887"/>
        <item x="996"/>
        <item x="323"/>
        <item x="483"/>
        <item x="464"/>
        <item x="190"/>
        <item x="990"/>
        <item x="511"/>
        <item x="312"/>
        <item x="710"/>
        <item x="381"/>
        <item x="1107"/>
        <item x="11"/>
        <item x="274"/>
        <item x="900"/>
        <item x="77"/>
        <item x="778"/>
        <item x="405"/>
        <item x="573"/>
        <item x="45"/>
        <item x="102"/>
        <item x="970"/>
        <item x="1077"/>
        <item x="603"/>
        <item x="380"/>
        <item x="909"/>
        <item x="417"/>
        <item x="1097"/>
        <item x="218"/>
        <item x="587"/>
        <item x="109"/>
        <item x="470"/>
        <item x="336"/>
        <item x="261"/>
        <item x="447"/>
        <item x="221"/>
        <item x="83"/>
        <item x="80"/>
        <item x="510"/>
        <item x="1034"/>
        <item x="674"/>
        <item x="50"/>
        <item x="1196"/>
        <item x="1159"/>
        <item x="230"/>
        <item x="348"/>
        <item x="449"/>
        <item x="588"/>
        <item x="902"/>
        <item x="606"/>
        <item x="1035"/>
        <item x="607"/>
        <item x="507"/>
        <item x="853"/>
        <item x="210"/>
        <item x="645"/>
        <item x="631"/>
        <item x="396"/>
        <item x="448"/>
        <item x="67"/>
        <item x="807"/>
        <item x="345"/>
        <item x="57"/>
        <item x="498"/>
        <item x="518"/>
        <item x="160"/>
        <item x="123"/>
        <item x="1183"/>
        <item x="446"/>
        <item x="433"/>
        <item x="699"/>
        <item x="253"/>
        <item x="546"/>
        <item x="129"/>
        <item x="1044"/>
        <item x="598"/>
        <item x="78"/>
        <item x="979"/>
        <item x="316"/>
        <item x="623"/>
        <item x="626"/>
        <item x="411"/>
        <item x="960"/>
        <item x="235"/>
        <item x="81"/>
        <item x="487"/>
        <item x="962"/>
        <item x="82"/>
        <item x="754"/>
        <item x="391"/>
        <item x="707"/>
        <item x="1138"/>
        <item x="831"/>
        <item x="1139"/>
        <item x="26"/>
        <item x="632"/>
        <item x="638"/>
        <item x="615"/>
        <item x="30"/>
        <item x="44"/>
        <item x="172"/>
        <item x="182"/>
        <item x="266"/>
        <item x="881"/>
        <item x="951"/>
        <item x="203"/>
        <item x="1151"/>
        <item x="273"/>
        <item x="12"/>
        <item x="430"/>
        <item x="29"/>
        <item x="443"/>
        <item x="1082"/>
        <item x="321"/>
        <item x="170"/>
        <item x="386"/>
        <item x="1086"/>
        <item x="219"/>
        <item x="584"/>
        <item x="1119"/>
        <item x="217"/>
        <item x="327"/>
        <item x="1084"/>
        <item x="1049"/>
        <item x="723"/>
        <item x="1085"/>
        <item x="1026"/>
        <item x="246"/>
        <item x="865"/>
        <item x="871"/>
        <item x="407"/>
        <item x="479"/>
        <item x="138"/>
        <item x="690"/>
        <item x="100"/>
        <item x="875"/>
        <item x="693"/>
        <item x="352"/>
        <item x="939"/>
        <item x="1166"/>
        <item x="591"/>
        <item x="747"/>
        <item x="829"/>
        <item x="1094"/>
        <item x="1123"/>
        <item x="797"/>
        <item x="1032"/>
        <item x="841"/>
        <item x="941"/>
        <item x="721"/>
        <item x="277"/>
        <item x="4"/>
        <item x="796"/>
        <item x="399"/>
        <item x="376"/>
        <item x="17"/>
        <item x="658"/>
        <item x="562"/>
        <item x="750"/>
        <item x="115"/>
        <item x="620"/>
        <item x="986"/>
        <item x="702"/>
        <item x="48"/>
        <item x="703"/>
        <item x="226"/>
        <item x="1187"/>
        <item x="37"/>
        <item x="596"/>
        <item x="341"/>
        <item x="347"/>
        <item x="1140"/>
        <item x="497"/>
        <item x="663"/>
        <item x="1010"/>
        <item x="635"/>
        <item x="1021"/>
        <item x="545"/>
        <item x="531"/>
        <item x="369"/>
        <item x="54"/>
        <item x="304"/>
        <item x="611"/>
        <item x="150"/>
        <item x="108"/>
        <item x="121"/>
        <item x="1081"/>
        <item x="337"/>
        <item x="748"/>
        <item x="726"/>
        <item x="39"/>
        <item x="480"/>
        <item x="634"/>
        <item x="527"/>
        <item x="788"/>
        <item x="350"/>
        <item x="864"/>
        <item x="561"/>
        <item x="804"/>
        <item x="194"/>
        <item x="62"/>
        <item x="1124"/>
        <item x="1018"/>
        <item x="317"/>
        <item x="1155"/>
        <item x="567"/>
        <item x="74"/>
        <item x="652"/>
        <item x="254"/>
        <item x="90"/>
        <item x="930"/>
        <item x="885"/>
        <item x="290"/>
        <item x="262"/>
        <item x="372"/>
        <item x="579"/>
        <item x="644"/>
        <item x="195"/>
        <item x="814"/>
        <item x="911"/>
        <item x="297"/>
        <item x="779"/>
        <item x="298"/>
        <item x="177"/>
        <item x="212"/>
        <item x="1130"/>
        <item x="495"/>
        <item x="646"/>
        <item x="935"/>
        <item x="1118"/>
        <item x="529"/>
        <item x="175"/>
        <item x="755"/>
        <item x="910"/>
        <item x="1117"/>
        <item x="1125"/>
        <item x="514"/>
        <item x="802"/>
        <item x="697"/>
        <item x="835"/>
        <item x="452"/>
        <item x="71"/>
        <item x="953"/>
        <item x="395"/>
        <item x="168"/>
        <item x="943"/>
        <item x="151"/>
        <item x="162"/>
        <item x="1060"/>
        <item x="719"/>
        <item x="49"/>
        <item x="668"/>
        <item x="245"/>
        <item x="736"/>
        <item x="152"/>
        <item x="330"/>
        <item x="512"/>
        <item x="38"/>
        <item x="1064"/>
        <item x="42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dragToRow="0" dragToCol="0" dragToPage="0" showAll="0" defaultSubtotal="0"/>
  </pivotFields>
  <rowFields count="1">
    <field x="2"/>
  </rowFields>
  <rowItems count="5">
    <i>
      <x/>
    </i>
    <i>
      <x v="1"/>
    </i>
    <i>
      <x v="2"/>
    </i>
    <i>
      <x v="3"/>
    </i>
    <i t="grand">
      <x/>
    </i>
  </rowItems>
  <colItems count="1">
    <i/>
  </colItems>
  <dataFields count="1">
    <dataField name="Sum of Revenue_USD"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5C6296C-B1E5-411A-A7C5-4B2D65BDD757}"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Sales Channel">
  <location ref="A85:A86" firstHeaderRow="1" firstDataRow="1" firstDataCol="0"/>
  <pivotFields count="16">
    <pivotField numFmtId="14" showAll="0">
      <items count="601">
        <item x="79"/>
        <item x="511"/>
        <item x="199"/>
        <item x="86"/>
        <item x="123"/>
        <item x="525"/>
        <item x="29"/>
        <item x="99"/>
        <item x="467"/>
        <item x="346"/>
        <item x="559"/>
        <item x="325"/>
        <item x="52"/>
        <item x="138"/>
        <item x="242"/>
        <item x="151"/>
        <item x="168"/>
        <item x="300"/>
        <item x="313"/>
        <item x="442"/>
        <item x="422"/>
        <item x="187"/>
        <item x="225"/>
        <item x="159"/>
        <item x="380"/>
        <item x="165"/>
        <item x="431"/>
        <item x="474"/>
        <item x="512"/>
        <item x="144"/>
        <item x="154"/>
        <item x="73"/>
        <item x="129"/>
        <item x="360"/>
        <item x="108"/>
        <item x="88"/>
        <item x="318"/>
        <item x="460"/>
        <item x="358"/>
        <item x="553"/>
        <item x="43"/>
        <item x="240"/>
        <item x="424"/>
        <item x="207"/>
        <item x="447"/>
        <item x="569"/>
        <item x="576"/>
        <item x="149"/>
        <item x="173"/>
        <item x="222"/>
        <item x="537"/>
        <item x="493"/>
        <item x="497"/>
        <item x="49"/>
        <item x="238"/>
        <item x="364"/>
        <item x="492"/>
        <item x="304"/>
        <item x="558"/>
        <item x="290"/>
        <item x="87"/>
        <item x="509"/>
        <item x="139"/>
        <item x="298"/>
        <item x="219"/>
        <item x="117"/>
        <item x="428"/>
        <item x="591"/>
        <item x="175"/>
        <item x="102"/>
        <item x="323"/>
        <item x="599"/>
        <item x="595"/>
        <item x="375"/>
        <item x="554"/>
        <item x="80"/>
        <item x="122"/>
        <item x="486"/>
        <item x="51"/>
        <item x="314"/>
        <item x="205"/>
        <item x="0"/>
        <item x="39"/>
        <item x="388"/>
        <item x="434"/>
        <item x="189"/>
        <item x="137"/>
        <item x="93"/>
        <item x="84"/>
        <item x="438"/>
        <item x="120"/>
        <item x="127"/>
        <item x="177"/>
        <item x="295"/>
        <item x="47"/>
        <item x="152"/>
        <item x="403"/>
        <item x="232"/>
        <item x="582"/>
        <item x="289"/>
        <item x="46"/>
        <item x="475"/>
        <item x="371"/>
        <item x="167"/>
        <item x="261"/>
        <item x="389"/>
        <item x="188"/>
        <item x="457"/>
        <item x="463"/>
        <item x="367"/>
        <item x="355"/>
        <item x="294"/>
        <item x="465"/>
        <item x="118"/>
        <item x="251"/>
        <item x="212"/>
        <item x="254"/>
        <item x="476"/>
        <item x="478"/>
        <item x="423"/>
        <item x="69"/>
        <item x="27"/>
        <item x="437"/>
        <item x="31"/>
        <item x="310"/>
        <item x="377"/>
        <item x="521"/>
        <item x="311"/>
        <item x="213"/>
        <item x="107"/>
        <item x="32"/>
        <item x="452"/>
        <item x="541"/>
        <item x="223"/>
        <item x="291"/>
        <item x="510"/>
        <item x="579"/>
        <item x="427"/>
        <item x="505"/>
        <item x="539"/>
        <item x="383"/>
        <item x="36"/>
        <item x="317"/>
        <item x="362"/>
        <item x="155"/>
        <item x="359"/>
        <item x="548"/>
        <item x="384"/>
        <item x="469"/>
        <item x="246"/>
        <item x="279"/>
        <item x="296"/>
        <item x="191"/>
        <item x="508"/>
        <item x="148"/>
        <item x="305"/>
        <item x="575"/>
        <item x="19"/>
        <item x="373"/>
        <item x="163"/>
        <item x="536"/>
        <item x="285"/>
        <item x="44"/>
        <item x="392"/>
        <item x="104"/>
        <item x="264"/>
        <item x="8"/>
        <item x="566"/>
        <item x="301"/>
        <item x="363"/>
        <item x="190"/>
        <item x="81"/>
        <item x="209"/>
        <item x="394"/>
        <item x="164"/>
        <item x="498"/>
        <item x="540"/>
        <item x="255"/>
        <item x="297"/>
        <item x="265"/>
        <item x="195"/>
        <item x="523"/>
        <item x="516"/>
        <item x="142"/>
        <item x="162"/>
        <item x="321"/>
        <item x="468"/>
        <item x="239"/>
        <item x="564"/>
        <item x="439"/>
        <item x="92"/>
        <item x="574"/>
        <item x="387"/>
        <item x="237"/>
        <item x="128"/>
        <item x="315"/>
        <item x="385"/>
        <item x="258"/>
        <item x="551"/>
        <item x="281"/>
        <item x="596"/>
        <item x="75"/>
        <item x="494"/>
        <item x="115"/>
        <item x="146"/>
        <item x="473"/>
        <item x="48"/>
        <item x="354"/>
        <item x="425"/>
        <item x="249"/>
        <item x="462"/>
        <item x="106"/>
        <item x="587"/>
        <item x="366"/>
        <item x="169"/>
        <item x="160"/>
        <item x="259"/>
        <item x="417"/>
        <item x="275"/>
        <item x="446"/>
        <item x="215"/>
        <item x="583"/>
        <item x="507"/>
        <item x="267"/>
        <item x="170"/>
        <item x="231"/>
        <item x="5"/>
        <item x="503"/>
        <item x="57"/>
        <item x="334"/>
        <item x="59"/>
        <item x="408"/>
        <item x="235"/>
        <item x="76"/>
        <item x="109"/>
        <item x="268"/>
        <item x="119"/>
        <item x="410"/>
        <item x="405"/>
        <item x="157"/>
        <item x="276"/>
        <item x="557"/>
        <item x="584"/>
        <item x="531"/>
        <item x="101"/>
        <item x="593"/>
        <item x="543"/>
        <item x="370"/>
        <item x="156"/>
        <item x="236"/>
        <item x="89"/>
        <item x="200"/>
        <item x="252"/>
        <item x="82"/>
        <item x="181"/>
        <item x="150"/>
        <item x="597"/>
        <item x="182"/>
        <item x="485"/>
        <item x="495"/>
        <item x="546"/>
        <item x="350"/>
        <item x="241"/>
        <item x="560"/>
        <item x="538"/>
        <item x="95"/>
        <item x="153"/>
        <item x="562"/>
        <item x="445"/>
        <item x="535"/>
        <item x="65"/>
        <item x="544"/>
        <item x="299"/>
        <item x="1"/>
        <item x="327"/>
        <item x="577"/>
        <item x="443"/>
        <item x="83"/>
        <item x="216"/>
        <item x="528"/>
        <item x="263"/>
        <item x="345"/>
        <item x="340"/>
        <item x="282"/>
        <item x="580"/>
        <item x="158"/>
        <item x="110"/>
        <item x="415"/>
        <item x="37"/>
        <item x="228"/>
        <item x="206"/>
        <item x="309"/>
        <item x="483"/>
        <item x="339"/>
        <item x="489"/>
        <item x="293"/>
        <item x="229"/>
        <item x="274"/>
        <item x="132"/>
        <item x="262"/>
        <item x="34"/>
        <item x="433"/>
        <item x="6"/>
        <item x="337"/>
        <item x="184"/>
        <item x="441"/>
        <item x="202"/>
        <item x="21"/>
        <item x="401"/>
        <item x="269"/>
        <item x="590"/>
        <item x="112"/>
        <item x="530"/>
        <item x="365"/>
        <item x="589"/>
        <item x="278"/>
        <item x="572"/>
        <item x="22"/>
        <item x="351"/>
        <item x="7"/>
        <item x="499"/>
        <item x="328"/>
        <item x="141"/>
        <item x="287"/>
        <item x="15"/>
        <item x="519"/>
        <item x="125"/>
        <item x="60"/>
        <item x="63"/>
        <item x="214"/>
        <item x="41"/>
        <item x="33"/>
        <item x="70"/>
        <item x="348"/>
        <item x="332"/>
        <item x="113"/>
        <item x="134"/>
        <item x="386"/>
        <item x="40"/>
        <item x="481"/>
        <item x="97"/>
        <item x="450"/>
        <item x="247"/>
        <item x="514"/>
        <item x="145"/>
        <item x="54"/>
        <item x="283"/>
        <item x="183"/>
        <item x="286"/>
        <item x="455"/>
        <item x="491"/>
        <item x="448"/>
        <item x="194"/>
        <item x="178"/>
        <item x="284"/>
        <item x="114"/>
        <item x="50"/>
        <item x="500"/>
        <item x="470"/>
        <item x="464"/>
        <item x="227"/>
        <item x="78"/>
        <item x="376"/>
        <item x="352"/>
        <item x="526"/>
        <item x="413"/>
        <item x="517"/>
        <item x="288"/>
        <item x="308"/>
        <item x="454"/>
        <item x="397"/>
        <item x="211"/>
        <item x="329"/>
        <item x="353"/>
        <item x="400"/>
        <item x="131"/>
        <item x="67"/>
        <item x="594"/>
        <item x="121"/>
        <item x="111"/>
        <item x="324"/>
        <item x="336"/>
        <item x="518"/>
        <item x="571"/>
        <item x="429"/>
        <item x="218"/>
        <item x="62"/>
        <item x="208"/>
        <item x="472"/>
        <item x="198"/>
        <item x="484"/>
        <item x="243"/>
        <item x="549"/>
        <item x="105"/>
        <item x="524"/>
        <item x="35"/>
        <item x="451"/>
        <item x="221"/>
        <item x="440"/>
        <item x="369"/>
        <item x="585"/>
        <item x="230"/>
        <item x="26"/>
        <item x="12"/>
        <item x="2"/>
        <item x="10"/>
        <item x="477"/>
        <item x="482"/>
        <item x="55"/>
        <item x="126"/>
        <item x="320"/>
        <item x="13"/>
        <item x="567"/>
        <item x="244"/>
        <item x="91"/>
        <item x="135"/>
        <item x="68"/>
        <item x="203"/>
        <item x="224"/>
        <item x="77"/>
        <item x="133"/>
        <item x="513"/>
        <item x="124"/>
        <item x="179"/>
        <item x="166"/>
        <item x="466"/>
        <item x="185"/>
        <item x="172"/>
        <item x="402"/>
        <item x="506"/>
        <item x="17"/>
        <item x="515"/>
        <item x="316"/>
        <item x="379"/>
        <item x="217"/>
        <item x="307"/>
        <item x="338"/>
        <item x="180"/>
        <item x="456"/>
        <item x="273"/>
        <item x="416"/>
        <item x="435"/>
        <item x="570"/>
        <item x="174"/>
        <item x="581"/>
        <item x="461"/>
        <item x="496"/>
        <item x="58"/>
        <item x="302"/>
        <item x="98"/>
        <item x="341"/>
        <item x="504"/>
        <item x="186"/>
        <item x="292"/>
        <item x="277"/>
        <item x="280"/>
        <item x="74"/>
        <item x="347"/>
        <item x="342"/>
        <item x="3"/>
        <item x="234"/>
        <item x="343"/>
        <item x="16"/>
        <item x="542"/>
        <item x="23"/>
        <item x="331"/>
        <item x="349"/>
        <item x="396"/>
        <item x="140"/>
        <item x="28"/>
        <item x="253"/>
        <item x="96"/>
        <item x="398"/>
        <item x="147"/>
        <item x="458"/>
        <item x="527"/>
        <item x="100"/>
        <item x="326"/>
        <item x="479"/>
        <item x="257"/>
        <item x="335"/>
        <item x="430"/>
        <item x="171"/>
        <item x="436"/>
        <item x="330"/>
        <item x="196"/>
        <item x="487"/>
        <item x="444"/>
        <item x="409"/>
        <item x="197"/>
        <item x="245"/>
        <item x="319"/>
        <item x="272"/>
        <item x="490"/>
        <item x="406"/>
        <item x="381"/>
        <item x="220"/>
        <item x="24"/>
        <item x="312"/>
        <item x="14"/>
        <item x="393"/>
        <item x="522"/>
        <item x="56"/>
        <item x="248"/>
        <item x="573"/>
        <item x="143"/>
        <item x="547"/>
        <item x="502"/>
        <item x="592"/>
        <item x="586"/>
        <item x="390"/>
        <item x="38"/>
        <item x="414"/>
        <item x="30"/>
        <item x="130"/>
        <item x="561"/>
        <item x="378"/>
        <item x="306"/>
        <item x="210"/>
        <item x="64"/>
        <item x="418"/>
        <item x="534"/>
        <item x="204"/>
        <item x="192"/>
        <item x="578"/>
        <item x="116"/>
        <item x="136"/>
        <item x="404"/>
        <item x="598"/>
        <item x="419"/>
        <item x="322"/>
        <item x="18"/>
        <item x="11"/>
        <item x="260"/>
        <item x="399"/>
        <item x="453"/>
        <item x="533"/>
        <item x="552"/>
        <item x="71"/>
        <item x="395"/>
        <item x="520"/>
        <item x="25"/>
        <item x="233"/>
        <item x="556"/>
        <item x="391"/>
        <item x="94"/>
        <item x="103"/>
        <item x="90"/>
        <item x="568"/>
        <item x="72"/>
        <item x="193"/>
        <item x="45"/>
        <item x="407"/>
        <item x="250"/>
        <item x="176"/>
        <item x="361"/>
        <item x="372"/>
        <item x="532"/>
        <item x="374"/>
        <item x="412"/>
        <item x="256"/>
        <item x="344"/>
        <item x="421"/>
        <item x="333"/>
        <item x="356"/>
        <item x="4"/>
        <item x="529"/>
        <item x="488"/>
        <item x="53"/>
        <item x="449"/>
        <item x="565"/>
        <item x="357"/>
        <item x="271"/>
        <item x="85"/>
        <item x="42"/>
        <item x="459"/>
        <item x="161"/>
        <item x="266"/>
        <item x="303"/>
        <item x="550"/>
        <item x="545"/>
        <item x="270"/>
        <item x="426"/>
        <item x="20"/>
        <item x="588"/>
        <item x="420"/>
        <item x="480"/>
        <item x="66"/>
        <item x="201"/>
        <item x="555"/>
        <item x="61"/>
        <item x="563"/>
        <item x="501"/>
        <item x="368"/>
        <item x="382"/>
        <item x="432"/>
        <item x="411"/>
        <item x="9"/>
        <item x="226"/>
        <item x="471"/>
        <item t="default"/>
      </items>
    </pivotField>
    <pivotField showAll="0">
      <items count="5">
        <item x="1"/>
        <item x="2"/>
        <item x="0"/>
        <item x="3"/>
        <item t="default"/>
      </items>
    </pivotField>
    <pivotField showAll="0">
      <items count="5">
        <item x="2"/>
        <item x="1"/>
        <item x="0"/>
        <item x="3"/>
        <item t="default"/>
      </items>
    </pivotField>
    <pivotField showAll="0">
      <items count="4">
        <item x="1"/>
        <item x="0"/>
        <item x="2"/>
        <item t="default"/>
      </items>
    </pivotField>
    <pivotField dataField="1" showAll="0">
      <items count="1197">
        <item x="78"/>
        <item x="100"/>
        <item x="135"/>
        <item x="575"/>
        <item x="174"/>
        <item x="610"/>
        <item x="730"/>
        <item x="508"/>
        <item x="55"/>
        <item x="315"/>
        <item x="1011"/>
        <item x="1113"/>
        <item x="1148"/>
        <item x="577"/>
        <item x="825"/>
        <item x="219"/>
        <item x="1166"/>
        <item x="375"/>
        <item x="672"/>
        <item x="563"/>
        <item x="214"/>
        <item x="981"/>
        <item x="615"/>
        <item x="355"/>
        <item x="109"/>
        <item x="103"/>
        <item x="145"/>
        <item x="516"/>
        <item x="953"/>
        <item x="889"/>
        <item x="998"/>
        <item x="849"/>
        <item x="553"/>
        <item x="476"/>
        <item x="443"/>
        <item x="625"/>
        <item x="1046"/>
        <item x="30"/>
        <item x="395"/>
        <item x="914"/>
        <item x="887"/>
        <item x="144"/>
        <item x="237"/>
        <item x="40"/>
        <item x="400"/>
        <item x="413"/>
        <item x="392"/>
        <item x="1172"/>
        <item x="172"/>
        <item x="149"/>
        <item x="69"/>
        <item x="325"/>
        <item x="283"/>
        <item x="346"/>
        <item x="1176"/>
        <item x="92"/>
        <item x="1020"/>
        <item x="943"/>
        <item x="1068"/>
        <item x="179"/>
        <item x="907"/>
        <item x="388"/>
        <item x="86"/>
        <item x="98"/>
        <item x="604"/>
        <item x="1006"/>
        <item x="382"/>
        <item x="222"/>
        <item x="331"/>
        <item x="217"/>
        <item x="1178"/>
        <item x="439"/>
        <item x="1137"/>
        <item x="756"/>
        <item x="743"/>
        <item x="793"/>
        <item x="28"/>
        <item x="671"/>
        <item x="840"/>
        <item x="710"/>
        <item x="364"/>
        <item x="105"/>
        <item x="115"/>
        <item x="409"/>
        <item x="712"/>
        <item x="350"/>
        <item x="674"/>
        <item x="139"/>
        <item x="527"/>
        <item x="197"/>
        <item x="1015"/>
        <item x="955"/>
        <item x="59"/>
        <item x="158"/>
        <item x="1026"/>
        <item x="776"/>
        <item x="425"/>
        <item x="728"/>
        <item x="383"/>
        <item x="1182"/>
        <item x="920"/>
        <item x="347"/>
        <item x="1136"/>
        <item x="454"/>
        <item x="75"/>
        <item x="1081"/>
        <item x="681"/>
        <item x="97"/>
        <item x="99"/>
        <item x="646"/>
        <item x="379"/>
        <item x="327"/>
        <item x="661"/>
        <item x="142"/>
        <item x="494"/>
        <item x="1175"/>
        <item x="265"/>
        <item x="330"/>
        <item x="565"/>
        <item x="853"/>
        <item x="540"/>
        <item x="258"/>
        <item x="833"/>
        <item x="1038"/>
        <item x="630"/>
        <item x="729"/>
        <item x="1070"/>
        <item x="123"/>
        <item x="1123"/>
        <item x="587"/>
        <item x="146"/>
        <item x="582"/>
        <item x="120"/>
        <item x="623"/>
        <item x="1104"/>
        <item x="1170"/>
        <item x="444"/>
        <item x="304"/>
        <item x="762"/>
        <item x="603"/>
        <item x="190"/>
        <item x="93"/>
        <item x="721"/>
        <item x="855"/>
        <item x="529"/>
        <item x="1069"/>
        <item x="1174"/>
        <item x="821"/>
        <item x="430"/>
        <item x="1162"/>
        <item x="50"/>
        <item x="1034"/>
        <item x="288"/>
        <item x="1187"/>
        <item x="1177"/>
        <item x="780"/>
        <item x="308"/>
        <item x="493"/>
        <item x="406"/>
        <item x="1049"/>
        <item x="345"/>
        <item x="488"/>
        <item x="545"/>
        <item x="733"/>
        <item x="858"/>
        <item x="1169"/>
        <item x="1050"/>
        <item x="1168"/>
        <item x="284"/>
        <item x="1110"/>
        <item x="440"/>
        <item x="396"/>
        <item x="918"/>
        <item x="768"/>
        <item x="724"/>
        <item x="617"/>
        <item x="62"/>
        <item x="1045"/>
        <item x="1016"/>
        <item x="1030"/>
        <item x="465"/>
        <item x="704"/>
        <item x="37"/>
        <item x="608"/>
        <item x="148"/>
        <item x="1075"/>
        <item x="171"/>
        <item x="463"/>
        <item x="134"/>
        <item x="453"/>
        <item x="173"/>
        <item x="831"/>
        <item x="515"/>
        <item x="535"/>
        <item x="1043"/>
        <item x="789"/>
        <item x="422"/>
        <item x="136"/>
        <item x="962"/>
        <item x="475"/>
        <item x="578"/>
        <item x="862"/>
        <item x="817"/>
        <item x="804"/>
        <item x="1158"/>
        <item x="195"/>
        <item x="467"/>
        <item x="177"/>
        <item x="814"/>
        <item x="452"/>
        <item x="913"/>
        <item x="445"/>
        <item x="57"/>
        <item x="585"/>
        <item x="960"/>
        <item x="792"/>
        <item x="626"/>
        <item x="361"/>
        <item x="1120"/>
        <item x="697"/>
        <item x="320"/>
        <item x="683"/>
        <item x="335"/>
        <item x="900"/>
        <item x="206"/>
        <item x="784"/>
        <item x="732"/>
        <item x="785"/>
        <item x="260"/>
        <item x="309"/>
        <item x="1139"/>
        <item x="1130"/>
        <item x="9"/>
        <item x="945"/>
        <item x="245"/>
        <item x="834"/>
        <item x="622"/>
        <item x="650"/>
        <item x="908"/>
        <item x="1053"/>
        <item x="456"/>
        <item x="916"/>
        <item x="902"/>
        <item x="827"/>
        <item x="151"/>
        <item x="352"/>
        <item x="464"/>
        <item x="957"/>
        <item x="746"/>
        <item x="875"/>
        <item x="901"/>
        <item x="911"/>
        <item x="693"/>
        <item x="274"/>
        <item x="193"/>
        <item x="951"/>
        <item x="501"/>
        <item x="289"/>
        <item x="1028"/>
        <item x="1145"/>
        <item x="160"/>
        <item x="25"/>
        <item x="338"/>
        <item x="959"/>
        <item x="727"/>
        <item x="1132"/>
        <item x="1084"/>
        <item x="45"/>
        <item x="725"/>
        <item x="49"/>
        <item x="381"/>
        <item x="261"/>
        <item x="1066"/>
        <item x="21"/>
        <item x="614"/>
        <item x="32"/>
        <item x="939"/>
        <item x="915"/>
        <item x="24"/>
        <item x="1156"/>
        <item x="368"/>
        <item x="15"/>
        <item x="102"/>
        <item x="490"/>
        <item x="218"/>
        <item x="600"/>
        <item x="270"/>
        <item x="885"/>
        <item x="241"/>
        <item x="507"/>
        <item x="663"/>
        <item x="1146"/>
        <item x="938"/>
        <item x="108"/>
        <item x="711"/>
        <item x="922"/>
        <item x="474"/>
        <item x="992"/>
        <item x="1033"/>
        <item x="299"/>
        <item x="324"/>
        <item x="1054"/>
        <item x="613"/>
        <item x="1000"/>
        <item x="353"/>
        <item x="645"/>
        <item x="298"/>
        <item x="253"/>
        <item x="740"/>
        <item x="94"/>
        <item x="766"/>
        <item x="38"/>
        <item x="832"/>
        <item x="567"/>
        <item x="965"/>
        <item x="971"/>
        <item x="380"/>
        <item x="616"/>
        <item x="1115"/>
        <item x="861"/>
        <item x="818"/>
        <item x="555"/>
        <item x="1057"/>
        <item x="1003"/>
        <item x="473"/>
        <item x="891"/>
        <item x="581"/>
        <item x="207"/>
        <item x="1025"/>
        <item x="638"/>
        <item x="707"/>
        <item x="921"/>
        <item x="1010"/>
        <item x="460"/>
        <item x="269"/>
        <item x="434"/>
        <item x="612"/>
        <item x="520"/>
        <item x="129"/>
        <item x="397"/>
        <item x="777"/>
        <item x="932"/>
        <item x="1023"/>
        <item x="843"/>
        <item x="696"/>
        <item x="870"/>
        <item x="877"/>
        <item x="764"/>
        <item x="941"/>
        <item x="850"/>
        <item x="1004"/>
        <item x="1085"/>
        <item x="127"/>
        <item x="595"/>
        <item x="221"/>
        <item x="892"/>
        <item x="470"/>
        <item x="429"/>
        <item x="141"/>
        <item x="874"/>
        <item x="424"/>
        <item x="111"/>
        <item x="1190"/>
        <item x="372"/>
        <item x="1060"/>
        <item x="761"/>
        <item x="293"/>
        <item x="186"/>
        <item x="54"/>
        <item x="735"/>
        <item x="198"/>
        <item x="737"/>
        <item x="848"/>
        <item x="1181"/>
        <item x="607"/>
        <item x="236"/>
        <item x="232"/>
        <item x="750"/>
        <item x="39"/>
        <item x="294"/>
        <item x="213"/>
        <item x="285"/>
        <item x="96"/>
        <item x="963"/>
        <item x="1103"/>
        <item x="708"/>
        <item x="212"/>
        <item x="897"/>
        <item x="239"/>
        <item x="1112"/>
        <item x="665"/>
        <item x="34"/>
        <item x="639"/>
        <item x="566"/>
        <item x="228"/>
        <item x="629"/>
        <item x="229"/>
        <item x="1"/>
        <item x="1167"/>
        <item x="121"/>
        <item x="842"/>
        <item x="243"/>
        <item x="275"/>
        <item x="385"/>
        <item x="280"/>
        <item x="879"/>
        <item x="147"/>
        <item x="414"/>
        <item x="76"/>
        <item x="1089"/>
        <item x="279"/>
        <item x="1131"/>
        <item x="808"/>
        <item x="336"/>
        <item x="1163"/>
        <item x="548"/>
        <item x="403"/>
        <item x="925"/>
        <item x="1106"/>
        <item x="12"/>
        <item x="87"/>
        <item x="698"/>
        <item x="131"/>
        <item x="437"/>
        <item x="14"/>
        <item x="31"/>
        <item x="845"/>
        <item x="1012"/>
        <item x="649"/>
        <item x="1184"/>
        <item x="61"/>
        <item x="389"/>
        <item x="975"/>
        <item x="367"/>
        <item x="110"/>
        <item x="1099"/>
        <item x="1027"/>
        <item x="435"/>
        <item x="982"/>
        <item x="83"/>
        <item x="104"/>
        <item x="747"/>
        <item x="586"/>
        <item x="533"/>
        <item x="167"/>
        <item x="1022"/>
        <item x="466"/>
        <item x="723"/>
        <item x="72"/>
        <item x="489"/>
        <item x="1140"/>
        <item x="643"/>
        <item x="374"/>
        <item x="890"/>
        <item x="709"/>
        <item x="192"/>
        <item x="865"/>
        <item x="503"/>
        <item x="819"/>
        <item x="1164"/>
        <item x="53"/>
        <item x="1155"/>
        <item x="64"/>
        <item x="1056"/>
        <item x="318"/>
        <item x="1135"/>
        <item x="522"/>
        <item x="745"/>
        <item x="899"/>
        <item x="978"/>
        <item x="1188"/>
        <item x="257"/>
        <item x="809"/>
        <item x="557"/>
        <item x="233"/>
        <item x="116"/>
        <item x="544"/>
        <item x="618"/>
        <item x="5"/>
        <item x="36"/>
        <item x="798"/>
        <item x="1024"/>
        <item x="356"/>
        <item x="966"/>
        <item x="66"/>
        <item x="751"/>
        <item x="41"/>
        <item x="1094"/>
        <item x="1087"/>
        <item x="644"/>
        <item x="47"/>
        <item x="458"/>
        <item x="332"/>
        <item x="796"/>
        <item x="16"/>
        <item x="89"/>
        <item x="748"/>
        <item x="692"/>
        <item x="1154"/>
        <item x="1144"/>
        <item x="620"/>
        <item x="22"/>
        <item x="450"/>
        <item x="774"/>
        <item x="574"/>
        <item x="1090"/>
        <item x="895"/>
        <item x="904"/>
        <item x="584"/>
        <item x="498"/>
        <item x="68"/>
        <item x="362"/>
        <item x="715"/>
        <item x="703"/>
        <item x="199"/>
        <item x="354"/>
        <item x="322"/>
        <item x="249"/>
        <item x="906"/>
        <item x="316"/>
        <item x="598"/>
        <item x="481"/>
        <item x="1073"/>
        <item x="88"/>
        <item x="551"/>
        <item x="806"/>
        <item x="1018"/>
        <item x="1061"/>
        <item x="673"/>
        <item x="800"/>
        <item x="686"/>
        <item x="864"/>
        <item x="196"/>
        <item x="244"/>
        <item x="1077"/>
        <item x="185"/>
        <item x="1008"/>
        <item x="386"/>
        <item x="930"/>
        <item x="844"/>
        <item x="543"/>
        <item x="455"/>
        <item x="659"/>
        <item x="415"/>
        <item x="491"/>
        <item x="1062"/>
        <item x="628"/>
        <item x="1080"/>
        <item x="866"/>
        <item x="140"/>
        <item x="896"/>
        <item x="1051"/>
        <item x="302"/>
        <item x="1035"/>
        <item x="1109"/>
        <item x="991"/>
        <item x="547"/>
        <item x="358"/>
        <item x="863"/>
        <item x="224"/>
        <item x="7"/>
        <item x="689"/>
        <item x="408"/>
        <item x="589"/>
        <item x="676"/>
        <item x="989"/>
        <item x="666"/>
        <item x="1134"/>
        <item x="771"/>
        <item x="731"/>
        <item x="479"/>
        <item x="967"/>
        <item x="161"/>
        <item x="1048"/>
        <item x="1088"/>
        <item x="691"/>
        <item x="813"/>
        <item x="235"/>
        <item x="869"/>
        <item x="1161"/>
        <item x="621"/>
        <item x="779"/>
        <item x="107"/>
        <item x="637"/>
        <item x="42"/>
        <item x="427"/>
        <item x="268"/>
        <item x="647"/>
        <item x="738"/>
        <item x="741"/>
        <item x="119"/>
        <item x="256"/>
        <item x="1092"/>
        <item x="801"/>
        <item x="749"/>
        <item x="132"/>
        <item x="300"/>
        <item x="441"/>
        <item x="1001"/>
        <item x="303"/>
        <item x="534"/>
        <item x="935"/>
        <item x="188"/>
        <item x="461"/>
        <item x="248"/>
        <item x="590"/>
        <item x="189"/>
        <item x="1047"/>
        <item x="660"/>
        <item x="839"/>
        <item x="558"/>
        <item x="138"/>
        <item x="1014"/>
        <item x="321"/>
        <item x="583"/>
        <item x="410"/>
        <item x="846"/>
        <item x="180"/>
        <item x="176"/>
        <item x="820"/>
        <item x="0"/>
        <item x="150"/>
        <item x="1108"/>
        <item x="506"/>
        <item x="722"/>
        <item x="1191"/>
        <item x="1186"/>
        <item x="187"/>
        <item x="371"/>
        <item x="988"/>
        <item x="754"/>
        <item x="964"/>
        <item x="126"/>
        <item x="2"/>
        <item x="726"/>
        <item x="1076"/>
        <item x="495"/>
        <item x="79"/>
        <item x="412"/>
        <item x="376"/>
        <item x="486"/>
        <item x="1180"/>
        <item x="782"/>
        <item x="773"/>
        <item x="340"/>
        <item x="337"/>
        <item x="702"/>
        <item x="1142"/>
        <item x="580"/>
        <item x="946"/>
        <item x="995"/>
        <item x="114"/>
        <item x="81"/>
        <item x="1032"/>
        <item x="451"/>
        <item x="940"/>
        <item x="788"/>
        <item x="210"/>
        <item x="884"/>
        <item x="684"/>
        <item x="700"/>
        <item x="6"/>
        <item x="640"/>
        <item x="1102"/>
        <item x="306"/>
        <item x="154"/>
        <item x="423"/>
        <item x="851"/>
        <item x="699"/>
        <item x="588"/>
        <item x="117"/>
        <item x="264"/>
        <item x="990"/>
        <item x="772"/>
        <item x="517"/>
        <item x="576"/>
        <item x="44"/>
        <item x="868"/>
        <item x="552"/>
        <item x="579"/>
        <item x="753"/>
        <item x="153"/>
        <item x="1149"/>
        <item x="163"/>
        <item x="84"/>
        <item x="128"/>
        <item x="836"/>
        <item x="624"/>
        <item x="420"/>
        <item x="976"/>
        <item x="418"/>
        <item x="391"/>
        <item x="1173"/>
        <item x="469"/>
        <item x="291"/>
        <item x="635"/>
        <item x="311"/>
        <item x="1021"/>
        <item x="537"/>
        <item x="449"/>
        <item x="1059"/>
        <item x="950"/>
        <item x="714"/>
        <item x="227"/>
        <item x="143"/>
        <item x="816"/>
        <item x="234"/>
        <item x="519"/>
        <item x="1111"/>
        <item x="923"/>
        <item x="73"/>
        <item x="958"/>
        <item x="987"/>
        <item x="1041"/>
        <item x="826"/>
        <item x="446"/>
        <item x="786"/>
        <item x="70"/>
        <item x="296"/>
        <item x="656"/>
        <item x="790"/>
        <item x="1036"/>
        <item x="215"/>
        <item x="559"/>
        <item x="883"/>
        <item x="156"/>
        <item x="531"/>
        <item x="162"/>
        <item x="984"/>
        <item x="886"/>
        <item x="539"/>
        <item x="759"/>
        <item x="550"/>
        <item x="301"/>
        <item x="770"/>
        <item x="980"/>
        <item x="1037"/>
        <item x="477"/>
        <item x="807"/>
        <item x="878"/>
        <item x="169"/>
        <item x="1138"/>
        <item x="974"/>
        <item x="1192"/>
        <item x="929"/>
        <item x="716"/>
        <item x="668"/>
        <item x="795"/>
        <item x="407"/>
        <item x="504"/>
        <item x="1107"/>
        <item x="736"/>
        <item x="658"/>
        <item x="876"/>
        <item x="969"/>
        <item x="357"/>
        <item x="401"/>
        <item x="67"/>
        <item x="369"/>
        <item x="1067"/>
        <item x="23"/>
        <item x="238"/>
        <item x="482"/>
        <item x="52"/>
        <item x="259"/>
        <item x="82"/>
        <item x="791"/>
        <item x="653"/>
        <item x="194"/>
        <item x="903"/>
        <item x="822"/>
        <item x="1121"/>
        <item x="231"/>
        <item x="1183"/>
        <item x="657"/>
        <item x="394"/>
        <item x="910"/>
        <item x="758"/>
        <item x="419"/>
        <item x="178"/>
        <item x="752"/>
        <item x="226"/>
        <item x="168"/>
        <item x="983"/>
        <item x="682"/>
        <item x="4"/>
        <item x="560"/>
        <item x="416"/>
        <item x="734"/>
        <item x="973"/>
        <item x="944"/>
        <item x="611"/>
        <item x="619"/>
        <item x="365"/>
        <item x="952"/>
        <item x="694"/>
        <item x="133"/>
        <item x="961"/>
        <item x="225"/>
        <item x="652"/>
        <item x="1055"/>
        <item x="572"/>
        <item x="313"/>
        <item x="277"/>
        <item x="208"/>
        <item x="631"/>
        <item x="366"/>
        <item x="1125"/>
        <item x="739"/>
        <item x="411"/>
        <item x="605"/>
        <item x="742"/>
        <item x="74"/>
        <item x="562"/>
        <item x="799"/>
        <item x="852"/>
        <item x="384"/>
        <item x="1119"/>
        <item x="695"/>
        <item x="669"/>
        <item x="1095"/>
        <item x="680"/>
        <item x="286"/>
        <item x="113"/>
        <item x="778"/>
        <item x="760"/>
        <item x="571"/>
        <item x="591"/>
        <item x="342"/>
        <item x="882"/>
        <item x="593"/>
        <item x="810"/>
        <item x="1064"/>
        <item x="282"/>
        <item x="312"/>
        <item x="58"/>
        <item x="339"/>
        <item x="972"/>
        <item x="370"/>
        <item x="35"/>
        <item x="33"/>
        <item x="781"/>
        <item x="319"/>
        <item x="1079"/>
        <item x="841"/>
        <item x="17"/>
        <item x="767"/>
        <item x="442"/>
        <item x="344"/>
        <item x="310"/>
        <item x="223"/>
        <item x="471"/>
        <item x="181"/>
        <item x="873"/>
        <item x="954"/>
        <item x="641"/>
        <item x="854"/>
        <item x="606"/>
        <item x="27"/>
        <item x="448"/>
        <item x="1114"/>
        <item x="71"/>
        <item x="468"/>
        <item x="1153"/>
        <item x="29"/>
        <item x="763"/>
        <item x="942"/>
        <item x="271"/>
        <item x="426"/>
        <item x="170"/>
        <item x="601"/>
        <item x="1185"/>
        <item x="847"/>
        <item x="667"/>
        <item x="824"/>
        <item x="457"/>
        <item x="317"/>
        <item x="985"/>
        <item x="905"/>
        <item x="642"/>
        <item x="713"/>
        <item x="881"/>
        <item x="872"/>
        <item x="546"/>
        <item x="433"/>
        <item x="220"/>
        <item x="654"/>
        <item x="48"/>
        <item x="596"/>
        <item x="122"/>
        <item x="634"/>
        <item x="1141"/>
        <item x="838"/>
        <item x="510"/>
        <item x="556"/>
        <item x="246"/>
        <item x="3"/>
        <item x="993"/>
        <item x="977"/>
        <item x="1083"/>
        <item x="26"/>
        <item x="216"/>
        <item x="979"/>
        <item x="1101"/>
        <item x="894"/>
        <item x="118"/>
        <item x="599"/>
        <item x="307"/>
        <item x="532"/>
        <item x="996"/>
        <item x="333"/>
        <item x="204"/>
        <item x="602"/>
        <item x="919"/>
        <item x="254"/>
        <item x="1157"/>
        <item x="1179"/>
        <item x="497"/>
        <item x="1143"/>
        <item x="1147"/>
        <item x="1193"/>
        <item x="1082"/>
        <item x="859"/>
        <item x="909"/>
        <item x="997"/>
        <item x="106"/>
        <item x="917"/>
        <item x="670"/>
        <item x="933"/>
        <item x="95"/>
        <item x="242"/>
        <item x="994"/>
        <item x="77"/>
        <item x="829"/>
        <item x="812"/>
        <item x="888"/>
        <item x="343"/>
        <item x="314"/>
        <item x="561"/>
        <item x="541"/>
        <item x="431"/>
        <item x="679"/>
        <item x="542"/>
        <item x="326"/>
        <item x="159"/>
        <item x="802"/>
        <item x="480"/>
        <item x="1071"/>
        <item x="205"/>
        <item x="1042"/>
        <item x="1074"/>
        <item x="360"/>
        <item x="675"/>
        <item x="837"/>
        <item x="1171"/>
        <item x="428"/>
        <item x="1029"/>
        <item x="432"/>
        <item x="276"/>
        <item x="706"/>
        <item x="1124"/>
        <item x="305"/>
        <item x="247"/>
        <item x="292"/>
        <item x="1128"/>
        <item x="1150"/>
        <item x="797"/>
        <item x="1127"/>
        <item x="948"/>
        <item x="1013"/>
        <item x="421"/>
        <item x="184"/>
        <item x="857"/>
        <item x="266"/>
        <item x="334"/>
        <item x="1063"/>
        <item x="203"/>
        <item x="438"/>
        <item x="209"/>
        <item x="65"/>
        <item x="278"/>
        <item x="514"/>
        <item x="569"/>
        <item x="323"/>
        <item x="101"/>
        <item x="1031"/>
        <item x="1160"/>
        <item x="528"/>
        <item x="947"/>
        <item x="377"/>
        <item x="130"/>
        <item x="592"/>
        <item x="898"/>
        <item x="1098"/>
        <item x="1189"/>
        <item x="526"/>
        <item x="152"/>
        <item x="1007"/>
        <item x="536"/>
        <item x="505"/>
        <item x="893"/>
        <item x="183"/>
        <item x="43"/>
        <item x="472"/>
        <item x="80"/>
        <item x="999"/>
        <item x="570"/>
        <item x="525"/>
        <item x="755"/>
        <item x="484"/>
        <item x="787"/>
        <item x="8"/>
        <item x="513"/>
        <item x="90"/>
        <item x="509"/>
        <item x="511"/>
        <item x="931"/>
        <item x="164"/>
        <item x="568"/>
        <item x="499"/>
        <item x="60"/>
        <item x="949"/>
        <item x="1152"/>
        <item x="1040"/>
        <item x="91"/>
        <item x="351"/>
        <item x="378"/>
        <item x="765"/>
        <item x="85"/>
        <item x="1105"/>
        <item x="609"/>
        <item x="860"/>
        <item x="202"/>
        <item x="880"/>
        <item x="718"/>
        <item x="705"/>
        <item x="530"/>
        <item x="166"/>
        <item x="18"/>
        <item x="1009"/>
        <item x="393"/>
        <item x="1072"/>
        <item x="744"/>
        <item x="521"/>
        <item x="404"/>
        <item x="688"/>
        <item x="112"/>
        <item x="720"/>
        <item x="867"/>
        <item x="1129"/>
        <item x="1118"/>
        <item x="290"/>
        <item x="211"/>
        <item x="1039"/>
        <item x="678"/>
        <item x="823"/>
        <item x="191"/>
        <item x="956"/>
        <item x="1195"/>
        <item x="518"/>
        <item x="1002"/>
        <item x="775"/>
        <item x="769"/>
        <item x="348"/>
        <item x="662"/>
        <item x="402"/>
        <item x="251"/>
        <item x="502"/>
        <item x="297"/>
        <item x="1086"/>
        <item x="436"/>
        <item x="934"/>
        <item x="200"/>
        <item x="1093"/>
        <item x="633"/>
        <item x="10"/>
        <item x="273"/>
        <item x="1017"/>
        <item x="936"/>
        <item x="685"/>
        <item x="1116"/>
        <item x="805"/>
        <item x="252"/>
        <item x="349"/>
        <item x="1005"/>
        <item x="835"/>
        <item x="687"/>
        <item x="597"/>
        <item x="1117"/>
        <item x="564"/>
        <item x="757"/>
        <item x="20"/>
        <item x="970"/>
        <item x="19"/>
        <item x="459"/>
        <item x="1091"/>
        <item x="405"/>
        <item x="46"/>
        <item x="263"/>
        <item x="783"/>
        <item x="201"/>
        <item x="373"/>
        <item x="250"/>
        <item x="1052"/>
        <item x="124"/>
        <item x="701"/>
        <item x="496"/>
        <item x="240"/>
        <item x="928"/>
        <item x="912"/>
        <item x="523"/>
        <item x="1096"/>
        <item x="182"/>
        <item x="717"/>
        <item x="549"/>
        <item x="524"/>
        <item x="137"/>
        <item x="125"/>
        <item x="363"/>
        <item x="447"/>
        <item x="462"/>
        <item x="655"/>
        <item x="165"/>
        <item x="926"/>
        <item x="1122"/>
        <item x="1065"/>
        <item x="690"/>
        <item x="155"/>
        <item x="794"/>
        <item x="1151"/>
        <item x="255"/>
        <item x="328"/>
        <item x="1019"/>
        <item x="828"/>
        <item x="573"/>
        <item x="856"/>
        <item x="359"/>
        <item x="719"/>
        <item x="512"/>
        <item x="398"/>
        <item x="483"/>
        <item x="803"/>
        <item x="11"/>
        <item x="1165"/>
        <item x="1044"/>
        <item x="1100"/>
        <item x="230"/>
        <item x="937"/>
        <item x="387"/>
        <item x="56"/>
        <item x="1097"/>
        <item x="632"/>
        <item x="830"/>
        <item x="871"/>
        <item x="262"/>
        <item x="487"/>
        <item x="924"/>
        <item x="968"/>
        <item x="554"/>
        <item x="485"/>
        <item x="478"/>
        <item x="627"/>
        <item x="538"/>
        <item x="677"/>
        <item x="417"/>
        <item x="399"/>
        <item x="51"/>
        <item x="1078"/>
        <item x="13"/>
        <item x="1126"/>
        <item x="1159"/>
        <item x="281"/>
        <item x="664"/>
        <item x="636"/>
        <item x="287"/>
        <item x="651"/>
        <item x="986"/>
        <item x="815"/>
        <item x="927"/>
        <item x="594"/>
        <item x="63"/>
        <item x="1058"/>
        <item x="648"/>
        <item x="329"/>
        <item x="492"/>
        <item x="267"/>
        <item x="811"/>
        <item x="390"/>
        <item x="157"/>
        <item x="295"/>
        <item x="341"/>
        <item x="1194"/>
        <item x="175"/>
        <item x="500"/>
        <item x="1133"/>
        <item x="272"/>
        <item t="default"/>
      </items>
    </pivotField>
    <pivotField showAll="0">
      <items count="1199">
        <item x="78"/>
        <item x="100"/>
        <item x="1115"/>
        <item x="609"/>
        <item x="219"/>
        <item x="729"/>
        <item x="1150"/>
        <item x="614"/>
        <item x="55"/>
        <item x="671"/>
        <item x="574"/>
        <item x="109"/>
        <item x="174"/>
        <item x="135"/>
        <item x="824"/>
        <item x="841"/>
        <item x="374"/>
        <item x="1168"/>
        <item x="507"/>
        <item x="562"/>
        <item x="314"/>
        <item x="394"/>
        <item x="214"/>
        <item x="442"/>
        <item x="576"/>
        <item x="982"/>
        <item x="354"/>
        <item x="954"/>
        <item x="30"/>
        <item x="145"/>
        <item x="475"/>
        <item x="103"/>
        <item x="849"/>
        <item x="515"/>
        <item x="172"/>
        <item x="887"/>
        <item x="399"/>
        <item x="237"/>
        <item x="412"/>
        <item x="283"/>
        <item x="889"/>
        <item x="999"/>
        <item x="1174"/>
        <item x="217"/>
        <item x="144"/>
        <item x="1046"/>
        <item x="552"/>
        <item x="943"/>
        <item x="914"/>
        <item x="115"/>
        <item x="624"/>
        <item x="86"/>
        <item x="40"/>
        <item x="92"/>
        <item x="349"/>
        <item x="1180"/>
        <item x="69"/>
        <item x="424"/>
        <item x="526"/>
        <item x="391"/>
        <item x="98"/>
        <item x="907"/>
        <item x="709"/>
        <item x="1139"/>
        <item x="1020"/>
        <item x="324"/>
        <item x="28"/>
        <item x="438"/>
        <item x="755"/>
        <item x="673"/>
        <item x="387"/>
        <item x="149"/>
        <item x="330"/>
        <item x="346"/>
        <item x="139"/>
        <item x="1138"/>
        <item x="222"/>
        <item x="197"/>
        <item x="792"/>
        <item x="1068"/>
        <item x="603"/>
        <item x="645"/>
        <item x="345"/>
        <item x="1178"/>
        <item x="329"/>
        <item x="363"/>
        <item x="179"/>
        <item x="381"/>
        <item x="742"/>
        <item x="1184"/>
        <item x="670"/>
        <item x="1026"/>
        <item x="105"/>
        <item x="326"/>
        <item x="59"/>
        <item x="1007"/>
        <item x="727"/>
        <item x="453"/>
        <item x="382"/>
        <item x="142"/>
        <item x="493"/>
        <item x="660"/>
        <item x="528"/>
        <item x="303"/>
        <item x="775"/>
        <item x="123"/>
        <item x="839"/>
        <item x="720"/>
        <item x="920"/>
        <item x="97"/>
        <item x="956"/>
        <item x="1081"/>
        <item x="622"/>
        <item x="158"/>
        <item x="586"/>
        <item x="75"/>
        <item x="711"/>
        <item x="408"/>
        <item x="1164"/>
        <item x="99"/>
        <item x="832"/>
        <item x="629"/>
        <item x="429"/>
        <item x="544"/>
        <item x="120"/>
        <item x="1015"/>
        <item x="728"/>
        <item x="602"/>
        <item x="190"/>
        <item x="50"/>
        <item x="1106"/>
        <item x="443"/>
        <item x="1038"/>
        <item x="1125"/>
        <item x="344"/>
        <item x="62"/>
        <item x="1016"/>
        <item x="146"/>
        <item x="539"/>
        <item x="1049"/>
        <item x="680"/>
        <item x="37"/>
        <item x="1030"/>
        <item x="1177"/>
        <item x="451"/>
        <item x="395"/>
        <item x="1070"/>
        <item x="265"/>
        <item x="853"/>
        <item x="195"/>
        <item x="177"/>
        <item x="813"/>
        <item x="803"/>
        <item x="288"/>
        <item x="696"/>
        <item x="258"/>
        <item x="761"/>
        <item x="830"/>
        <item x="723"/>
        <item x="245"/>
        <item x="1122"/>
        <item x="1075"/>
        <item x="581"/>
        <item x="564"/>
        <item x="151"/>
        <item x="378"/>
        <item x="616"/>
        <item x="961"/>
        <item x="952"/>
        <item x="57"/>
        <item x="625"/>
        <item x="788"/>
        <item x="49"/>
        <item x="820"/>
        <item x="514"/>
        <item x="1172"/>
        <item x="405"/>
        <item x="492"/>
        <item x="351"/>
        <item x="462"/>
        <item x="692"/>
        <item x="855"/>
        <item x="466"/>
        <item x="1045"/>
        <item x="307"/>
        <item x="862"/>
        <item x="779"/>
        <item x="319"/>
        <item x="171"/>
        <item x="487"/>
        <item x="93"/>
        <item x="1179"/>
        <item x="260"/>
        <item x="732"/>
        <item x="1069"/>
        <item x="908"/>
        <item x="1084"/>
        <item x="284"/>
        <item x="1176"/>
        <item x="1160"/>
        <item x="901"/>
        <item x="160"/>
        <item x="916"/>
        <item x="1050"/>
        <item x="148"/>
        <item x="463"/>
        <item x="206"/>
        <item x="464"/>
        <item x="1034"/>
        <item x="274"/>
        <item x="444"/>
        <item x="1189"/>
        <item x="963"/>
        <item x="662"/>
        <item x="421"/>
        <item x="108"/>
        <item x="38"/>
        <item x="682"/>
        <item x="858"/>
        <item x="1170"/>
        <item x="900"/>
        <item x="439"/>
        <item x="1112"/>
        <item x="337"/>
        <item x="45"/>
        <item x="783"/>
        <item x="938"/>
        <item x="9"/>
        <item x="261"/>
        <item x="134"/>
        <item x="193"/>
        <item x="1053"/>
        <item x="297"/>
        <item x="380"/>
        <item x="918"/>
        <item x="577"/>
        <item x="703"/>
        <item x="1171"/>
        <item x="767"/>
        <item x="289"/>
        <item x="452"/>
        <item x="566"/>
        <item x="607"/>
        <item x="946"/>
        <item x="506"/>
        <item x="102"/>
        <item x="32"/>
        <item x="534"/>
        <item x="218"/>
        <item x="902"/>
        <item x="911"/>
        <item x="173"/>
        <item x="1033"/>
        <item x="1132"/>
        <item x="136"/>
        <item x="826"/>
        <item x="500"/>
        <item x="913"/>
        <item x="1117"/>
        <item x="1148"/>
        <item x="784"/>
        <item x="1158"/>
        <item x="253"/>
        <item x="584"/>
        <item x="644"/>
        <item x="637"/>
        <item x="958"/>
        <item x="706"/>
        <item x="1043"/>
        <item x="371"/>
        <item x="323"/>
        <item x="613"/>
        <item x="870"/>
        <item x="724"/>
        <item x="379"/>
        <item x="1066"/>
        <item x="816"/>
        <item x="94"/>
        <item x="54"/>
        <item x="360"/>
        <item x="129"/>
        <item x="241"/>
        <item x="474"/>
        <item x="874"/>
        <item x="212"/>
        <item x="39"/>
        <item x="993"/>
        <item x="749"/>
        <item x="308"/>
        <item x="1025"/>
        <item x="731"/>
        <item x="833"/>
        <item x="791"/>
        <item x="121"/>
        <item x="221"/>
        <item x="877"/>
        <item x="469"/>
        <item x="519"/>
        <item x="885"/>
        <item x="455"/>
        <item x="745"/>
        <item x="739"/>
        <item x="615"/>
        <item x="1147"/>
        <item x="606"/>
        <item x="428"/>
        <item x="621"/>
        <item x="334"/>
        <item x="25"/>
        <item x="489"/>
        <item x="1141"/>
        <item x="765"/>
        <item x="960"/>
        <item x="875"/>
        <item x="776"/>
        <item x="1023"/>
        <item x="459"/>
        <item x="1057"/>
        <item x="726"/>
        <item x="892"/>
        <item x="293"/>
        <item x="1105"/>
        <item x="12"/>
        <item x="649"/>
        <item x="746"/>
        <item x="270"/>
        <item x="1028"/>
        <item x="24"/>
        <item x="285"/>
        <item x="111"/>
        <item x="722"/>
        <item x="213"/>
        <item x="710"/>
        <item x="1004"/>
        <item x="1001"/>
        <item x="643"/>
        <item x="1183"/>
        <item x="186"/>
        <item x="335"/>
        <item x="1134"/>
        <item x="848"/>
        <item x="1054"/>
        <item x="1114"/>
        <item x="1"/>
        <item x="472"/>
        <item x="21"/>
        <item x="396"/>
        <item x="664"/>
        <item x="747"/>
        <item x="433"/>
        <item x="83"/>
        <item x="1137"/>
        <item x="232"/>
        <item x="1011"/>
        <item x="239"/>
        <item x="915"/>
        <item x="87"/>
        <item x="795"/>
        <item x="1024"/>
        <item x="1062"/>
        <item x="941"/>
        <item x="127"/>
        <item x="207"/>
        <item x="1165"/>
        <item x="367"/>
        <item x="269"/>
        <item x="298"/>
        <item x="15"/>
        <item x="619"/>
        <item x="1157"/>
        <item x="599"/>
        <item x="236"/>
        <item x="1085"/>
        <item x="565"/>
        <item x="939"/>
        <item x="554"/>
        <item x="702"/>
        <item x="1133"/>
        <item x="547"/>
        <item x="141"/>
        <item x="707"/>
        <item x="760"/>
        <item x="817"/>
        <item x="972"/>
        <item x="899"/>
        <item x="932"/>
        <item x="842"/>
        <item x="198"/>
        <item x="583"/>
        <item x="891"/>
        <item x="922"/>
        <item x="1012"/>
        <item x="1009"/>
        <item x="964"/>
        <item x="861"/>
        <item x="612"/>
        <item x="864"/>
        <item x="863"/>
        <item x="31"/>
        <item x="436"/>
        <item x="778"/>
        <item x="229"/>
        <item x="315"/>
        <item x="497"/>
        <item x="14"/>
        <item x="473"/>
        <item x="597"/>
        <item x="865"/>
        <item x="1089"/>
        <item x="352"/>
        <item x="228"/>
        <item x="808"/>
        <item x="61"/>
        <item x="580"/>
        <item x="385"/>
        <item x="831"/>
        <item x="167"/>
        <item x="104"/>
        <item x="47"/>
        <item x="695"/>
        <item x="967"/>
        <item x="76"/>
        <item x="1080"/>
        <item x="96"/>
        <item x="843"/>
        <item x="478"/>
        <item x="966"/>
        <item x="147"/>
        <item x="317"/>
        <item x="423"/>
        <item x="1005"/>
        <item x="1142"/>
        <item x="66"/>
        <item x="1092"/>
        <item x="611"/>
        <item x="494"/>
        <item x="850"/>
        <item x="150"/>
        <item x="1136"/>
        <item x="110"/>
        <item x="921"/>
        <item x="235"/>
        <item x="36"/>
        <item x="685"/>
        <item x="1047"/>
        <item x="744"/>
        <item x="275"/>
        <item x="725"/>
        <item x="763"/>
        <item x="138"/>
        <item x="736"/>
        <item x="1104"/>
        <item x="1108"/>
        <item x="906"/>
        <item x="388"/>
        <item x="336"/>
        <item x="320"/>
        <item x="16"/>
        <item x="884"/>
        <item x="355"/>
        <item x="280"/>
        <item x="465"/>
        <item x="34"/>
        <item x="53"/>
        <item x="787"/>
        <item x="1169"/>
        <item x="701"/>
        <item x="375"/>
        <item x="578"/>
        <item x="648"/>
        <item x="550"/>
        <item x="546"/>
        <item x="373"/>
        <item x="233"/>
        <item x="1156"/>
        <item x="753"/>
        <item x="521"/>
        <item x="940"/>
        <item x="1056"/>
        <item x="879"/>
        <item x="162"/>
        <item x="366"/>
        <item x="770"/>
        <item x="1111"/>
        <item x="925"/>
        <item x="968"/>
        <item x="457"/>
        <item x="797"/>
        <item x="667"/>
        <item x="620"/>
        <item x="268"/>
        <item x="735"/>
        <item x="41"/>
        <item x="1186"/>
        <item x="904"/>
        <item x="402"/>
        <item x="594"/>
        <item x="585"/>
        <item x="1060"/>
        <item x="1035"/>
        <item x="634"/>
        <item x="81"/>
        <item x="628"/>
        <item x="243"/>
        <item x="1090"/>
        <item x="116"/>
        <item x="800"/>
        <item x="897"/>
        <item x="384"/>
        <item x="426"/>
        <item x="294"/>
        <item x="866"/>
        <item x="1022"/>
        <item x="636"/>
        <item x="196"/>
        <item x="1192"/>
        <item x="1018"/>
        <item x="543"/>
        <item x="734"/>
        <item x="818"/>
        <item x="44"/>
        <item x="989"/>
        <item x="1073"/>
        <item x="740"/>
        <item x="976"/>
        <item x="1032"/>
        <item x="168"/>
        <item x="1123"/>
        <item x="819"/>
        <item x="210"/>
        <item x="929"/>
        <item x="698"/>
        <item x="530"/>
        <item x="279"/>
        <item x="413"/>
        <item x="390"/>
        <item x="1100"/>
        <item x="1088"/>
        <item x="119"/>
        <item x="659"/>
        <item x="638"/>
        <item x="985"/>
        <item x="838"/>
        <item x="983"/>
        <item x="587"/>
        <item x="488"/>
        <item x="1027"/>
        <item x="910"/>
        <item x="194"/>
        <item x="42"/>
        <item x="1094"/>
        <item x="646"/>
        <item x="368"/>
        <item x="68"/>
        <item x="807"/>
        <item x="708"/>
        <item x="642"/>
        <item x="844"/>
        <item x="490"/>
        <item x="657"/>
        <item x="890"/>
        <item x="257"/>
        <item x="89"/>
        <item x="542"/>
        <item x="485"/>
        <item x="959"/>
        <item x="5"/>
        <item x="556"/>
        <item x="1185"/>
        <item x="799"/>
        <item x="448"/>
        <item x="406"/>
        <item x="357"/>
        <item x="1014"/>
        <item x="1061"/>
        <item x="131"/>
        <item x="1077"/>
        <item x="502"/>
        <item x="440"/>
        <item x="248"/>
        <item x="226"/>
        <item x="651"/>
        <item x="532"/>
        <item x="445"/>
        <item x="480"/>
        <item x="610"/>
        <item x="1190"/>
        <item x="805"/>
        <item x="74"/>
        <item x="0"/>
        <item x="773"/>
        <item x="4"/>
        <item x="658"/>
        <item x="192"/>
        <item x="672"/>
        <item x="697"/>
        <item x="88"/>
        <item x="249"/>
        <item x="588"/>
        <item x="688"/>
        <item x="1144"/>
        <item x="942"/>
        <item x="806"/>
        <item x="82"/>
        <item x="1146"/>
        <item x="71"/>
        <item x="411"/>
        <item x="845"/>
        <item x="505"/>
        <item x="460"/>
        <item x="277"/>
        <item x="1059"/>
        <item x="64"/>
        <item x="67"/>
        <item x="561"/>
        <item x="750"/>
        <item x="1166"/>
        <item x="72"/>
        <item x="1194"/>
        <item x="1116"/>
        <item x="434"/>
        <item x="321"/>
        <item x="714"/>
        <item x="301"/>
        <item x="691"/>
        <item x="299"/>
        <item x="1121"/>
        <item x="409"/>
        <item x="781"/>
        <item x="965"/>
        <item x="1079"/>
        <item x="752"/>
        <item x="886"/>
        <item x="154"/>
        <item x="895"/>
        <item x="244"/>
        <item x="590"/>
        <item x="665"/>
        <item x="70"/>
        <item x="117"/>
        <item x="538"/>
        <item x="79"/>
        <item x="107"/>
        <item x="589"/>
        <item x="17"/>
        <item x="840"/>
        <item x="410"/>
        <item x="981"/>
        <item x="1048"/>
        <item x="977"/>
        <item x="476"/>
        <item x="331"/>
        <item x="979"/>
        <item x="316"/>
        <item x="454"/>
        <item x="815"/>
        <item x="769"/>
        <item x="259"/>
        <item x="140"/>
        <item x="305"/>
        <item x="630"/>
        <item x="573"/>
        <item x="518"/>
        <item x="812"/>
        <item x="23"/>
        <item x="1002"/>
        <item x="748"/>
        <item x="617"/>
        <item x="909"/>
        <item x="633"/>
        <item x="852"/>
        <item x="533"/>
        <item x="215"/>
        <item x="407"/>
        <item x="801"/>
        <item x="468"/>
        <item x="254"/>
        <item x="595"/>
        <item x="699"/>
        <item x="869"/>
        <item x="449"/>
        <item x="48"/>
        <item x="29"/>
        <item x="189"/>
        <item x="152"/>
        <item x="188"/>
        <item x="170"/>
        <item x="156"/>
        <item x="1095"/>
        <item x="737"/>
        <item x="851"/>
        <item x="730"/>
        <item x="582"/>
        <item x="185"/>
        <item x="22"/>
        <item x="1087"/>
        <item x="777"/>
        <item x="496"/>
        <item x="947"/>
        <item x="639"/>
        <item x="1036"/>
        <item x="199"/>
        <item x="558"/>
        <item x="560"/>
        <item x="513"/>
        <item x="365"/>
        <item x="447"/>
        <item x="246"/>
        <item x="693"/>
        <item x="516"/>
        <item x="1083"/>
        <item x="479"/>
        <item x="132"/>
        <item x="605"/>
        <item x="311"/>
        <item x="361"/>
        <item x="133"/>
        <item x="1037"/>
        <item x="754"/>
        <item x="2"/>
        <item x="1021"/>
        <item x="291"/>
        <item x="52"/>
        <item x="353"/>
        <item x="545"/>
        <item x="432"/>
        <item x="828"/>
        <item x="896"/>
        <item x="992"/>
        <item x="575"/>
        <item x="310"/>
        <item x="26"/>
        <item x="1082"/>
        <item x="627"/>
        <item x="264"/>
        <item x="470"/>
        <item x="1149"/>
        <item x="878"/>
        <item x="393"/>
        <item x="978"/>
        <item x="974"/>
        <item x="143"/>
        <item x="90"/>
        <item x="945"/>
        <item x="690"/>
        <item x="312"/>
        <item x="991"/>
        <item x="796"/>
        <item x="655"/>
        <item x="675"/>
        <item x="1193"/>
        <item x="302"/>
        <item x="338"/>
        <item x="935"/>
        <item x="990"/>
        <item x="970"/>
        <item x="930"/>
        <item x="33"/>
        <item x="114"/>
        <item x="84"/>
        <item x="161"/>
        <item x="883"/>
        <item x="414"/>
        <item x="509"/>
        <item x="1076"/>
        <item x="1181"/>
        <item x="846"/>
        <item x="1175"/>
        <item x="339"/>
        <item x="58"/>
        <item x="834"/>
        <item x="450"/>
        <item x="1151"/>
        <item x="290"/>
        <item x="7"/>
        <item x="771"/>
        <item x="557"/>
        <item x="934"/>
        <item x="984"/>
        <item x="296"/>
        <item x="417"/>
        <item x="511"/>
        <item x="203"/>
        <item x="1042"/>
        <item x="1110"/>
        <item x="266"/>
        <item x="256"/>
        <item x="73"/>
        <item x="579"/>
        <item x="419"/>
        <item x="1067"/>
        <item x="1051"/>
        <item x="300"/>
        <item x="718"/>
        <item x="666"/>
        <item x="224"/>
        <item x="872"/>
        <item x="1163"/>
        <item x="571"/>
        <item x="876"/>
        <item x="169"/>
        <item x="683"/>
        <item x="1188"/>
        <item x="1098"/>
        <item x="551"/>
        <item x="668"/>
        <item x="370"/>
        <item x="1055"/>
        <item x="950"/>
        <item x="77"/>
        <item x="996"/>
        <item x="383"/>
        <item x="995"/>
        <item x="880"/>
        <item x="905"/>
        <item x="531"/>
        <item x="178"/>
        <item x="559"/>
        <item x="306"/>
        <item x="176"/>
        <item x="772"/>
        <item x="847"/>
        <item x="225"/>
        <item x="955"/>
        <item x="369"/>
        <item x="231"/>
        <item x="1153"/>
        <item x="1041"/>
        <item x="282"/>
        <item x="604"/>
        <item x="785"/>
        <item x="653"/>
        <item x="600"/>
        <item x="262"/>
        <item x="80"/>
        <item x="669"/>
        <item x="794"/>
        <item x="835"/>
        <item x="427"/>
        <item x="1182"/>
        <item x="888"/>
        <item x="1128"/>
        <item x="721"/>
        <item x="204"/>
        <item x="759"/>
        <item x="180"/>
        <item x="1019"/>
        <item x="1155"/>
        <item x="821"/>
        <item x="825"/>
        <item x="1130"/>
        <item x="273"/>
        <item x="322"/>
        <item x="364"/>
        <item x="1140"/>
        <item x="6"/>
        <item x="789"/>
        <item x="738"/>
        <item x="238"/>
        <item x="868"/>
        <item x="128"/>
        <item x="187"/>
        <item x="623"/>
        <item x="181"/>
        <item x="823"/>
        <item x="208"/>
        <item x="953"/>
        <item x="517"/>
        <item x="857"/>
        <item x="510"/>
        <item x="227"/>
        <item x="1103"/>
        <item x="1159"/>
        <item x="679"/>
        <item x="126"/>
        <item x="988"/>
        <item x="304"/>
        <item x="689"/>
        <item x="705"/>
        <item x="549"/>
        <item x="536"/>
        <item x="1143"/>
        <item x="811"/>
        <item x="347"/>
        <item x="1040"/>
        <item x="398"/>
        <item x="182"/>
        <item x="641"/>
        <item x="951"/>
        <item x="1113"/>
        <item x="882"/>
        <item x="780"/>
        <item x="163"/>
        <item x="512"/>
        <item x="286"/>
        <item x="923"/>
        <item x="881"/>
        <item x="944"/>
        <item x="343"/>
        <item x="1058"/>
        <item x="153"/>
        <item x="425"/>
        <item x="766"/>
        <item x="422"/>
        <item x="608"/>
        <item x="498"/>
        <item x="278"/>
        <item x="681"/>
        <item x="1195"/>
        <item x="975"/>
        <item x="631"/>
        <item x="1154"/>
        <item x="1013"/>
        <item x="1109"/>
        <item x="741"/>
        <item x="486"/>
        <item x="431"/>
        <item x="313"/>
        <item x="762"/>
        <item x="35"/>
        <item x="234"/>
        <item x="790"/>
        <item x="591"/>
        <item x="404"/>
        <item x="503"/>
        <item x="446"/>
        <item x="678"/>
        <item x="456"/>
        <item x="481"/>
        <item x="1187"/>
        <item x="1127"/>
        <item x="401"/>
        <item x="341"/>
        <item x="980"/>
        <item x="230"/>
        <item x="418"/>
        <item x="893"/>
        <item x="201"/>
        <item x="652"/>
        <item x="359"/>
        <item x="350"/>
        <item x="713"/>
        <item x="986"/>
        <item x="520"/>
        <item x="798"/>
        <item x="572"/>
        <item x="95"/>
        <item x="46"/>
        <item x="20"/>
        <item x="541"/>
        <item x="694"/>
        <item x="415"/>
        <item x="632"/>
        <item x="764"/>
        <item x="804"/>
        <item x="333"/>
        <item x="687"/>
        <item x="656"/>
        <item x="400"/>
        <item x="733"/>
        <item x="969"/>
        <item x="11"/>
        <item x="416"/>
        <item x="757"/>
        <item x="482"/>
        <item x="898"/>
        <item x="758"/>
        <item x="430"/>
        <item x="65"/>
        <item x="661"/>
        <item x="1065"/>
        <item x="1126"/>
        <item x="786"/>
        <item x="175"/>
        <item x="8"/>
        <item x="1091"/>
        <item x="91"/>
        <item x="903"/>
        <item x="873"/>
        <item x="356"/>
        <item x="712"/>
        <item x="467"/>
        <item x="318"/>
        <item x="1003"/>
        <item x="112"/>
        <item x="1119"/>
        <item x="220"/>
        <item x="255"/>
        <item x="973"/>
        <item x="471"/>
        <item x="1010"/>
        <item x="377"/>
        <item x="1129"/>
        <item x="837"/>
        <item x="535"/>
        <item x="715"/>
        <item x="937"/>
        <item x="962"/>
        <item x="325"/>
        <item x="60"/>
        <item x="276"/>
        <item x="340"/>
        <item x="1029"/>
        <item x="1074"/>
        <item x="933"/>
        <item x="809"/>
        <item x="1064"/>
        <item x="700"/>
        <item x="166"/>
        <item x="165"/>
        <item x="871"/>
        <item x="43"/>
        <item x="751"/>
        <item x="242"/>
        <item x="555"/>
        <item x="793"/>
        <item x="106"/>
        <item x="1052"/>
        <item x="592"/>
        <item x="118"/>
        <item x="601"/>
        <item x="949"/>
        <item x="677"/>
        <item x="113"/>
        <item x="1031"/>
        <item x="802"/>
        <item x="743"/>
        <item x="309"/>
        <item x="676"/>
        <item x="51"/>
        <item x="997"/>
        <item x="332"/>
        <item x="441"/>
        <item x="570"/>
        <item x="854"/>
        <item x="618"/>
        <item x="122"/>
        <item x="598"/>
        <item x="1008"/>
        <item x="247"/>
        <item x="461"/>
        <item x="704"/>
        <item x="183"/>
        <item x="403"/>
        <item x="216"/>
        <item x="205"/>
        <item x="1118"/>
        <item x="768"/>
        <item x="1145"/>
        <item x="495"/>
        <item x="27"/>
        <item x="1152"/>
        <item x="3"/>
        <item x="130"/>
        <item x="829"/>
        <item x="13"/>
        <item x="101"/>
        <item x="856"/>
        <item x="155"/>
        <item x="926"/>
        <item x="640"/>
        <item x="124"/>
        <item x="567"/>
        <item x="501"/>
        <item x="392"/>
        <item x="936"/>
        <item x="822"/>
        <item x="1096"/>
        <item x="292"/>
        <item x="209"/>
        <item x="137"/>
        <item x="537"/>
        <item x="240"/>
        <item x="420"/>
        <item x="477"/>
        <item x="971"/>
        <item x="931"/>
        <item x="223"/>
        <item x="271"/>
        <item x="717"/>
        <item x="1107"/>
        <item x="263"/>
        <item x="1120"/>
        <item x="200"/>
        <item x="1063"/>
        <item x="483"/>
        <item x="1072"/>
        <item x="635"/>
        <item x="894"/>
        <item x="860"/>
        <item x="504"/>
        <item x="1102"/>
        <item x="686"/>
        <item x="508"/>
        <item x="1006"/>
        <item x="18"/>
        <item x="437"/>
        <item x="362"/>
        <item x="859"/>
        <item x="1078"/>
        <item x="524"/>
        <item x="1093"/>
        <item x="499"/>
        <item x="994"/>
        <item x="372"/>
        <item x="650"/>
        <item x="211"/>
        <item x="569"/>
        <item x="522"/>
        <item x="1000"/>
        <item x="540"/>
        <item x="376"/>
        <item x="998"/>
        <item x="252"/>
        <item x="917"/>
        <item x="836"/>
        <item x="327"/>
        <item x="397"/>
        <item x="159"/>
        <item x="674"/>
        <item x="85"/>
        <item x="782"/>
        <item x="348"/>
        <item x="251"/>
        <item x="358"/>
        <item x="919"/>
        <item x="1124"/>
        <item x="756"/>
        <item x="1044"/>
        <item x="548"/>
        <item x="184"/>
        <item x="948"/>
        <item x="527"/>
        <item x="525"/>
        <item x="1086"/>
        <item x="912"/>
        <item x="1071"/>
        <item x="342"/>
        <item x="1162"/>
        <item x="774"/>
        <item x="529"/>
        <item x="1017"/>
        <item x="1173"/>
        <item x="684"/>
        <item x="1191"/>
        <item x="568"/>
        <item x="716"/>
        <item x="719"/>
        <item x="491"/>
        <item x="563"/>
        <item x="810"/>
        <item x="596"/>
        <item x="1099"/>
        <item x="867"/>
        <item x="164"/>
        <item x="1039"/>
        <item x="957"/>
        <item x="523"/>
        <item x="125"/>
        <item x="1167"/>
        <item x="202"/>
        <item x="593"/>
        <item x="250"/>
        <item x="928"/>
        <item x="1197"/>
        <item x="814"/>
        <item x="1131"/>
        <item x="924"/>
        <item x="328"/>
        <item x="10"/>
        <item x="1097"/>
        <item x="458"/>
        <item x="1101"/>
        <item x="267"/>
        <item x="435"/>
        <item x="281"/>
        <item x="191"/>
        <item x="654"/>
        <item x="386"/>
        <item x="987"/>
        <item x="1161"/>
        <item x="626"/>
        <item x="663"/>
        <item x="389"/>
        <item x="19"/>
        <item x="484"/>
        <item x="827"/>
        <item x="56"/>
        <item x="553"/>
        <item x="1135"/>
        <item x="287"/>
        <item x="927"/>
        <item x="647"/>
        <item x="63"/>
        <item x="1196"/>
        <item x="295"/>
        <item x="157"/>
        <item x="272"/>
        <item t="default"/>
      </items>
    </pivotField>
    <pivotField showAll="0"/>
    <pivotField showAll="0"/>
    <pivotField showAll="0">
      <items count="17">
        <item x="1"/>
        <item x="13"/>
        <item x="3"/>
        <item x="12"/>
        <item x="7"/>
        <item x="6"/>
        <item x="8"/>
        <item x="0"/>
        <item x="14"/>
        <item x="4"/>
        <item x="10"/>
        <item x="9"/>
        <item x="15"/>
        <item x="11"/>
        <item x="5"/>
        <item x="2"/>
        <item t="default"/>
      </items>
    </pivotField>
    <pivotField showAll="0"/>
    <pivotField numFmtId="10" showAll="0"/>
    <pivotField numFmtId="10" showAll="0">
      <items count="1201">
        <item x="19"/>
        <item x="191"/>
        <item x="379"/>
        <item x="1089"/>
        <item x="343"/>
        <item x="1194"/>
        <item x="1175"/>
        <item x="335"/>
        <item x="840"/>
        <item x="180"/>
        <item x="223"/>
        <item x="920"/>
        <item x="846"/>
        <item x="435"/>
        <item x="1053"/>
        <item x="595"/>
        <item x="187"/>
        <item x="354"/>
        <item x="1073"/>
        <item x="224"/>
        <item x="735"/>
        <item x="126"/>
        <item x="716"/>
        <item x="1101"/>
        <item x="618"/>
        <item x="1133"/>
        <item x="828"/>
        <item x="202"/>
        <item x="474"/>
        <item x="940"/>
        <item x="698"/>
        <item x="650"/>
        <item x="619"/>
        <item x="1143"/>
        <item x="714"/>
        <item x="436"/>
        <item x="931"/>
        <item x="346"/>
        <item x="362"/>
        <item x="423"/>
        <item x="722"/>
        <item x="980"/>
        <item x="752"/>
        <item x="554"/>
        <item x="409"/>
        <item x="569"/>
        <item x="553"/>
        <item x="164"/>
        <item x="271"/>
        <item x="56"/>
        <item x="415"/>
        <item x="63"/>
        <item x="22"/>
        <item x="712"/>
        <item x="1165"/>
        <item x="7"/>
        <item x="1193"/>
        <item x="72"/>
        <item x="639"/>
        <item x="792"/>
        <item x="287"/>
        <item x="759"/>
        <item x="272"/>
        <item x="1062"/>
        <item x="995"/>
        <item x="357"/>
        <item x="625"/>
        <item x="176"/>
        <item x="1136"/>
        <item x="1008"/>
        <item x="1164"/>
        <item x="294"/>
        <item x="199"/>
        <item x="157"/>
        <item x="1000"/>
        <item x="153"/>
        <item x="10"/>
        <item x="1173"/>
        <item x="1199"/>
        <item x="475"/>
        <item x="485"/>
        <item x="184"/>
        <item x="890"/>
        <item x="918"/>
        <item x="1180"/>
        <item x="922"/>
        <item x="923"/>
        <item x="131"/>
        <item x="999"/>
        <item x="295"/>
        <item x="1030"/>
        <item x="641"/>
        <item x="159"/>
        <item x="967"/>
        <item x="675"/>
        <item x="15"/>
        <item x="459"/>
        <item x="528"/>
        <item x="526"/>
        <item x="949"/>
        <item x="655"/>
        <item x="1168"/>
        <item x="234"/>
        <item x="1036"/>
        <item x="868"/>
        <item x="450"/>
        <item x="163"/>
        <item x="368"/>
        <item x="904"/>
        <item x="916"/>
        <item x="991"/>
        <item x="1184"/>
        <item x="1105"/>
        <item x="1191"/>
        <item x="808"/>
        <item x="571"/>
        <item x="256"/>
        <item x="1041"/>
        <item x="648"/>
        <item x="1104"/>
        <item x="627"/>
        <item x="958"/>
        <item x="353"/>
        <item x="161"/>
        <item x="541"/>
        <item x="837"/>
        <item x="676"/>
        <item x="622"/>
        <item x="817"/>
        <item x="628"/>
        <item x="64"/>
        <item x="895"/>
        <item x="860"/>
        <item x="179"/>
        <item x="21"/>
        <item x="401"/>
        <item x="113"/>
        <item x="600"/>
        <item x="963"/>
        <item x="387"/>
        <item x="1045"/>
        <item x="876"/>
        <item x="533"/>
        <item x="720"/>
        <item x="898"/>
        <item x="332"/>
        <item x="1017"/>
        <item x="613"/>
        <item x="6"/>
        <item x="135"/>
        <item x="1178"/>
        <item x="530"/>
        <item x="897"/>
        <item x="93"/>
        <item x="993"/>
        <item x="414"/>
        <item x="192"/>
        <item x="612"/>
        <item x="928"/>
        <item x="1163"/>
        <item x="1071"/>
        <item x="773"/>
        <item x="27"/>
        <item x="764"/>
        <item x="1190"/>
        <item x="593"/>
        <item x="832"/>
        <item x="574"/>
        <item x="149"/>
        <item x="371"/>
        <item x="1198"/>
        <item x="279"/>
        <item x="657"/>
        <item x="691"/>
        <item x="315"/>
        <item x="929"/>
        <item x="250"/>
        <item x="952"/>
        <item x="869"/>
        <item x="758"/>
        <item x="565"/>
        <item x="185"/>
        <item x="442"/>
        <item x="558"/>
        <item x="664"/>
        <item x="727"/>
        <item x="537"/>
        <item x="859"/>
        <item x="624"/>
        <item x="128"/>
        <item x="456"/>
        <item x="1103"/>
        <item x="1112"/>
        <item x="1013"/>
        <item x="1066"/>
        <item x="810"/>
        <item x="653"/>
        <item x="997"/>
        <item x="768"/>
        <item x="504"/>
        <item x="924"/>
        <item x="310"/>
        <item x="1099"/>
        <item x="629"/>
        <item x="732"/>
        <item x="597"/>
        <item x="961"/>
        <item x="377"/>
        <item x="1115"/>
        <item x="936"/>
        <item x="503"/>
        <item x="855"/>
        <item x="775"/>
        <item x="919"/>
        <item x="281"/>
        <item x="303"/>
        <item x="385"/>
        <item x="482"/>
        <item x="564"/>
        <item x="581"/>
        <item x="361"/>
        <item x="734"/>
        <item x="125"/>
        <item x="577"/>
        <item x="524"/>
        <item x="915"/>
        <item x="847"/>
        <item x="85"/>
        <item x="1029"/>
        <item x="243"/>
        <item x="1174"/>
        <item x="25"/>
        <item x="851"/>
        <item x="925"/>
        <item x="751"/>
        <item x="416"/>
        <item x="685"/>
        <item x="173"/>
        <item x="1192"/>
        <item x="309"/>
        <item x="891"/>
        <item x="1019"/>
        <item x="681"/>
        <item x="1048"/>
        <item x="1001"/>
        <item x="227"/>
        <item x="836"/>
        <item x="174"/>
        <item x="419"/>
        <item x="299"/>
        <item x="984"/>
        <item x="1088"/>
        <item x="643"/>
        <item x="746"/>
        <item x="570"/>
        <item x="976"/>
        <item x="438"/>
        <item x="1111"/>
        <item x="791"/>
        <item x="844"/>
        <item x="856"/>
        <item x="508"/>
        <item x="1172"/>
        <item x="1070"/>
        <item x="692"/>
        <item x="1102"/>
        <item x="1169"/>
        <item x="834"/>
        <item x="709"/>
        <item x="575"/>
        <item x="989"/>
        <item x="1006"/>
        <item x="974"/>
        <item x="862"/>
        <item x="1149"/>
        <item x="525"/>
        <item x="696"/>
        <item x="24"/>
        <item x="489"/>
        <item x="1065"/>
        <item x="580"/>
        <item x="3"/>
        <item x="136"/>
        <item x="382"/>
        <item x="608"/>
        <item x="896"/>
        <item x="737"/>
        <item x="1181"/>
        <item x="1114"/>
        <item x="1100"/>
        <item x="977"/>
        <item x="319"/>
        <item x="392"/>
        <item x="731"/>
        <item x="684"/>
        <item x="717"/>
        <item x="1052"/>
        <item x="550"/>
        <item x="421"/>
        <item x="1195"/>
        <item x="505"/>
        <item x="988"/>
        <item x="440"/>
        <item x="1106"/>
        <item x="251"/>
        <item x="132"/>
        <item x="585"/>
        <item x="122"/>
        <item x="557"/>
        <item x="1078"/>
        <item x="973"/>
        <item x="424"/>
        <item x="704"/>
        <item x="216"/>
        <item x="509"/>
        <item x="695"/>
        <item x="799"/>
        <item x="292"/>
        <item x="484"/>
        <item x="913"/>
        <item x="340"/>
        <item x="818"/>
        <item x="257"/>
        <item x="826"/>
        <item x="34"/>
        <item x="144"/>
        <item x="258"/>
        <item x="715"/>
        <item x="880"/>
        <item x="403"/>
        <item x="957"/>
        <item x="453"/>
        <item x="408"/>
        <item x="552"/>
        <item x="757"/>
        <item x="790"/>
        <item x="1129"/>
        <item x="325"/>
        <item x="322"/>
        <item x="451"/>
        <item x="892"/>
        <item x="1148"/>
        <item x="1147"/>
        <item x="5"/>
        <item x="40"/>
        <item x="780"/>
        <item x="211"/>
        <item x="349"/>
        <item x="604"/>
        <item x="209"/>
        <item x="914"/>
        <item x="535"/>
        <item x="599"/>
        <item x="861"/>
        <item x="682"/>
        <item x="488"/>
        <item x="308"/>
        <item x="18"/>
        <item x="455"/>
        <item x="114"/>
        <item x="549"/>
        <item x="738"/>
        <item x="582"/>
        <item x="874"/>
        <item x="711"/>
        <item x="1171"/>
        <item x="468"/>
        <item x="671"/>
        <item x="733"/>
        <item x="1024"/>
        <item x="1188"/>
        <item x="158"/>
        <item x="870"/>
        <item x="140"/>
        <item x="1043"/>
        <item x="932"/>
        <item x="265"/>
        <item x="926"/>
        <item x="998"/>
        <item x="333"/>
        <item x="555"/>
        <item x="1074"/>
        <item x="556"/>
        <item x="983"/>
        <item x="244"/>
        <item x="786"/>
        <item x="1179"/>
        <item x="1109"/>
        <item x="1137"/>
        <item x="342"/>
        <item x="1142"/>
        <item x="821"/>
        <item x="783"/>
        <item x="252"/>
        <item x="270"/>
        <item x="118"/>
        <item x="774"/>
        <item x="819"/>
        <item x="743"/>
        <item x="854"/>
        <item x="420"/>
        <item x="772"/>
        <item x="1056"/>
        <item x="718"/>
        <item x="586"/>
        <item x="602"/>
        <item x="188"/>
        <item x="220"/>
        <item x="945"/>
        <item x="280"/>
        <item x="1126"/>
        <item x="134"/>
        <item x="742"/>
        <item x="205"/>
        <item x="1154"/>
        <item x="813"/>
        <item x="1046"/>
        <item x="105"/>
        <item x="238"/>
        <item x="493"/>
        <item x="583"/>
        <item x="1095"/>
        <item x="249"/>
        <item x="1122"/>
        <item x="2"/>
        <item x="838"/>
        <item x="189"/>
        <item x="418"/>
        <item x="89"/>
        <item x="815"/>
        <item x="713"/>
        <item x="406"/>
        <item x="933"/>
        <item x="355"/>
        <item x="1153"/>
        <item x="106"/>
        <item x="367"/>
        <item x="101"/>
        <item x="534"/>
        <item x="390"/>
        <item x="359"/>
        <item x="1096"/>
        <item x="795"/>
        <item x="749"/>
        <item x="568"/>
        <item x="284"/>
        <item x="88"/>
        <item x="275"/>
        <item x="69"/>
        <item x="490"/>
        <item x="1003"/>
        <item x="822"/>
        <item x="1050"/>
        <item x="516"/>
        <item x="328"/>
        <item x="130"/>
        <item x="247"/>
        <item x="373"/>
        <item x="214"/>
        <item x="222"/>
        <item x="398"/>
        <item x="84"/>
        <item x="96"/>
        <item x="1007"/>
        <item x="242"/>
        <item x="1002"/>
        <item x="649"/>
        <item x="578"/>
        <item x="673"/>
        <item x="992"/>
        <item x="1177"/>
        <item x="200"/>
        <item x="523"/>
        <item x="35"/>
        <item x="393"/>
        <item x="785"/>
        <item x="806"/>
        <item x="481"/>
        <item x="687"/>
        <item x="934"/>
        <item x="207"/>
        <item x="666"/>
        <item x="302"/>
        <item x="544"/>
        <item x="269"/>
        <item x="73"/>
        <item x="954"/>
        <item x="264"/>
        <item x="286"/>
        <item x="465"/>
        <item x="950"/>
        <item x="776"/>
        <item x="948"/>
        <item x="823"/>
        <item x="231"/>
        <item x="1110"/>
        <item x="1072"/>
        <item x="388"/>
        <item x="987"/>
        <item x="1022"/>
        <item x="267"/>
        <item x="116"/>
        <item x="183"/>
        <item x="1076"/>
        <item x="107"/>
        <item x="363"/>
        <item x="1063"/>
        <item x="594"/>
        <item x="326"/>
        <item x="1189"/>
        <item x="576"/>
        <item x="365"/>
        <item x="1031"/>
        <item x="883"/>
        <item x="800"/>
        <item x="1009"/>
        <item x="473"/>
        <item x="263"/>
        <item x="68"/>
        <item x="208"/>
        <item x="972"/>
        <item x="374"/>
        <item x="329"/>
        <item x="1033"/>
        <item x="959"/>
        <item x="1012"/>
        <item x="389"/>
        <item x="767"/>
        <item x="276"/>
        <item x="148"/>
        <item x="680"/>
        <item x="502"/>
        <item x="169"/>
        <item x="457"/>
        <item x="590"/>
        <item x="1058"/>
        <item x="1079"/>
        <item x="364"/>
        <item x="301"/>
        <item x="921"/>
        <item x="659"/>
        <item x="763"/>
        <item x="141"/>
        <item x="739"/>
        <item x="781"/>
        <item x="1134"/>
        <item x="434"/>
        <item x="937"/>
        <item x="344"/>
        <item x="178"/>
        <item x="689"/>
        <item x="147"/>
        <item x="466"/>
        <item x="522"/>
        <item x="311"/>
        <item x="640"/>
        <item x="540"/>
        <item x="1087"/>
        <item x="422"/>
        <item x="877"/>
        <item x="886"/>
        <item x="517"/>
        <item x="240"/>
        <item x="1131"/>
        <item x="793"/>
        <item x="560"/>
        <item x="1170"/>
        <item x="1005"/>
        <item x="1080"/>
        <item x="761"/>
        <item x="705"/>
        <item x="103"/>
        <item x="198"/>
        <item x="589"/>
        <item x="43"/>
        <item x="850"/>
        <item x="143"/>
        <item x="798"/>
        <item x="291"/>
        <item x="300"/>
        <item x="404"/>
        <item x="296"/>
        <item x="110"/>
        <item x="228"/>
        <item x="884"/>
        <item x="563"/>
        <item x="53"/>
        <item x="76"/>
        <item x="75"/>
        <item x="964"/>
        <item x="426"/>
        <item x="397"/>
        <item x="942"/>
        <item x="762"/>
        <item x="981"/>
        <item x="1069"/>
        <item x="1023"/>
        <item x="225"/>
        <item x="965"/>
        <item x="431"/>
        <item x="99"/>
        <item x="760"/>
        <item x="137"/>
        <item x="41"/>
        <item x="1098"/>
        <item x="725"/>
        <item x="605"/>
        <item x="852"/>
        <item x="656"/>
        <item x="827"/>
        <item x="769"/>
        <item x="233"/>
        <item x="744"/>
        <item x="124"/>
        <item x="700"/>
        <item x="127"/>
        <item x="543"/>
        <item x="536"/>
        <item x="1176"/>
        <item x="55"/>
        <item x="331"/>
        <item x="1047"/>
        <item x="1128"/>
        <item x="410"/>
        <item x="229"/>
        <item x="472"/>
        <item x="95"/>
        <item x="358"/>
        <item x="461"/>
        <item x="845"/>
        <item x="908"/>
        <item x="60"/>
        <item x="478"/>
        <item x="458"/>
        <item x="492"/>
        <item x="1068"/>
        <item x="542"/>
        <item x="375"/>
        <item x="1075"/>
        <item x="491"/>
        <item x="538"/>
        <item x="1083"/>
        <item x="1120"/>
        <item x="166"/>
        <item x="888"/>
        <item x="181"/>
        <item x="811"/>
        <item x="882"/>
        <item x="678"/>
        <item x="1091"/>
        <item x="825"/>
        <item x="1092"/>
        <item x="708"/>
        <item x="971"/>
        <item x="378"/>
        <item x="642"/>
        <item x="947"/>
        <item x="282"/>
        <item x="1020"/>
        <item x="927"/>
        <item x="903"/>
        <item x="1057"/>
        <item x="384"/>
        <item x="79"/>
        <item x="155"/>
        <item x="383"/>
        <item x="501"/>
        <item x="766"/>
        <item x="879"/>
        <item x="65"/>
        <item x="636"/>
        <item x="236"/>
        <item x="1059"/>
        <item x="651"/>
        <item x="496"/>
        <item x="360"/>
        <item x="445"/>
        <item x="1040"/>
        <item x="985"/>
        <item x="171"/>
        <item x="745"/>
        <item x="966"/>
        <item x="334"/>
        <item x="97"/>
        <item x="1144"/>
        <item x="59"/>
        <item x="306"/>
        <item x="905"/>
        <item x="370"/>
        <item x="1011"/>
        <item x="679"/>
        <item x="145"/>
        <item x="146"/>
        <item x="469"/>
        <item x="857"/>
        <item x="899"/>
        <item x="787"/>
        <item x="8"/>
        <item x="946"/>
        <item x="572"/>
        <item x="669"/>
        <item x="506"/>
        <item x="1157"/>
        <item x="824"/>
        <item x="104"/>
        <item x="356"/>
        <item x="1162"/>
        <item x="912"/>
        <item x="196"/>
        <item x="441"/>
        <item x="61"/>
        <item x="91"/>
        <item x="901"/>
        <item x="92"/>
        <item x="14"/>
        <item x="614"/>
        <item x="1197"/>
        <item x="728"/>
        <item x="1145"/>
        <item x="730"/>
        <item x="784"/>
        <item x="112"/>
        <item x="314"/>
        <item x="683"/>
        <item x="1039"/>
        <item x="843"/>
        <item x="782"/>
        <item x="98"/>
        <item x="1158"/>
        <item x="248"/>
        <item x="1127"/>
        <item x="1038"/>
        <item x="437"/>
        <item x="559"/>
        <item x="740"/>
        <item x="830"/>
        <item x="0"/>
        <item x="462"/>
        <item x="463"/>
        <item x="956"/>
        <item x="460"/>
        <item x="756"/>
        <item x="439"/>
        <item x="36"/>
        <item x="394"/>
        <item x="241"/>
        <item x="9"/>
        <item x="167"/>
        <item x="232"/>
        <item x="31"/>
        <item x="566"/>
        <item x="288"/>
        <item x="432"/>
        <item x="318"/>
        <item x="52"/>
        <item x="1004"/>
        <item x="13"/>
        <item x="16"/>
        <item x="601"/>
        <item x="1054"/>
        <item x="412"/>
        <item x="1016"/>
        <item x="1055"/>
        <item x="1090"/>
        <item x="894"/>
        <item x="765"/>
        <item x="994"/>
        <item x="647"/>
        <item x="616"/>
        <item x="117"/>
        <item x="42"/>
        <item x="978"/>
        <item x="156"/>
        <item x="1028"/>
        <item x="237"/>
        <item x="701"/>
        <item x="154"/>
        <item x="975"/>
        <item x="1025"/>
        <item x="186"/>
        <item x="777"/>
        <item x="848"/>
        <item x="1014"/>
        <item x="1146"/>
        <item x="592"/>
        <item x="867"/>
        <item x="1161"/>
        <item x="1015"/>
        <item x="519"/>
        <item x="688"/>
        <item x="289"/>
        <item x="351"/>
        <item x="803"/>
        <item x="794"/>
        <item x="729"/>
        <item x="239"/>
        <item x="1121"/>
        <item x="654"/>
        <item x="215"/>
        <item x="849"/>
        <item x="812"/>
        <item x="1135"/>
        <item x="1160"/>
        <item x="165"/>
        <item x="955"/>
        <item x="617"/>
        <item x="119"/>
        <item x="400"/>
        <item x="662"/>
        <item x="548"/>
        <item x="866"/>
        <item x="313"/>
        <item x="551"/>
        <item x="1185"/>
        <item x="206"/>
        <item x="753"/>
        <item x="1152"/>
        <item x="521"/>
        <item x="833"/>
        <item x="863"/>
        <item x="111"/>
        <item x="677"/>
        <item x="906"/>
        <item x="816"/>
        <item x="66"/>
        <item x="413"/>
        <item x="278"/>
        <item x="51"/>
        <item x="1141"/>
        <item x="28"/>
        <item x="665"/>
        <item x="476"/>
        <item x="58"/>
        <item x="839"/>
        <item x="660"/>
        <item x="204"/>
        <item x="1037"/>
        <item x="1108"/>
        <item x="139"/>
        <item x="872"/>
        <item x="193"/>
        <item x="1116"/>
        <item x="741"/>
        <item x="444"/>
        <item x="630"/>
        <item x="1093"/>
        <item x="86"/>
        <item x="706"/>
        <item x="893"/>
        <item x="944"/>
        <item x="213"/>
        <item x="133"/>
        <item x="515"/>
        <item x="907"/>
        <item x="467"/>
        <item x="255"/>
        <item x="305"/>
        <item x="637"/>
        <item x="842"/>
        <item x="938"/>
        <item x="33"/>
        <item x="633"/>
        <item x="809"/>
        <item x="1156"/>
        <item x="805"/>
        <item x="694"/>
        <item x="339"/>
        <item x="427"/>
        <item x="454"/>
        <item x="499"/>
        <item x="968"/>
        <item x="672"/>
        <item x="1113"/>
        <item x="670"/>
        <item x="307"/>
        <item x="667"/>
        <item x="197"/>
        <item x="520"/>
        <item x="1167"/>
        <item x="486"/>
        <item x="293"/>
        <item x="402"/>
        <item x="1"/>
        <item x="770"/>
        <item x="285"/>
        <item x="889"/>
        <item x="661"/>
        <item x="20"/>
        <item x="532"/>
        <item x="858"/>
        <item x="609"/>
        <item x="23"/>
        <item x="500"/>
        <item x="820"/>
        <item x="47"/>
        <item x="513"/>
        <item x="873"/>
        <item x="1186"/>
        <item x="801"/>
        <item x="324"/>
        <item x="320"/>
        <item x="982"/>
        <item x="1061"/>
        <item x="46"/>
        <item x="1067"/>
        <item x="771"/>
        <item x="621"/>
        <item x="789"/>
        <item x="477"/>
        <item x="120"/>
        <item x="1132"/>
        <item x="70"/>
        <item x="1150"/>
        <item x="366"/>
        <item x="969"/>
        <item x="610"/>
        <item x="87"/>
        <item x="686"/>
        <item x="428"/>
        <item x="32"/>
        <item x="338"/>
        <item x="724"/>
        <item x="1182"/>
        <item x="539"/>
        <item x="547"/>
        <item x="494"/>
        <item x="1027"/>
        <item x="1042"/>
        <item x="429"/>
        <item x="268"/>
        <item x="260"/>
        <item x="878"/>
        <item x="471"/>
        <item x="259"/>
        <item x="142"/>
        <item x="94"/>
        <item x="283"/>
        <item x="201"/>
        <item x="917"/>
        <item x="1051"/>
        <item x="887"/>
        <item x="996"/>
        <item x="323"/>
        <item x="483"/>
        <item x="464"/>
        <item x="190"/>
        <item x="990"/>
        <item x="511"/>
        <item x="312"/>
        <item x="710"/>
        <item x="381"/>
        <item x="1107"/>
        <item x="11"/>
        <item x="274"/>
        <item x="900"/>
        <item x="77"/>
        <item x="778"/>
        <item x="405"/>
        <item x="573"/>
        <item x="45"/>
        <item x="102"/>
        <item x="970"/>
        <item x="1077"/>
        <item x="603"/>
        <item x="380"/>
        <item x="909"/>
        <item x="417"/>
        <item x="1097"/>
        <item x="218"/>
        <item x="587"/>
        <item x="109"/>
        <item x="470"/>
        <item x="336"/>
        <item x="261"/>
        <item x="447"/>
        <item x="221"/>
        <item x="83"/>
        <item x="80"/>
        <item x="510"/>
        <item x="1034"/>
        <item x="674"/>
        <item x="50"/>
        <item x="1196"/>
        <item x="1159"/>
        <item x="230"/>
        <item x="348"/>
        <item x="449"/>
        <item x="588"/>
        <item x="902"/>
        <item x="606"/>
        <item x="1035"/>
        <item x="607"/>
        <item x="507"/>
        <item x="853"/>
        <item x="210"/>
        <item x="645"/>
        <item x="631"/>
        <item x="396"/>
        <item x="448"/>
        <item x="67"/>
        <item x="807"/>
        <item x="345"/>
        <item x="57"/>
        <item x="498"/>
        <item x="518"/>
        <item x="160"/>
        <item x="123"/>
        <item x="1183"/>
        <item x="446"/>
        <item x="433"/>
        <item x="699"/>
        <item x="253"/>
        <item x="546"/>
        <item x="129"/>
        <item x="1044"/>
        <item x="598"/>
        <item x="78"/>
        <item x="979"/>
        <item x="316"/>
        <item x="623"/>
        <item x="626"/>
        <item x="411"/>
        <item x="960"/>
        <item x="235"/>
        <item x="81"/>
        <item x="487"/>
        <item x="962"/>
        <item x="82"/>
        <item x="754"/>
        <item x="391"/>
        <item x="707"/>
        <item x="1138"/>
        <item x="831"/>
        <item x="1139"/>
        <item x="26"/>
        <item x="632"/>
        <item x="638"/>
        <item x="615"/>
        <item x="30"/>
        <item x="44"/>
        <item x="172"/>
        <item x="182"/>
        <item x="266"/>
        <item x="881"/>
        <item x="951"/>
        <item x="203"/>
        <item x="1151"/>
        <item x="273"/>
        <item x="12"/>
        <item x="430"/>
        <item x="29"/>
        <item x="443"/>
        <item x="1082"/>
        <item x="321"/>
        <item x="170"/>
        <item x="386"/>
        <item x="1086"/>
        <item x="219"/>
        <item x="584"/>
        <item x="1119"/>
        <item x="217"/>
        <item x="327"/>
        <item x="1084"/>
        <item x="1049"/>
        <item x="723"/>
        <item x="1085"/>
        <item x="1026"/>
        <item x="246"/>
        <item x="865"/>
        <item x="871"/>
        <item x="407"/>
        <item x="479"/>
        <item x="138"/>
        <item x="690"/>
        <item x="100"/>
        <item x="875"/>
        <item x="693"/>
        <item x="352"/>
        <item x="939"/>
        <item x="1166"/>
        <item x="591"/>
        <item x="747"/>
        <item x="829"/>
        <item x="1094"/>
        <item x="1123"/>
        <item x="797"/>
        <item x="1032"/>
        <item x="841"/>
        <item x="941"/>
        <item x="721"/>
        <item x="277"/>
        <item x="4"/>
        <item x="796"/>
        <item x="399"/>
        <item x="376"/>
        <item x="17"/>
        <item x="658"/>
        <item x="562"/>
        <item x="750"/>
        <item x="115"/>
        <item x="620"/>
        <item x="986"/>
        <item x="702"/>
        <item x="48"/>
        <item x="703"/>
        <item x="226"/>
        <item x="1187"/>
        <item x="37"/>
        <item x="596"/>
        <item x="341"/>
        <item x="347"/>
        <item x="1140"/>
        <item x="497"/>
        <item x="663"/>
        <item x="1010"/>
        <item x="635"/>
        <item x="1021"/>
        <item x="545"/>
        <item x="531"/>
        <item x="369"/>
        <item x="54"/>
        <item x="304"/>
        <item x="611"/>
        <item x="150"/>
        <item x="108"/>
        <item x="121"/>
        <item x="1081"/>
        <item x="337"/>
        <item x="748"/>
        <item x="726"/>
        <item x="39"/>
        <item x="480"/>
        <item x="634"/>
        <item x="527"/>
        <item x="788"/>
        <item x="350"/>
        <item x="864"/>
        <item x="561"/>
        <item x="804"/>
        <item x="194"/>
        <item x="62"/>
        <item x="1124"/>
        <item x="1018"/>
        <item x="317"/>
        <item x="1155"/>
        <item x="567"/>
        <item x="74"/>
        <item x="652"/>
        <item x="254"/>
        <item x="90"/>
        <item x="930"/>
        <item x="885"/>
        <item x="290"/>
        <item x="262"/>
        <item x="372"/>
        <item x="579"/>
        <item x="644"/>
        <item x="195"/>
        <item x="814"/>
        <item x="911"/>
        <item x="297"/>
        <item x="779"/>
        <item x="298"/>
        <item x="177"/>
        <item x="212"/>
        <item x="1130"/>
        <item x="495"/>
        <item x="646"/>
        <item x="935"/>
        <item x="1118"/>
        <item x="529"/>
        <item x="175"/>
        <item x="755"/>
        <item x="910"/>
        <item x="1117"/>
        <item x="1125"/>
        <item x="514"/>
        <item x="802"/>
        <item x="697"/>
        <item x="835"/>
        <item x="452"/>
        <item x="71"/>
        <item x="953"/>
        <item x="395"/>
        <item x="168"/>
        <item x="943"/>
        <item x="151"/>
        <item x="162"/>
        <item x="1060"/>
        <item x="719"/>
        <item x="49"/>
        <item x="668"/>
        <item x="245"/>
        <item x="736"/>
        <item x="152"/>
        <item x="330"/>
        <item x="512"/>
        <item x="38"/>
        <item x="1064"/>
        <item x="42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dragToRow="0" dragToCol="0" dragToPage="0" showAll="0" defaultSubtotal="0"/>
  </pivotFields>
  <rowItems count="1">
    <i/>
  </rowItems>
  <colItems count="1">
    <i/>
  </colItems>
  <dataFields count="1">
    <dataField name="Sum of Revenue_USD" fld="4" baseField="0" baseItem="0" numFmtId="166"/>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B8C2638-0CEA-4D44-910D-FB3439BC3DFF}"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Sales Channel">
  <location ref="C85:C86" firstHeaderRow="1" firstDataRow="1" firstDataCol="0"/>
  <pivotFields count="16">
    <pivotField numFmtId="14" showAll="0">
      <items count="601">
        <item x="79"/>
        <item x="511"/>
        <item x="199"/>
        <item x="86"/>
        <item x="123"/>
        <item x="525"/>
        <item x="29"/>
        <item x="99"/>
        <item x="467"/>
        <item x="346"/>
        <item x="559"/>
        <item x="325"/>
        <item x="52"/>
        <item x="138"/>
        <item x="242"/>
        <item x="151"/>
        <item x="168"/>
        <item x="300"/>
        <item x="313"/>
        <item x="442"/>
        <item x="422"/>
        <item x="187"/>
        <item x="225"/>
        <item x="159"/>
        <item x="380"/>
        <item x="165"/>
        <item x="431"/>
        <item x="474"/>
        <item x="512"/>
        <item x="144"/>
        <item x="154"/>
        <item x="73"/>
        <item x="129"/>
        <item x="360"/>
        <item x="108"/>
        <item x="88"/>
        <item x="318"/>
        <item x="460"/>
        <item x="358"/>
        <item x="553"/>
        <item x="43"/>
        <item x="240"/>
        <item x="424"/>
        <item x="207"/>
        <item x="447"/>
        <item x="569"/>
        <item x="576"/>
        <item x="149"/>
        <item x="173"/>
        <item x="222"/>
        <item x="537"/>
        <item x="493"/>
        <item x="497"/>
        <item x="49"/>
        <item x="238"/>
        <item x="364"/>
        <item x="492"/>
        <item x="304"/>
        <item x="558"/>
        <item x="290"/>
        <item x="87"/>
        <item x="509"/>
        <item x="139"/>
        <item x="298"/>
        <item x="219"/>
        <item x="117"/>
        <item x="428"/>
        <item x="591"/>
        <item x="175"/>
        <item x="102"/>
        <item x="323"/>
        <item x="599"/>
        <item x="595"/>
        <item x="375"/>
        <item x="554"/>
        <item x="80"/>
        <item x="122"/>
        <item x="486"/>
        <item x="51"/>
        <item x="314"/>
        <item x="205"/>
        <item x="0"/>
        <item x="39"/>
        <item x="388"/>
        <item x="434"/>
        <item x="189"/>
        <item x="137"/>
        <item x="93"/>
        <item x="84"/>
        <item x="438"/>
        <item x="120"/>
        <item x="127"/>
        <item x="177"/>
        <item x="295"/>
        <item x="47"/>
        <item x="152"/>
        <item x="403"/>
        <item x="232"/>
        <item x="582"/>
        <item x="289"/>
        <item x="46"/>
        <item x="475"/>
        <item x="371"/>
        <item x="167"/>
        <item x="261"/>
        <item x="389"/>
        <item x="188"/>
        <item x="457"/>
        <item x="463"/>
        <item x="367"/>
        <item x="355"/>
        <item x="294"/>
        <item x="465"/>
        <item x="118"/>
        <item x="251"/>
        <item x="212"/>
        <item x="254"/>
        <item x="476"/>
        <item x="478"/>
        <item x="423"/>
        <item x="69"/>
        <item x="27"/>
        <item x="437"/>
        <item x="31"/>
        <item x="310"/>
        <item x="377"/>
        <item x="521"/>
        <item x="311"/>
        <item x="213"/>
        <item x="107"/>
        <item x="32"/>
        <item x="452"/>
        <item x="541"/>
        <item x="223"/>
        <item x="291"/>
        <item x="510"/>
        <item x="579"/>
        <item x="427"/>
        <item x="505"/>
        <item x="539"/>
        <item x="383"/>
        <item x="36"/>
        <item x="317"/>
        <item x="362"/>
        <item x="155"/>
        <item x="359"/>
        <item x="548"/>
        <item x="384"/>
        <item x="469"/>
        <item x="246"/>
        <item x="279"/>
        <item x="296"/>
        <item x="191"/>
        <item x="508"/>
        <item x="148"/>
        <item x="305"/>
        <item x="575"/>
        <item x="19"/>
        <item x="373"/>
        <item x="163"/>
        <item x="536"/>
        <item x="285"/>
        <item x="44"/>
        <item x="392"/>
        <item x="104"/>
        <item x="264"/>
        <item x="8"/>
        <item x="566"/>
        <item x="301"/>
        <item x="363"/>
        <item x="190"/>
        <item x="81"/>
        <item x="209"/>
        <item x="394"/>
        <item x="164"/>
        <item x="498"/>
        <item x="540"/>
        <item x="255"/>
        <item x="297"/>
        <item x="265"/>
        <item x="195"/>
        <item x="523"/>
        <item x="516"/>
        <item x="142"/>
        <item x="162"/>
        <item x="321"/>
        <item x="468"/>
        <item x="239"/>
        <item x="564"/>
        <item x="439"/>
        <item x="92"/>
        <item x="574"/>
        <item x="387"/>
        <item x="237"/>
        <item x="128"/>
        <item x="315"/>
        <item x="385"/>
        <item x="258"/>
        <item x="551"/>
        <item x="281"/>
        <item x="596"/>
        <item x="75"/>
        <item x="494"/>
        <item x="115"/>
        <item x="146"/>
        <item x="473"/>
        <item x="48"/>
        <item x="354"/>
        <item x="425"/>
        <item x="249"/>
        <item x="462"/>
        <item x="106"/>
        <item x="587"/>
        <item x="366"/>
        <item x="169"/>
        <item x="160"/>
        <item x="259"/>
        <item x="417"/>
        <item x="275"/>
        <item x="446"/>
        <item x="215"/>
        <item x="583"/>
        <item x="507"/>
        <item x="267"/>
        <item x="170"/>
        <item x="231"/>
        <item x="5"/>
        <item x="503"/>
        <item x="57"/>
        <item x="334"/>
        <item x="59"/>
        <item x="408"/>
        <item x="235"/>
        <item x="76"/>
        <item x="109"/>
        <item x="268"/>
        <item x="119"/>
        <item x="410"/>
        <item x="405"/>
        <item x="157"/>
        <item x="276"/>
        <item x="557"/>
        <item x="584"/>
        <item x="531"/>
        <item x="101"/>
        <item x="593"/>
        <item x="543"/>
        <item x="370"/>
        <item x="156"/>
        <item x="236"/>
        <item x="89"/>
        <item x="200"/>
        <item x="252"/>
        <item x="82"/>
        <item x="181"/>
        <item x="150"/>
        <item x="597"/>
        <item x="182"/>
        <item x="485"/>
        <item x="495"/>
        <item x="546"/>
        <item x="350"/>
        <item x="241"/>
        <item x="560"/>
        <item x="538"/>
        <item x="95"/>
        <item x="153"/>
        <item x="562"/>
        <item x="445"/>
        <item x="535"/>
        <item x="65"/>
        <item x="544"/>
        <item x="299"/>
        <item x="1"/>
        <item x="327"/>
        <item x="577"/>
        <item x="443"/>
        <item x="83"/>
        <item x="216"/>
        <item x="528"/>
        <item x="263"/>
        <item x="345"/>
        <item x="340"/>
        <item x="282"/>
        <item x="580"/>
        <item x="158"/>
        <item x="110"/>
        <item x="415"/>
        <item x="37"/>
        <item x="228"/>
        <item x="206"/>
        <item x="309"/>
        <item x="483"/>
        <item x="339"/>
        <item x="489"/>
        <item x="293"/>
        <item x="229"/>
        <item x="274"/>
        <item x="132"/>
        <item x="262"/>
        <item x="34"/>
        <item x="433"/>
        <item x="6"/>
        <item x="337"/>
        <item x="184"/>
        <item x="441"/>
        <item x="202"/>
        <item x="21"/>
        <item x="401"/>
        <item x="269"/>
        <item x="590"/>
        <item x="112"/>
        <item x="530"/>
        <item x="365"/>
        <item x="589"/>
        <item x="278"/>
        <item x="572"/>
        <item x="22"/>
        <item x="351"/>
        <item x="7"/>
        <item x="499"/>
        <item x="328"/>
        <item x="141"/>
        <item x="287"/>
        <item x="15"/>
        <item x="519"/>
        <item x="125"/>
        <item x="60"/>
        <item x="63"/>
        <item x="214"/>
        <item x="41"/>
        <item x="33"/>
        <item x="70"/>
        <item x="348"/>
        <item x="332"/>
        <item x="113"/>
        <item x="134"/>
        <item x="386"/>
        <item x="40"/>
        <item x="481"/>
        <item x="97"/>
        <item x="450"/>
        <item x="247"/>
        <item x="514"/>
        <item x="145"/>
        <item x="54"/>
        <item x="283"/>
        <item x="183"/>
        <item x="286"/>
        <item x="455"/>
        <item x="491"/>
        <item x="448"/>
        <item x="194"/>
        <item x="178"/>
        <item x="284"/>
        <item x="114"/>
        <item x="50"/>
        <item x="500"/>
        <item x="470"/>
        <item x="464"/>
        <item x="227"/>
        <item x="78"/>
        <item x="376"/>
        <item x="352"/>
        <item x="526"/>
        <item x="413"/>
        <item x="517"/>
        <item x="288"/>
        <item x="308"/>
        <item x="454"/>
        <item x="397"/>
        <item x="211"/>
        <item x="329"/>
        <item x="353"/>
        <item x="400"/>
        <item x="131"/>
        <item x="67"/>
        <item x="594"/>
        <item x="121"/>
        <item x="111"/>
        <item x="324"/>
        <item x="336"/>
        <item x="518"/>
        <item x="571"/>
        <item x="429"/>
        <item x="218"/>
        <item x="62"/>
        <item x="208"/>
        <item x="472"/>
        <item x="198"/>
        <item x="484"/>
        <item x="243"/>
        <item x="549"/>
        <item x="105"/>
        <item x="524"/>
        <item x="35"/>
        <item x="451"/>
        <item x="221"/>
        <item x="440"/>
        <item x="369"/>
        <item x="585"/>
        <item x="230"/>
        <item x="26"/>
        <item x="12"/>
        <item x="2"/>
        <item x="10"/>
        <item x="477"/>
        <item x="482"/>
        <item x="55"/>
        <item x="126"/>
        <item x="320"/>
        <item x="13"/>
        <item x="567"/>
        <item x="244"/>
        <item x="91"/>
        <item x="135"/>
        <item x="68"/>
        <item x="203"/>
        <item x="224"/>
        <item x="77"/>
        <item x="133"/>
        <item x="513"/>
        <item x="124"/>
        <item x="179"/>
        <item x="166"/>
        <item x="466"/>
        <item x="185"/>
        <item x="172"/>
        <item x="402"/>
        <item x="506"/>
        <item x="17"/>
        <item x="515"/>
        <item x="316"/>
        <item x="379"/>
        <item x="217"/>
        <item x="307"/>
        <item x="338"/>
        <item x="180"/>
        <item x="456"/>
        <item x="273"/>
        <item x="416"/>
        <item x="435"/>
        <item x="570"/>
        <item x="174"/>
        <item x="581"/>
        <item x="461"/>
        <item x="496"/>
        <item x="58"/>
        <item x="302"/>
        <item x="98"/>
        <item x="341"/>
        <item x="504"/>
        <item x="186"/>
        <item x="292"/>
        <item x="277"/>
        <item x="280"/>
        <item x="74"/>
        <item x="347"/>
        <item x="342"/>
        <item x="3"/>
        <item x="234"/>
        <item x="343"/>
        <item x="16"/>
        <item x="542"/>
        <item x="23"/>
        <item x="331"/>
        <item x="349"/>
        <item x="396"/>
        <item x="140"/>
        <item x="28"/>
        <item x="253"/>
        <item x="96"/>
        <item x="398"/>
        <item x="147"/>
        <item x="458"/>
        <item x="527"/>
        <item x="100"/>
        <item x="326"/>
        <item x="479"/>
        <item x="257"/>
        <item x="335"/>
        <item x="430"/>
        <item x="171"/>
        <item x="436"/>
        <item x="330"/>
        <item x="196"/>
        <item x="487"/>
        <item x="444"/>
        <item x="409"/>
        <item x="197"/>
        <item x="245"/>
        <item x="319"/>
        <item x="272"/>
        <item x="490"/>
        <item x="406"/>
        <item x="381"/>
        <item x="220"/>
        <item x="24"/>
        <item x="312"/>
        <item x="14"/>
        <item x="393"/>
        <item x="522"/>
        <item x="56"/>
        <item x="248"/>
        <item x="573"/>
        <item x="143"/>
        <item x="547"/>
        <item x="502"/>
        <item x="592"/>
        <item x="586"/>
        <item x="390"/>
        <item x="38"/>
        <item x="414"/>
        <item x="30"/>
        <item x="130"/>
        <item x="561"/>
        <item x="378"/>
        <item x="306"/>
        <item x="210"/>
        <item x="64"/>
        <item x="418"/>
        <item x="534"/>
        <item x="204"/>
        <item x="192"/>
        <item x="578"/>
        <item x="116"/>
        <item x="136"/>
        <item x="404"/>
        <item x="598"/>
        <item x="419"/>
        <item x="322"/>
        <item x="18"/>
        <item x="11"/>
        <item x="260"/>
        <item x="399"/>
        <item x="453"/>
        <item x="533"/>
        <item x="552"/>
        <item x="71"/>
        <item x="395"/>
        <item x="520"/>
        <item x="25"/>
        <item x="233"/>
        <item x="556"/>
        <item x="391"/>
        <item x="94"/>
        <item x="103"/>
        <item x="90"/>
        <item x="568"/>
        <item x="72"/>
        <item x="193"/>
        <item x="45"/>
        <item x="407"/>
        <item x="250"/>
        <item x="176"/>
        <item x="361"/>
        <item x="372"/>
        <item x="532"/>
        <item x="374"/>
        <item x="412"/>
        <item x="256"/>
        <item x="344"/>
        <item x="421"/>
        <item x="333"/>
        <item x="356"/>
        <item x="4"/>
        <item x="529"/>
        <item x="488"/>
        <item x="53"/>
        <item x="449"/>
        <item x="565"/>
        <item x="357"/>
        <item x="271"/>
        <item x="85"/>
        <item x="42"/>
        <item x="459"/>
        <item x="161"/>
        <item x="266"/>
        <item x="303"/>
        <item x="550"/>
        <item x="545"/>
        <item x="270"/>
        <item x="426"/>
        <item x="20"/>
        <item x="588"/>
        <item x="420"/>
        <item x="480"/>
        <item x="66"/>
        <item x="201"/>
        <item x="555"/>
        <item x="61"/>
        <item x="563"/>
        <item x="501"/>
        <item x="368"/>
        <item x="382"/>
        <item x="432"/>
        <item x="411"/>
        <item x="9"/>
        <item x="226"/>
        <item x="471"/>
        <item t="default"/>
      </items>
    </pivotField>
    <pivotField showAll="0">
      <items count="5">
        <item x="1"/>
        <item x="2"/>
        <item x="0"/>
        <item x="3"/>
        <item t="default"/>
      </items>
    </pivotField>
    <pivotField showAll="0">
      <items count="5">
        <item x="2"/>
        <item x="1"/>
        <item x="0"/>
        <item x="3"/>
        <item t="default"/>
      </items>
    </pivotField>
    <pivotField showAll="0">
      <items count="4">
        <item x="1"/>
        <item x="0"/>
        <item x="2"/>
        <item t="default"/>
      </items>
    </pivotField>
    <pivotField showAll="0">
      <items count="1197">
        <item x="78"/>
        <item x="100"/>
        <item x="135"/>
        <item x="575"/>
        <item x="174"/>
        <item x="610"/>
        <item x="730"/>
        <item x="508"/>
        <item x="55"/>
        <item x="315"/>
        <item x="1011"/>
        <item x="1113"/>
        <item x="1148"/>
        <item x="577"/>
        <item x="825"/>
        <item x="219"/>
        <item x="1166"/>
        <item x="375"/>
        <item x="672"/>
        <item x="563"/>
        <item x="214"/>
        <item x="981"/>
        <item x="615"/>
        <item x="355"/>
        <item x="109"/>
        <item x="103"/>
        <item x="145"/>
        <item x="516"/>
        <item x="953"/>
        <item x="889"/>
        <item x="998"/>
        <item x="849"/>
        <item x="553"/>
        <item x="476"/>
        <item x="443"/>
        <item x="625"/>
        <item x="1046"/>
        <item x="30"/>
        <item x="395"/>
        <item x="914"/>
        <item x="887"/>
        <item x="144"/>
        <item x="237"/>
        <item x="40"/>
        <item x="400"/>
        <item x="413"/>
        <item x="392"/>
        <item x="1172"/>
        <item x="172"/>
        <item x="149"/>
        <item x="69"/>
        <item x="325"/>
        <item x="283"/>
        <item x="346"/>
        <item x="1176"/>
        <item x="92"/>
        <item x="1020"/>
        <item x="943"/>
        <item x="1068"/>
        <item x="179"/>
        <item x="907"/>
        <item x="388"/>
        <item x="86"/>
        <item x="98"/>
        <item x="604"/>
        <item x="1006"/>
        <item x="382"/>
        <item x="222"/>
        <item x="331"/>
        <item x="217"/>
        <item x="1178"/>
        <item x="439"/>
        <item x="1137"/>
        <item x="756"/>
        <item x="743"/>
        <item x="793"/>
        <item x="28"/>
        <item x="671"/>
        <item x="840"/>
        <item x="710"/>
        <item x="364"/>
        <item x="105"/>
        <item x="115"/>
        <item x="409"/>
        <item x="712"/>
        <item x="350"/>
        <item x="674"/>
        <item x="139"/>
        <item x="527"/>
        <item x="197"/>
        <item x="1015"/>
        <item x="955"/>
        <item x="59"/>
        <item x="158"/>
        <item x="1026"/>
        <item x="776"/>
        <item x="425"/>
        <item x="728"/>
        <item x="383"/>
        <item x="1182"/>
        <item x="920"/>
        <item x="347"/>
        <item x="1136"/>
        <item x="454"/>
        <item x="75"/>
        <item x="1081"/>
        <item x="681"/>
        <item x="97"/>
        <item x="99"/>
        <item x="646"/>
        <item x="379"/>
        <item x="327"/>
        <item x="661"/>
        <item x="142"/>
        <item x="494"/>
        <item x="1175"/>
        <item x="265"/>
        <item x="330"/>
        <item x="565"/>
        <item x="853"/>
        <item x="540"/>
        <item x="258"/>
        <item x="833"/>
        <item x="1038"/>
        <item x="630"/>
        <item x="729"/>
        <item x="1070"/>
        <item x="123"/>
        <item x="1123"/>
        <item x="587"/>
        <item x="146"/>
        <item x="582"/>
        <item x="120"/>
        <item x="623"/>
        <item x="1104"/>
        <item x="1170"/>
        <item x="444"/>
        <item x="304"/>
        <item x="762"/>
        <item x="603"/>
        <item x="190"/>
        <item x="93"/>
        <item x="721"/>
        <item x="855"/>
        <item x="529"/>
        <item x="1069"/>
        <item x="1174"/>
        <item x="821"/>
        <item x="430"/>
        <item x="1162"/>
        <item x="50"/>
        <item x="1034"/>
        <item x="288"/>
        <item x="1187"/>
        <item x="1177"/>
        <item x="780"/>
        <item x="308"/>
        <item x="493"/>
        <item x="406"/>
        <item x="1049"/>
        <item x="345"/>
        <item x="488"/>
        <item x="545"/>
        <item x="733"/>
        <item x="858"/>
        <item x="1169"/>
        <item x="1050"/>
        <item x="1168"/>
        <item x="284"/>
        <item x="1110"/>
        <item x="440"/>
        <item x="396"/>
        <item x="918"/>
        <item x="768"/>
        <item x="724"/>
        <item x="617"/>
        <item x="62"/>
        <item x="1045"/>
        <item x="1016"/>
        <item x="1030"/>
        <item x="465"/>
        <item x="704"/>
        <item x="37"/>
        <item x="608"/>
        <item x="148"/>
        <item x="1075"/>
        <item x="171"/>
        <item x="463"/>
        <item x="134"/>
        <item x="453"/>
        <item x="173"/>
        <item x="831"/>
        <item x="515"/>
        <item x="535"/>
        <item x="1043"/>
        <item x="789"/>
        <item x="422"/>
        <item x="136"/>
        <item x="962"/>
        <item x="475"/>
        <item x="578"/>
        <item x="862"/>
        <item x="817"/>
        <item x="804"/>
        <item x="1158"/>
        <item x="195"/>
        <item x="467"/>
        <item x="177"/>
        <item x="814"/>
        <item x="452"/>
        <item x="913"/>
        <item x="445"/>
        <item x="57"/>
        <item x="585"/>
        <item x="960"/>
        <item x="792"/>
        <item x="626"/>
        <item x="361"/>
        <item x="1120"/>
        <item x="697"/>
        <item x="320"/>
        <item x="683"/>
        <item x="335"/>
        <item x="900"/>
        <item x="206"/>
        <item x="784"/>
        <item x="732"/>
        <item x="785"/>
        <item x="260"/>
        <item x="309"/>
        <item x="1139"/>
        <item x="1130"/>
        <item x="9"/>
        <item x="945"/>
        <item x="245"/>
        <item x="834"/>
        <item x="622"/>
        <item x="650"/>
        <item x="908"/>
        <item x="1053"/>
        <item x="456"/>
        <item x="916"/>
        <item x="902"/>
        <item x="827"/>
        <item x="151"/>
        <item x="352"/>
        <item x="464"/>
        <item x="957"/>
        <item x="746"/>
        <item x="875"/>
        <item x="901"/>
        <item x="911"/>
        <item x="693"/>
        <item x="274"/>
        <item x="193"/>
        <item x="951"/>
        <item x="501"/>
        <item x="289"/>
        <item x="1028"/>
        <item x="1145"/>
        <item x="160"/>
        <item x="25"/>
        <item x="338"/>
        <item x="959"/>
        <item x="727"/>
        <item x="1132"/>
        <item x="1084"/>
        <item x="45"/>
        <item x="725"/>
        <item x="49"/>
        <item x="381"/>
        <item x="261"/>
        <item x="1066"/>
        <item x="21"/>
        <item x="614"/>
        <item x="32"/>
        <item x="939"/>
        <item x="915"/>
        <item x="24"/>
        <item x="1156"/>
        <item x="368"/>
        <item x="15"/>
        <item x="102"/>
        <item x="490"/>
        <item x="218"/>
        <item x="600"/>
        <item x="270"/>
        <item x="885"/>
        <item x="241"/>
        <item x="507"/>
        <item x="663"/>
        <item x="1146"/>
        <item x="938"/>
        <item x="108"/>
        <item x="711"/>
        <item x="922"/>
        <item x="474"/>
        <item x="992"/>
        <item x="1033"/>
        <item x="299"/>
        <item x="324"/>
        <item x="1054"/>
        <item x="613"/>
        <item x="1000"/>
        <item x="353"/>
        <item x="645"/>
        <item x="298"/>
        <item x="253"/>
        <item x="740"/>
        <item x="94"/>
        <item x="766"/>
        <item x="38"/>
        <item x="832"/>
        <item x="567"/>
        <item x="965"/>
        <item x="971"/>
        <item x="380"/>
        <item x="616"/>
        <item x="1115"/>
        <item x="861"/>
        <item x="818"/>
        <item x="555"/>
        <item x="1057"/>
        <item x="1003"/>
        <item x="473"/>
        <item x="891"/>
        <item x="581"/>
        <item x="207"/>
        <item x="1025"/>
        <item x="638"/>
        <item x="707"/>
        <item x="921"/>
        <item x="1010"/>
        <item x="460"/>
        <item x="269"/>
        <item x="434"/>
        <item x="612"/>
        <item x="520"/>
        <item x="129"/>
        <item x="397"/>
        <item x="777"/>
        <item x="932"/>
        <item x="1023"/>
        <item x="843"/>
        <item x="696"/>
        <item x="870"/>
        <item x="877"/>
        <item x="764"/>
        <item x="941"/>
        <item x="850"/>
        <item x="1004"/>
        <item x="1085"/>
        <item x="127"/>
        <item x="595"/>
        <item x="221"/>
        <item x="892"/>
        <item x="470"/>
        <item x="429"/>
        <item x="141"/>
        <item x="874"/>
        <item x="424"/>
        <item x="111"/>
        <item x="1190"/>
        <item x="372"/>
        <item x="1060"/>
        <item x="761"/>
        <item x="293"/>
        <item x="186"/>
        <item x="54"/>
        <item x="735"/>
        <item x="198"/>
        <item x="737"/>
        <item x="848"/>
        <item x="1181"/>
        <item x="607"/>
        <item x="236"/>
        <item x="232"/>
        <item x="750"/>
        <item x="39"/>
        <item x="294"/>
        <item x="213"/>
        <item x="285"/>
        <item x="96"/>
        <item x="963"/>
        <item x="1103"/>
        <item x="708"/>
        <item x="212"/>
        <item x="897"/>
        <item x="239"/>
        <item x="1112"/>
        <item x="665"/>
        <item x="34"/>
        <item x="639"/>
        <item x="566"/>
        <item x="228"/>
        <item x="629"/>
        <item x="229"/>
        <item x="1"/>
        <item x="1167"/>
        <item x="121"/>
        <item x="842"/>
        <item x="243"/>
        <item x="275"/>
        <item x="385"/>
        <item x="280"/>
        <item x="879"/>
        <item x="147"/>
        <item x="414"/>
        <item x="76"/>
        <item x="1089"/>
        <item x="279"/>
        <item x="1131"/>
        <item x="808"/>
        <item x="336"/>
        <item x="1163"/>
        <item x="548"/>
        <item x="403"/>
        <item x="925"/>
        <item x="1106"/>
        <item x="12"/>
        <item x="87"/>
        <item x="698"/>
        <item x="131"/>
        <item x="437"/>
        <item x="14"/>
        <item x="31"/>
        <item x="845"/>
        <item x="1012"/>
        <item x="649"/>
        <item x="1184"/>
        <item x="61"/>
        <item x="389"/>
        <item x="975"/>
        <item x="367"/>
        <item x="110"/>
        <item x="1099"/>
        <item x="1027"/>
        <item x="435"/>
        <item x="982"/>
        <item x="83"/>
        <item x="104"/>
        <item x="747"/>
        <item x="586"/>
        <item x="533"/>
        <item x="167"/>
        <item x="1022"/>
        <item x="466"/>
        <item x="723"/>
        <item x="72"/>
        <item x="489"/>
        <item x="1140"/>
        <item x="643"/>
        <item x="374"/>
        <item x="890"/>
        <item x="709"/>
        <item x="192"/>
        <item x="865"/>
        <item x="503"/>
        <item x="819"/>
        <item x="1164"/>
        <item x="53"/>
        <item x="1155"/>
        <item x="64"/>
        <item x="1056"/>
        <item x="318"/>
        <item x="1135"/>
        <item x="522"/>
        <item x="745"/>
        <item x="899"/>
        <item x="978"/>
        <item x="1188"/>
        <item x="257"/>
        <item x="809"/>
        <item x="557"/>
        <item x="233"/>
        <item x="116"/>
        <item x="544"/>
        <item x="618"/>
        <item x="5"/>
        <item x="36"/>
        <item x="798"/>
        <item x="1024"/>
        <item x="356"/>
        <item x="966"/>
        <item x="66"/>
        <item x="751"/>
        <item x="41"/>
        <item x="1094"/>
        <item x="1087"/>
        <item x="644"/>
        <item x="47"/>
        <item x="458"/>
        <item x="332"/>
        <item x="796"/>
        <item x="16"/>
        <item x="89"/>
        <item x="748"/>
        <item x="692"/>
        <item x="1154"/>
        <item x="1144"/>
        <item x="620"/>
        <item x="22"/>
        <item x="450"/>
        <item x="774"/>
        <item x="574"/>
        <item x="1090"/>
        <item x="895"/>
        <item x="904"/>
        <item x="584"/>
        <item x="498"/>
        <item x="68"/>
        <item x="362"/>
        <item x="715"/>
        <item x="703"/>
        <item x="199"/>
        <item x="354"/>
        <item x="322"/>
        <item x="249"/>
        <item x="906"/>
        <item x="316"/>
        <item x="598"/>
        <item x="481"/>
        <item x="1073"/>
        <item x="88"/>
        <item x="551"/>
        <item x="806"/>
        <item x="1018"/>
        <item x="1061"/>
        <item x="673"/>
        <item x="800"/>
        <item x="686"/>
        <item x="864"/>
        <item x="196"/>
        <item x="244"/>
        <item x="1077"/>
        <item x="185"/>
        <item x="1008"/>
        <item x="386"/>
        <item x="930"/>
        <item x="844"/>
        <item x="543"/>
        <item x="455"/>
        <item x="659"/>
        <item x="415"/>
        <item x="491"/>
        <item x="1062"/>
        <item x="628"/>
        <item x="1080"/>
        <item x="866"/>
        <item x="140"/>
        <item x="896"/>
        <item x="1051"/>
        <item x="302"/>
        <item x="1035"/>
        <item x="1109"/>
        <item x="991"/>
        <item x="547"/>
        <item x="358"/>
        <item x="863"/>
        <item x="224"/>
        <item x="7"/>
        <item x="689"/>
        <item x="408"/>
        <item x="589"/>
        <item x="676"/>
        <item x="989"/>
        <item x="666"/>
        <item x="1134"/>
        <item x="771"/>
        <item x="731"/>
        <item x="479"/>
        <item x="967"/>
        <item x="161"/>
        <item x="1048"/>
        <item x="1088"/>
        <item x="691"/>
        <item x="813"/>
        <item x="235"/>
        <item x="869"/>
        <item x="1161"/>
        <item x="621"/>
        <item x="779"/>
        <item x="107"/>
        <item x="637"/>
        <item x="42"/>
        <item x="427"/>
        <item x="268"/>
        <item x="647"/>
        <item x="738"/>
        <item x="741"/>
        <item x="119"/>
        <item x="256"/>
        <item x="1092"/>
        <item x="801"/>
        <item x="749"/>
        <item x="132"/>
        <item x="300"/>
        <item x="441"/>
        <item x="1001"/>
        <item x="303"/>
        <item x="534"/>
        <item x="935"/>
        <item x="188"/>
        <item x="461"/>
        <item x="248"/>
        <item x="590"/>
        <item x="189"/>
        <item x="1047"/>
        <item x="660"/>
        <item x="839"/>
        <item x="558"/>
        <item x="138"/>
        <item x="1014"/>
        <item x="321"/>
        <item x="583"/>
        <item x="410"/>
        <item x="846"/>
        <item x="180"/>
        <item x="176"/>
        <item x="820"/>
        <item x="0"/>
        <item x="150"/>
        <item x="1108"/>
        <item x="506"/>
        <item x="722"/>
        <item x="1191"/>
        <item x="1186"/>
        <item x="187"/>
        <item x="371"/>
        <item x="988"/>
        <item x="754"/>
        <item x="964"/>
        <item x="126"/>
        <item x="2"/>
        <item x="726"/>
        <item x="1076"/>
        <item x="495"/>
        <item x="79"/>
        <item x="412"/>
        <item x="376"/>
        <item x="486"/>
        <item x="1180"/>
        <item x="782"/>
        <item x="773"/>
        <item x="340"/>
        <item x="337"/>
        <item x="702"/>
        <item x="1142"/>
        <item x="580"/>
        <item x="946"/>
        <item x="995"/>
        <item x="114"/>
        <item x="81"/>
        <item x="1032"/>
        <item x="451"/>
        <item x="940"/>
        <item x="788"/>
        <item x="210"/>
        <item x="884"/>
        <item x="684"/>
        <item x="700"/>
        <item x="6"/>
        <item x="640"/>
        <item x="1102"/>
        <item x="306"/>
        <item x="154"/>
        <item x="423"/>
        <item x="851"/>
        <item x="699"/>
        <item x="588"/>
        <item x="117"/>
        <item x="264"/>
        <item x="990"/>
        <item x="772"/>
        <item x="517"/>
        <item x="576"/>
        <item x="44"/>
        <item x="868"/>
        <item x="552"/>
        <item x="579"/>
        <item x="753"/>
        <item x="153"/>
        <item x="1149"/>
        <item x="163"/>
        <item x="84"/>
        <item x="128"/>
        <item x="836"/>
        <item x="624"/>
        <item x="420"/>
        <item x="976"/>
        <item x="418"/>
        <item x="391"/>
        <item x="1173"/>
        <item x="469"/>
        <item x="291"/>
        <item x="635"/>
        <item x="311"/>
        <item x="1021"/>
        <item x="537"/>
        <item x="449"/>
        <item x="1059"/>
        <item x="950"/>
        <item x="714"/>
        <item x="227"/>
        <item x="143"/>
        <item x="816"/>
        <item x="234"/>
        <item x="519"/>
        <item x="1111"/>
        <item x="923"/>
        <item x="73"/>
        <item x="958"/>
        <item x="987"/>
        <item x="1041"/>
        <item x="826"/>
        <item x="446"/>
        <item x="786"/>
        <item x="70"/>
        <item x="296"/>
        <item x="656"/>
        <item x="790"/>
        <item x="1036"/>
        <item x="215"/>
        <item x="559"/>
        <item x="883"/>
        <item x="156"/>
        <item x="531"/>
        <item x="162"/>
        <item x="984"/>
        <item x="886"/>
        <item x="539"/>
        <item x="759"/>
        <item x="550"/>
        <item x="301"/>
        <item x="770"/>
        <item x="980"/>
        <item x="1037"/>
        <item x="477"/>
        <item x="807"/>
        <item x="878"/>
        <item x="169"/>
        <item x="1138"/>
        <item x="974"/>
        <item x="1192"/>
        <item x="929"/>
        <item x="716"/>
        <item x="668"/>
        <item x="795"/>
        <item x="407"/>
        <item x="504"/>
        <item x="1107"/>
        <item x="736"/>
        <item x="658"/>
        <item x="876"/>
        <item x="969"/>
        <item x="357"/>
        <item x="401"/>
        <item x="67"/>
        <item x="369"/>
        <item x="1067"/>
        <item x="23"/>
        <item x="238"/>
        <item x="482"/>
        <item x="52"/>
        <item x="259"/>
        <item x="82"/>
        <item x="791"/>
        <item x="653"/>
        <item x="194"/>
        <item x="903"/>
        <item x="822"/>
        <item x="1121"/>
        <item x="231"/>
        <item x="1183"/>
        <item x="657"/>
        <item x="394"/>
        <item x="910"/>
        <item x="758"/>
        <item x="419"/>
        <item x="178"/>
        <item x="752"/>
        <item x="226"/>
        <item x="168"/>
        <item x="983"/>
        <item x="682"/>
        <item x="4"/>
        <item x="560"/>
        <item x="416"/>
        <item x="734"/>
        <item x="973"/>
        <item x="944"/>
        <item x="611"/>
        <item x="619"/>
        <item x="365"/>
        <item x="952"/>
        <item x="694"/>
        <item x="133"/>
        <item x="961"/>
        <item x="225"/>
        <item x="652"/>
        <item x="1055"/>
        <item x="572"/>
        <item x="313"/>
        <item x="277"/>
        <item x="208"/>
        <item x="631"/>
        <item x="366"/>
        <item x="1125"/>
        <item x="739"/>
        <item x="411"/>
        <item x="605"/>
        <item x="742"/>
        <item x="74"/>
        <item x="562"/>
        <item x="799"/>
        <item x="852"/>
        <item x="384"/>
        <item x="1119"/>
        <item x="695"/>
        <item x="669"/>
        <item x="1095"/>
        <item x="680"/>
        <item x="286"/>
        <item x="113"/>
        <item x="778"/>
        <item x="760"/>
        <item x="571"/>
        <item x="591"/>
        <item x="342"/>
        <item x="882"/>
        <item x="593"/>
        <item x="810"/>
        <item x="1064"/>
        <item x="282"/>
        <item x="312"/>
        <item x="58"/>
        <item x="339"/>
        <item x="972"/>
        <item x="370"/>
        <item x="35"/>
        <item x="33"/>
        <item x="781"/>
        <item x="319"/>
        <item x="1079"/>
        <item x="841"/>
        <item x="17"/>
        <item x="767"/>
        <item x="442"/>
        <item x="344"/>
        <item x="310"/>
        <item x="223"/>
        <item x="471"/>
        <item x="181"/>
        <item x="873"/>
        <item x="954"/>
        <item x="641"/>
        <item x="854"/>
        <item x="606"/>
        <item x="27"/>
        <item x="448"/>
        <item x="1114"/>
        <item x="71"/>
        <item x="468"/>
        <item x="1153"/>
        <item x="29"/>
        <item x="763"/>
        <item x="942"/>
        <item x="271"/>
        <item x="426"/>
        <item x="170"/>
        <item x="601"/>
        <item x="1185"/>
        <item x="847"/>
        <item x="667"/>
        <item x="824"/>
        <item x="457"/>
        <item x="317"/>
        <item x="985"/>
        <item x="905"/>
        <item x="642"/>
        <item x="713"/>
        <item x="881"/>
        <item x="872"/>
        <item x="546"/>
        <item x="433"/>
        <item x="220"/>
        <item x="654"/>
        <item x="48"/>
        <item x="596"/>
        <item x="122"/>
        <item x="634"/>
        <item x="1141"/>
        <item x="838"/>
        <item x="510"/>
        <item x="556"/>
        <item x="246"/>
        <item x="3"/>
        <item x="993"/>
        <item x="977"/>
        <item x="1083"/>
        <item x="26"/>
        <item x="216"/>
        <item x="979"/>
        <item x="1101"/>
        <item x="894"/>
        <item x="118"/>
        <item x="599"/>
        <item x="307"/>
        <item x="532"/>
        <item x="996"/>
        <item x="333"/>
        <item x="204"/>
        <item x="602"/>
        <item x="919"/>
        <item x="254"/>
        <item x="1157"/>
        <item x="1179"/>
        <item x="497"/>
        <item x="1143"/>
        <item x="1147"/>
        <item x="1193"/>
        <item x="1082"/>
        <item x="859"/>
        <item x="909"/>
        <item x="997"/>
        <item x="106"/>
        <item x="917"/>
        <item x="670"/>
        <item x="933"/>
        <item x="95"/>
        <item x="242"/>
        <item x="994"/>
        <item x="77"/>
        <item x="829"/>
        <item x="812"/>
        <item x="888"/>
        <item x="343"/>
        <item x="314"/>
        <item x="561"/>
        <item x="541"/>
        <item x="431"/>
        <item x="679"/>
        <item x="542"/>
        <item x="326"/>
        <item x="159"/>
        <item x="802"/>
        <item x="480"/>
        <item x="1071"/>
        <item x="205"/>
        <item x="1042"/>
        <item x="1074"/>
        <item x="360"/>
        <item x="675"/>
        <item x="837"/>
        <item x="1171"/>
        <item x="428"/>
        <item x="1029"/>
        <item x="432"/>
        <item x="276"/>
        <item x="706"/>
        <item x="1124"/>
        <item x="305"/>
        <item x="247"/>
        <item x="292"/>
        <item x="1128"/>
        <item x="1150"/>
        <item x="797"/>
        <item x="1127"/>
        <item x="948"/>
        <item x="1013"/>
        <item x="421"/>
        <item x="184"/>
        <item x="857"/>
        <item x="266"/>
        <item x="334"/>
        <item x="1063"/>
        <item x="203"/>
        <item x="438"/>
        <item x="209"/>
        <item x="65"/>
        <item x="278"/>
        <item x="514"/>
        <item x="569"/>
        <item x="323"/>
        <item x="101"/>
        <item x="1031"/>
        <item x="1160"/>
        <item x="528"/>
        <item x="947"/>
        <item x="377"/>
        <item x="130"/>
        <item x="592"/>
        <item x="898"/>
        <item x="1098"/>
        <item x="1189"/>
        <item x="526"/>
        <item x="152"/>
        <item x="1007"/>
        <item x="536"/>
        <item x="505"/>
        <item x="893"/>
        <item x="183"/>
        <item x="43"/>
        <item x="472"/>
        <item x="80"/>
        <item x="999"/>
        <item x="570"/>
        <item x="525"/>
        <item x="755"/>
        <item x="484"/>
        <item x="787"/>
        <item x="8"/>
        <item x="513"/>
        <item x="90"/>
        <item x="509"/>
        <item x="511"/>
        <item x="931"/>
        <item x="164"/>
        <item x="568"/>
        <item x="499"/>
        <item x="60"/>
        <item x="949"/>
        <item x="1152"/>
        <item x="1040"/>
        <item x="91"/>
        <item x="351"/>
        <item x="378"/>
        <item x="765"/>
        <item x="85"/>
        <item x="1105"/>
        <item x="609"/>
        <item x="860"/>
        <item x="202"/>
        <item x="880"/>
        <item x="718"/>
        <item x="705"/>
        <item x="530"/>
        <item x="166"/>
        <item x="18"/>
        <item x="1009"/>
        <item x="393"/>
        <item x="1072"/>
        <item x="744"/>
        <item x="521"/>
        <item x="404"/>
        <item x="688"/>
        <item x="112"/>
        <item x="720"/>
        <item x="867"/>
        <item x="1129"/>
        <item x="1118"/>
        <item x="290"/>
        <item x="211"/>
        <item x="1039"/>
        <item x="678"/>
        <item x="823"/>
        <item x="191"/>
        <item x="956"/>
        <item x="1195"/>
        <item x="518"/>
        <item x="1002"/>
        <item x="775"/>
        <item x="769"/>
        <item x="348"/>
        <item x="662"/>
        <item x="402"/>
        <item x="251"/>
        <item x="502"/>
        <item x="297"/>
        <item x="1086"/>
        <item x="436"/>
        <item x="934"/>
        <item x="200"/>
        <item x="1093"/>
        <item x="633"/>
        <item x="10"/>
        <item x="273"/>
        <item x="1017"/>
        <item x="936"/>
        <item x="685"/>
        <item x="1116"/>
        <item x="805"/>
        <item x="252"/>
        <item x="349"/>
        <item x="1005"/>
        <item x="835"/>
        <item x="687"/>
        <item x="597"/>
        <item x="1117"/>
        <item x="564"/>
        <item x="757"/>
        <item x="20"/>
        <item x="970"/>
        <item x="19"/>
        <item x="459"/>
        <item x="1091"/>
        <item x="405"/>
        <item x="46"/>
        <item x="263"/>
        <item x="783"/>
        <item x="201"/>
        <item x="373"/>
        <item x="250"/>
        <item x="1052"/>
        <item x="124"/>
        <item x="701"/>
        <item x="496"/>
        <item x="240"/>
        <item x="928"/>
        <item x="912"/>
        <item x="523"/>
        <item x="1096"/>
        <item x="182"/>
        <item x="717"/>
        <item x="549"/>
        <item x="524"/>
        <item x="137"/>
        <item x="125"/>
        <item x="363"/>
        <item x="447"/>
        <item x="462"/>
        <item x="655"/>
        <item x="165"/>
        <item x="926"/>
        <item x="1122"/>
        <item x="1065"/>
        <item x="690"/>
        <item x="155"/>
        <item x="794"/>
        <item x="1151"/>
        <item x="255"/>
        <item x="328"/>
        <item x="1019"/>
        <item x="828"/>
        <item x="573"/>
        <item x="856"/>
        <item x="359"/>
        <item x="719"/>
        <item x="512"/>
        <item x="398"/>
        <item x="483"/>
        <item x="803"/>
        <item x="11"/>
        <item x="1165"/>
        <item x="1044"/>
        <item x="1100"/>
        <item x="230"/>
        <item x="937"/>
        <item x="387"/>
        <item x="56"/>
        <item x="1097"/>
        <item x="632"/>
        <item x="830"/>
        <item x="871"/>
        <item x="262"/>
        <item x="487"/>
        <item x="924"/>
        <item x="968"/>
        <item x="554"/>
        <item x="485"/>
        <item x="478"/>
        <item x="627"/>
        <item x="538"/>
        <item x="677"/>
        <item x="417"/>
        <item x="399"/>
        <item x="51"/>
        <item x="1078"/>
        <item x="13"/>
        <item x="1126"/>
        <item x="1159"/>
        <item x="281"/>
        <item x="664"/>
        <item x="636"/>
        <item x="287"/>
        <item x="651"/>
        <item x="986"/>
        <item x="815"/>
        <item x="927"/>
        <item x="594"/>
        <item x="63"/>
        <item x="1058"/>
        <item x="648"/>
        <item x="329"/>
        <item x="492"/>
        <item x="267"/>
        <item x="811"/>
        <item x="390"/>
        <item x="157"/>
        <item x="295"/>
        <item x="341"/>
        <item x="1194"/>
        <item x="175"/>
        <item x="500"/>
        <item x="1133"/>
        <item x="272"/>
        <item t="default"/>
      </items>
    </pivotField>
    <pivotField showAll="0">
      <items count="1199">
        <item x="78"/>
        <item x="100"/>
        <item x="1115"/>
        <item x="609"/>
        <item x="219"/>
        <item x="729"/>
        <item x="1150"/>
        <item x="614"/>
        <item x="55"/>
        <item x="671"/>
        <item x="574"/>
        <item x="109"/>
        <item x="174"/>
        <item x="135"/>
        <item x="824"/>
        <item x="841"/>
        <item x="374"/>
        <item x="1168"/>
        <item x="507"/>
        <item x="562"/>
        <item x="314"/>
        <item x="394"/>
        <item x="214"/>
        <item x="442"/>
        <item x="576"/>
        <item x="982"/>
        <item x="354"/>
        <item x="954"/>
        <item x="30"/>
        <item x="145"/>
        <item x="475"/>
        <item x="103"/>
        <item x="849"/>
        <item x="515"/>
        <item x="172"/>
        <item x="887"/>
        <item x="399"/>
        <item x="237"/>
        <item x="412"/>
        <item x="283"/>
        <item x="889"/>
        <item x="999"/>
        <item x="1174"/>
        <item x="217"/>
        <item x="144"/>
        <item x="1046"/>
        <item x="552"/>
        <item x="943"/>
        <item x="914"/>
        <item x="115"/>
        <item x="624"/>
        <item x="86"/>
        <item x="40"/>
        <item x="92"/>
        <item x="349"/>
        <item x="1180"/>
        <item x="69"/>
        <item x="424"/>
        <item x="526"/>
        <item x="391"/>
        <item x="98"/>
        <item x="907"/>
        <item x="709"/>
        <item x="1139"/>
        <item x="1020"/>
        <item x="324"/>
        <item x="28"/>
        <item x="438"/>
        <item x="755"/>
        <item x="673"/>
        <item x="387"/>
        <item x="149"/>
        <item x="330"/>
        <item x="346"/>
        <item x="139"/>
        <item x="1138"/>
        <item x="222"/>
        <item x="197"/>
        <item x="792"/>
        <item x="1068"/>
        <item x="603"/>
        <item x="645"/>
        <item x="345"/>
        <item x="1178"/>
        <item x="329"/>
        <item x="363"/>
        <item x="179"/>
        <item x="381"/>
        <item x="742"/>
        <item x="1184"/>
        <item x="670"/>
        <item x="1026"/>
        <item x="105"/>
        <item x="326"/>
        <item x="59"/>
        <item x="1007"/>
        <item x="727"/>
        <item x="453"/>
        <item x="382"/>
        <item x="142"/>
        <item x="493"/>
        <item x="660"/>
        <item x="528"/>
        <item x="303"/>
        <item x="775"/>
        <item x="123"/>
        <item x="839"/>
        <item x="720"/>
        <item x="920"/>
        <item x="97"/>
        <item x="956"/>
        <item x="1081"/>
        <item x="622"/>
        <item x="158"/>
        <item x="586"/>
        <item x="75"/>
        <item x="711"/>
        <item x="408"/>
        <item x="1164"/>
        <item x="99"/>
        <item x="832"/>
        <item x="629"/>
        <item x="429"/>
        <item x="544"/>
        <item x="120"/>
        <item x="1015"/>
        <item x="728"/>
        <item x="602"/>
        <item x="190"/>
        <item x="50"/>
        <item x="1106"/>
        <item x="443"/>
        <item x="1038"/>
        <item x="1125"/>
        <item x="344"/>
        <item x="62"/>
        <item x="1016"/>
        <item x="146"/>
        <item x="539"/>
        <item x="1049"/>
        <item x="680"/>
        <item x="37"/>
        <item x="1030"/>
        <item x="1177"/>
        <item x="451"/>
        <item x="395"/>
        <item x="1070"/>
        <item x="265"/>
        <item x="853"/>
        <item x="195"/>
        <item x="177"/>
        <item x="813"/>
        <item x="803"/>
        <item x="288"/>
        <item x="696"/>
        <item x="258"/>
        <item x="761"/>
        <item x="830"/>
        <item x="723"/>
        <item x="245"/>
        <item x="1122"/>
        <item x="1075"/>
        <item x="581"/>
        <item x="564"/>
        <item x="151"/>
        <item x="378"/>
        <item x="616"/>
        <item x="961"/>
        <item x="952"/>
        <item x="57"/>
        <item x="625"/>
        <item x="788"/>
        <item x="49"/>
        <item x="820"/>
        <item x="514"/>
        <item x="1172"/>
        <item x="405"/>
        <item x="492"/>
        <item x="351"/>
        <item x="462"/>
        <item x="692"/>
        <item x="855"/>
        <item x="466"/>
        <item x="1045"/>
        <item x="307"/>
        <item x="862"/>
        <item x="779"/>
        <item x="319"/>
        <item x="171"/>
        <item x="487"/>
        <item x="93"/>
        <item x="1179"/>
        <item x="260"/>
        <item x="732"/>
        <item x="1069"/>
        <item x="908"/>
        <item x="1084"/>
        <item x="284"/>
        <item x="1176"/>
        <item x="1160"/>
        <item x="901"/>
        <item x="160"/>
        <item x="916"/>
        <item x="1050"/>
        <item x="148"/>
        <item x="463"/>
        <item x="206"/>
        <item x="464"/>
        <item x="1034"/>
        <item x="274"/>
        <item x="444"/>
        <item x="1189"/>
        <item x="963"/>
        <item x="662"/>
        <item x="421"/>
        <item x="108"/>
        <item x="38"/>
        <item x="682"/>
        <item x="858"/>
        <item x="1170"/>
        <item x="900"/>
        <item x="439"/>
        <item x="1112"/>
        <item x="337"/>
        <item x="45"/>
        <item x="783"/>
        <item x="938"/>
        <item x="9"/>
        <item x="261"/>
        <item x="134"/>
        <item x="193"/>
        <item x="1053"/>
        <item x="297"/>
        <item x="380"/>
        <item x="918"/>
        <item x="577"/>
        <item x="703"/>
        <item x="1171"/>
        <item x="767"/>
        <item x="289"/>
        <item x="452"/>
        <item x="566"/>
        <item x="607"/>
        <item x="946"/>
        <item x="506"/>
        <item x="102"/>
        <item x="32"/>
        <item x="534"/>
        <item x="218"/>
        <item x="902"/>
        <item x="911"/>
        <item x="173"/>
        <item x="1033"/>
        <item x="1132"/>
        <item x="136"/>
        <item x="826"/>
        <item x="500"/>
        <item x="913"/>
        <item x="1117"/>
        <item x="1148"/>
        <item x="784"/>
        <item x="1158"/>
        <item x="253"/>
        <item x="584"/>
        <item x="644"/>
        <item x="637"/>
        <item x="958"/>
        <item x="706"/>
        <item x="1043"/>
        <item x="371"/>
        <item x="323"/>
        <item x="613"/>
        <item x="870"/>
        <item x="724"/>
        <item x="379"/>
        <item x="1066"/>
        <item x="816"/>
        <item x="94"/>
        <item x="54"/>
        <item x="360"/>
        <item x="129"/>
        <item x="241"/>
        <item x="474"/>
        <item x="874"/>
        <item x="212"/>
        <item x="39"/>
        <item x="993"/>
        <item x="749"/>
        <item x="308"/>
        <item x="1025"/>
        <item x="731"/>
        <item x="833"/>
        <item x="791"/>
        <item x="121"/>
        <item x="221"/>
        <item x="877"/>
        <item x="469"/>
        <item x="519"/>
        <item x="885"/>
        <item x="455"/>
        <item x="745"/>
        <item x="739"/>
        <item x="615"/>
        <item x="1147"/>
        <item x="606"/>
        <item x="428"/>
        <item x="621"/>
        <item x="334"/>
        <item x="25"/>
        <item x="489"/>
        <item x="1141"/>
        <item x="765"/>
        <item x="960"/>
        <item x="875"/>
        <item x="776"/>
        <item x="1023"/>
        <item x="459"/>
        <item x="1057"/>
        <item x="726"/>
        <item x="892"/>
        <item x="293"/>
        <item x="1105"/>
        <item x="12"/>
        <item x="649"/>
        <item x="746"/>
        <item x="270"/>
        <item x="1028"/>
        <item x="24"/>
        <item x="285"/>
        <item x="111"/>
        <item x="722"/>
        <item x="213"/>
        <item x="710"/>
        <item x="1004"/>
        <item x="1001"/>
        <item x="643"/>
        <item x="1183"/>
        <item x="186"/>
        <item x="335"/>
        <item x="1134"/>
        <item x="848"/>
        <item x="1054"/>
        <item x="1114"/>
        <item x="1"/>
        <item x="472"/>
        <item x="21"/>
        <item x="396"/>
        <item x="664"/>
        <item x="747"/>
        <item x="433"/>
        <item x="83"/>
        <item x="1137"/>
        <item x="232"/>
        <item x="1011"/>
        <item x="239"/>
        <item x="915"/>
        <item x="87"/>
        <item x="795"/>
        <item x="1024"/>
        <item x="1062"/>
        <item x="941"/>
        <item x="127"/>
        <item x="207"/>
        <item x="1165"/>
        <item x="367"/>
        <item x="269"/>
        <item x="298"/>
        <item x="15"/>
        <item x="619"/>
        <item x="1157"/>
        <item x="599"/>
        <item x="236"/>
        <item x="1085"/>
        <item x="565"/>
        <item x="939"/>
        <item x="554"/>
        <item x="702"/>
        <item x="1133"/>
        <item x="547"/>
        <item x="141"/>
        <item x="707"/>
        <item x="760"/>
        <item x="817"/>
        <item x="972"/>
        <item x="899"/>
        <item x="932"/>
        <item x="842"/>
        <item x="198"/>
        <item x="583"/>
        <item x="891"/>
        <item x="922"/>
        <item x="1012"/>
        <item x="1009"/>
        <item x="964"/>
        <item x="861"/>
        <item x="612"/>
        <item x="864"/>
        <item x="863"/>
        <item x="31"/>
        <item x="436"/>
        <item x="778"/>
        <item x="229"/>
        <item x="315"/>
        <item x="497"/>
        <item x="14"/>
        <item x="473"/>
        <item x="597"/>
        <item x="865"/>
        <item x="1089"/>
        <item x="352"/>
        <item x="228"/>
        <item x="808"/>
        <item x="61"/>
        <item x="580"/>
        <item x="385"/>
        <item x="831"/>
        <item x="167"/>
        <item x="104"/>
        <item x="47"/>
        <item x="695"/>
        <item x="967"/>
        <item x="76"/>
        <item x="1080"/>
        <item x="96"/>
        <item x="843"/>
        <item x="478"/>
        <item x="966"/>
        <item x="147"/>
        <item x="317"/>
        <item x="423"/>
        <item x="1005"/>
        <item x="1142"/>
        <item x="66"/>
        <item x="1092"/>
        <item x="611"/>
        <item x="494"/>
        <item x="850"/>
        <item x="150"/>
        <item x="1136"/>
        <item x="110"/>
        <item x="921"/>
        <item x="235"/>
        <item x="36"/>
        <item x="685"/>
        <item x="1047"/>
        <item x="744"/>
        <item x="275"/>
        <item x="725"/>
        <item x="763"/>
        <item x="138"/>
        <item x="736"/>
        <item x="1104"/>
        <item x="1108"/>
        <item x="906"/>
        <item x="388"/>
        <item x="336"/>
        <item x="320"/>
        <item x="16"/>
        <item x="884"/>
        <item x="355"/>
        <item x="280"/>
        <item x="465"/>
        <item x="34"/>
        <item x="53"/>
        <item x="787"/>
        <item x="1169"/>
        <item x="701"/>
        <item x="375"/>
        <item x="578"/>
        <item x="648"/>
        <item x="550"/>
        <item x="546"/>
        <item x="373"/>
        <item x="233"/>
        <item x="1156"/>
        <item x="753"/>
        <item x="521"/>
        <item x="940"/>
        <item x="1056"/>
        <item x="879"/>
        <item x="162"/>
        <item x="366"/>
        <item x="770"/>
        <item x="1111"/>
        <item x="925"/>
        <item x="968"/>
        <item x="457"/>
        <item x="797"/>
        <item x="667"/>
        <item x="620"/>
        <item x="268"/>
        <item x="735"/>
        <item x="41"/>
        <item x="1186"/>
        <item x="904"/>
        <item x="402"/>
        <item x="594"/>
        <item x="585"/>
        <item x="1060"/>
        <item x="1035"/>
        <item x="634"/>
        <item x="81"/>
        <item x="628"/>
        <item x="243"/>
        <item x="1090"/>
        <item x="116"/>
        <item x="800"/>
        <item x="897"/>
        <item x="384"/>
        <item x="426"/>
        <item x="294"/>
        <item x="866"/>
        <item x="1022"/>
        <item x="636"/>
        <item x="196"/>
        <item x="1192"/>
        <item x="1018"/>
        <item x="543"/>
        <item x="734"/>
        <item x="818"/>
        <item x="44"/>
        <item x="989"/>
        <item x="1073"/>
        <item x="740"/>
        <item x="976"/>
        <item x="1032"/>
        <item x="168"/>
        <item x="1123"/>
        <item x="819"/>
        <item x="210"/>
        <item x="929"/>
        <item x="698"/>
        <item x="530"/>
        <item x="279"/>
        <item x="413"/>
        <item x="390"/>
        <item x="1100"/>
        <item x="1088"/>
        <item x="119"/>
        <item x="659"/>
        <item x="638"/>
        <item x="985"/>
        <item x="838"/>
        <item x="983"/>
        <item x="587"/>
        <item x="488"/>
        <item x="1027"/>
        <item x="910"/>
        <item x="194"/>
        <item x="42"/>
        <item x="1094"/>
        <item x="646"/>
        <item x="368"/>
        <item x="68"/>
        <item x="807"/>
        <item x="708"/>
        <item x="642"/>
        <item x="844"/>
        <item x="490"/>
        <item x="657"/>
        <item x="890"/>
        <item x="257"/>
        <item x="89"/>
        <item x="542"/>
        <item x="485"/>
        <item x="959"/>
        <item x="5"/>
        <item x="556"/>
        <item x="1185"/>
        <item x="799"/>
        <item x="448"/>
        <item x="406"/>
        <item x="357"/>
        <item x="1014"/>
        <item x="1061"/>
        <item x="131"/>
        <item x="1077"/>
        <item x="502"/>
        <item x="440"/>
        <item x="248"/>
        <item x="226"/>
        <item x="651"/>
        <item x="532"/>
        <item x="445"/>
        <item x="480"/>
        <item x="610"/>
        <item x="1190"/>
        <item x="805"/>
        <item x="74"/>
        <item x="0"/>
        <item x="773"/>
        <item x="4"/>
        <item x="658"/>
        <item x="192"/>
        <item x="672"/>
        <item x="697"/>
        <item x="88"/>
        <item x="249"/>
        <item x="588"/>
        <item x="688"/>
        <item x="1144"/>
        <item x="942"/>
        <item x="806"/>
        <item x="82"/>
        <item x="1146"/>
        <item x="71"/>
        <item x="411"/>
        <item x="845"/>
        <item x="505"/>
        <item x="460"/>
        <item x="277"/>
        <item x="1059"/>
        <item x="64"/>
        <item x="67"/>
        <item x="561"/>
        <item x="750"/>
        <item x="1166"/>
        <item x="72"/>
        <item x="1194"/>
        <item x="1116"/>
        <item x="434"/>
        <item x="321"/>
        <item x="714"/>
        <item x="301"/>
        <item x="691"/>
        <item x="299"/>
        <item x="1121"/>
        <item x="409"/>
        <item x="781"/>
        <item x="965"/>
        <item x="1079"/>
        <item x="752"/>
        <item x="886"/>
        <item x="154"/>
        <item x="895"/>
        <item x="244"/>
        <item x="590"/>
        <item x="665"/>
        <item x="70"/>
        <item x="117"/>
        <item x="538"/>
        <item x="79"/>
        <item x="107"/>
        <item x="589"/>
        <item x="17"/>
        <item x="840"/>
        <item x="410"/>
        <item x="981"/>
        <item x="1048"/>
        <item x="977"/>
        <item x="476"/>
        <item x="331"/>
        <item x="979"/>
        <item x="316"/>
        <item x="454"/>
        <item x="815"/>
        <item x="769"/>
        <item x="259"/>
        <item x="140"/>
        <item x="305"/>
        <item x="630"/>
        <item x="573"/>
        <item x="518"/>
        <item x="812"/>
        <item x="23"/>
        <item x="1002"/>
        <item x="748"/>
        <item x="617"/>
        <item x="909"/>
        <item x="633"/>
        <item x="852"/>
        <item x="533"/>
        <item x="215"/>
        <item x="407"/>
        <item x="801"/>
        <item x="468"/>
        <item x="254"/>
        <item x="595"/>
        <item x="699"/>
        <item x="869"/>
        <item x="449"/>
        <item x="48"/>
        <item x="29"/>
        <item x="189"/>
        <item x="152"/>
        <item x="188"/>
        <item x="170"/>
        <item x="156"/>
        <item x="1095"/>
        <item x="737"/>
        <item x="851"/>
        <item x="730"/>
        <item x="582"/>
        <item x="185"/>
        <item x="22"/>
        <item x="1087"/>
        <item x="777"/>
        <item x="496"/>
        <item x="947"/>
        <item x="639"/>
        <item x="1036"/>
        <item x="199"/>
        <item x="558"/>
        <item x="560"/>
        <item x="513"/>
        <item x="365"/>
        <item x="447"/>
        <item x="246"/>
        <item x="693"/>
        <item x="516"/>
        <item x="1083"/>
        <item x="479"/>
        <item x="132"/>
        <item x="605"/>
        <item x="311"/>
        <item x="361"/>
        <item x="133"/>
        <item x="1037"/>
        <item x="754"/>
        <item x="2"/>
        <item x="1021"/>
        <item x="291"/>
        <item x="52"/>
        <item x="353"/>
        <item x="545"/>
        <item x="432"/>
        <item x="828"/>
        <item x="896"/>
        <item x="992"/>
        <item x="575"/>
        <item x="310"/>
        <item x="26"/>
        <item x="1082"/>
        <item x="627"/>
        <item x="264"/>
        <item x="470"/>
        <item x="1149"/>
        <item x="878"/>
        <item x="393"/>
        <item x="978"/>
        <item x="974"/>
        <item x="143"/>
        <item x="90"/>
        <item x="945"/>
        <item x="690"/>
        <item x="312"/>
        <item x="991"/>
        <item x="796"/>
        <item x="655"/>
        <item x="675"/>
        <item x="1193"/>
        <item x="302"/>
        <item x="338"/>
        <item x="935"/>
        <item x="990"/>
        <item x="970"/>
        <item x="930"/>
        <item x="33"/>
        <item x="114"/>
        <item x="84"/>
        <item x="161"/>
        <item x="883"/>
        <item x="414"/>
        <item x="509"/>
        <item x="1076"/>
        <item x="1181"/>
        <item x="846"/>
        <item x="1175"/>
        <item x="339"/>
        <item x="58"/>
        <item x="834"/>
        <item x="450"/>
        <item x="1151"/>
        <item x="290"/>
        <item x="7"/>
        <item x="771"/>
        <item x="557"/>
        <item x="934"/>
        <item x="984"/>
        <item x="296"/>
        <item x="417"/>
        <item x="511"/>
        <item x="203"/>
        <item x="1042"/>
        <item x="1110"/>
        <item x="266"/>
        <item x="256"/>
        <item x="73"/>
        <item x="579"/>
        <item x="419"/>
        <item x="1067"/>
        <item x="1051"/>
        <item x="300"/>
        <item x="718"/>
        <item x="666"/>
        <item x="224"/>
        <item x="872"/>
        <item x="1163"/>
        <item x="571"/>
        <item x="876"/>
        <item x="169"/>
        <item x="683"/>
        <item x="1188"/>
        <item x="1098"/>
        <item x="551"/>
        <item x="668"/>
        <item x="370"/>
        <item x="1055"/>
        <item x="950"/>
        <item x="77"/>
        <item x="996"/>
        <item x="383"/>
        <item x="995"/>
        <item x="880"/>
        <item x="905"/>
        <item x="531"/>
        <item x="178"/>
        <item x="559"/>
        <item x="306"/>
        <item x="176"/>
        <item x="772"/>
        <item x="847"/>
        <item x="225"/>
        <item x="955"/>
        <item x="369"/>
        <item x="231"/>
        <item x="1153"/>
        <item x="1041"/>
        <item x="282"/>
        <item x="604"/>
        <item x="785"/>
        <item x="653"/>
        <item x="600"/>
        <item x="262"/>
        <item x="80"/>
        <item x="669"/>
        <item x="794"/>
        <item x="835"/>
        <item x="427"/>
        <item x="1182"/>
        <item x="888"/>
        <item x="1128"/>
        <item x="721"/>
        <item x="204"/>
        <item x="759"/>
        <item x="180"/>
        <item x="1019"/>
        <item x="1155"/>
        <item x="821"/>
        <item x="825"/>
        <item x="1130"/>
        <item x="273"/>
        <item x="322"/>
        <item x="364"/>
        <item x="1140"/>
        <item x="6"/>
        <item x="789"/>
        <item x="738"/>
        <item x="238"/>
        <item x="868"/>
        <item x="128"/>
        <item x="187"/>
        <item x="623"/>
        <item x="181"/>
        <item x="823"/>
        <item x="208"/>
        <item x="953"/>
        <item x="517"/>
        <item x="857"/>
        <item x="510"/>
        <item x="227"/>
        <item x="1103"/>
        <item x="1159"/>
        <item x="679"/>
        <item x="126"/>
        <item x="988"/>
        <item x="304"/>
        <item x="689"/>
        <item x="705"/>
        <item x="549"/>
        <item x="536"/>
        <item x="1143"/>
        <item x="811"/>
        <item x="347"/>
        <item x="1040"/>
        <item x="398"/>
        <item x="182"/>
        <item x="641"/>
        <item x="951"/>
        <item x="1113"/>
        <item x="882"/>
        <item x="780"/>
        <item x="163"/>
        <item x="512"/>
        <item x="286"/>
        <item x="923"/>
        <item x="881"/>
        <item x="944"/>
        <item x="343"/>
        <item x="1058"/>
        <item x="153"/>
        <item x="425"/>
        <item x="766"/>
        <item x="422"/>
        <item x="608"/>
        <item x="498"/>
        <item x="278"/>
        <item x="681"/>
        <item x="1195"/>
        <item x="975"/>
        <item x="631"/>
        <item x="1154"/>
        <item x="1013"/>
        <item x="1109"/>
        <item x="741"/>
        <item x="486"/>
        <item x="431"/>
        <item x="313"/>
        <item x="762"/>
        <item x="35"/>
        <item x="234"/>
        <item x="790"/>
        <item x="591"/>
        <item x="404"/>
        <item x="503"/>
        <item x="446"/>
        <item x="678"/>
        <item x="456"/>
        <item x="481"/>
        <item x="1187"/>
        <item x="1127"/>
        <item x="401"/>
        <item x="341"/>
        <item x="980"/>
        <item x="230"/>
        <item x="418"/>
        <item x="893"/>
        <item x="201"/>
        <item x="652"/>
        <item x="359"/>
        <item x="350"/>
        <item x="713"/>
        <item x="986"/>
        <item x="520"/>
        <item x="798"/>
        <item x="572"/>
        <item x="95"/>
        <item x="46"/>
        <item x="20"/>
        <item x="541"/>
        <item x="694"/>
        <item x="415"/>
        <item x="632"/>
        <item x="764"/>
        <item x="804"/>
        <item x="333"/>
        <item x="687"/>
        <item x="656"/>
        <item x="400"/>
        <item x="733"/>
        <item x="969"/>
        <item x="11"/>
        <item x="416"/>
        <item x="757"/>
        <item x="482"/>
        <item x="898"/>
        <item x="758"/>
        <item x="430"/>
        <item x="65"/>
        <item x="661"/>
        <item x="1065"/>
        <item x="1126"/>
        <item x="786"/>
        <item x="175"/>
        <item x="8"/>
        <item x="1091"/>
        <item x="91"/>
        <item x="903"/>
        <item x="873"/>
        <item x="356"/>
        <item x="712"/>
        <item x="467"/>
        <item x="318"/>
        <item x="1003"/>
        <item x="112"/>
        <item x="1119"/>
        <item x="220"/>
        <item x="255"/>
        <item x="973"/>
        <item x="471"/>
        <item x="1010"/>
        <item x="377"/>
        <item x="1129"/>
        <item x="837"/>
        <item x="535"/>
        <item x="715"/>
        <item x="937"/>
        <item x="962"/>
        <item x="325"/>
        <item x="60"/>
        <item x="276"/>
        <item x="340"/>
        <item x="1029"/>
        <item x="1074"/>
        <item x="933"/>
        <item x="809"/>
        <item x="1064"/>
        <item x="700"/>
        <item x="166"/>
        <item x="165"/>
        <item x="871"/>
        <item x="43"/>
        <item x="751"/>
        <item x="242"/>
        <item x="555"/>
        <item x="793"/>
        <item x="106"/>
        <item x="1052"/>
        <item x="592"/>
        <item x="118"/>
        <item x="601"/>
        <item x="949"/>
        <item x="677"/>
        <item x="113"/>
        <item x="1031"/>
        <item x="802"/>
        <item x="743"/>
        <item x="309"/>
        <item x="676"/>
        <item x="51"/>
        <item x="997"/>
        <item x="332"/>
        <item x="441"/>
        <item x="570"/>
        <item x="854"/>
        <item x="618"/>
        <item x="122"/>
        <item x="598"/>
        <item x="1008"/>
        <item x="247"/>
        <item x="461"/>
        <item x="704"/>
        <item x="183"/>
        <item x="403"/>
        <item x="216"/>
        <item x="205"/>
        <item x="1118"/>
        <item x="768"/>
        <item x="1145"/>
        <item x="495"/>
        <item x="27"/>
        <item x="1152"/>
        <item x="3"/>
        <item x="130"/>
        <item x="829"/>
        <item x="13"/>
        <item x="101"/>
        <item x="856"/>
        <item x="155"/>
        <item x="926"/>
        <item x="640"/>
        <item x="124"/>
        <item x="567"/>
        <item x="501"/>
        <item x="392"/>
        <item x="936"/>
        <item x="822"/>
        <item x="1096"/>
        <item x="292"/>
        <item x="209"/>
        <item x="137"/>
        <item x="537"/>
        <item x="240"/>
        <item x="420"/>
        <item x="477"/>
        <item x="971"/>
        <item x="931"/>
        <item x="223"/>
        <item x="271"/>
        <item x="717"/>
        <item x="1107"/>
        <item x="263"/>
        <item x="1120"/>
        <item x="200"/>
        <item x="1063"/>
        <item x="483"/>
        <item x="1072"/>
        <item x="635"/>
        <item x="894"/>
        <item x="860"/>
        <item x="504"/>
        <item x="1102"/>
        <item x="686"/>
        <item x="508"/>
        <item x="1006"/>
        <item x="18"/>
        <item x="437"/>
        <item x="362"/>
        <item x="859"/>
        <item x="1078"/>
        <item x="524"/>
        <item x="1093"/>
        <item x="499"/>
        <item x="994"/>
        <item x="372"/>
        <item x="650"/>
        <item x="211"/>
        <item x="569"/>
        <item x="522"/>
        <item x="1000"/>
        <item x="540"/>
        <item x="376"/>
        <item x="998"/>
        <item x="252"/>
        <item x="917"/>
        <item x="836"/>
        <item x="327"/>
        <item x="397"/>
        <item x="159"/>
        <item x="674"/>
        <item x="85"/>
        <item x="782"/>
        <item x="348"/>
        <item x="251"/>
        <item x="358"/>
        <item x="919"/>
        <item x="1124"/>
        <item x="756"/>
        <item x="1044"/>
        <item x="548"/>
        <item x="184"/>
        <item x="948"/>
        <item x="527"/>
        <item x="525"/>
        <item x="1086"/>
        <item x="912"/>
        <item x="1071"/>
        <item x="342"/>
        <item x="1162"/>
        <item x="774"/>
        <item x="529"/>
        <item x="1017"/>
        <item x="1173"/>
        <item x="684"/>
        <item x="1191"/>
        <item x="568"/>
        <item x="716"/>
        <item x="719"/>
        <item x="491"/>
        <item x="563"/>
        <item x="810"/>
        <item x="596"/>
        <item x="1099"/>
        <item x="867"/>
        <item x="164"/>
        <item x="1039"/>
        <item x="957"/>
        <item x="523"/>
        <item x="125"/>
        <item x="1167"/>
        <item x="202"/>
        <item x="593"/>
        <item x="250"/>
        <item x="928"/>
        <item x="1197"/>
        <item x="814"/>
        <item x="1131"/>
        <item x="924"/>
        <item x="328"/>
        <item x="10"/>
        <item x="1097"/>
        <item x="458"/>
        <item x="1101"/>
        <item x="267"/>
        <item x="435"/>
        <item x="281"/>
        <item x="191"/>
        <item x="654"/>
        <item x="386"/>
        <item x="987"/>
        <item x="1161"/>
        <item x="626"/>
        <item x="663"/>
        <item x="389"/>
        <item x="19"/>
        <item x="484"/>
        <item x="827"/>
        <item x="56"/>
        <item x="553"/>
        <item x="1135"/>
        <item x="287"/>
        <item x="927"/>
        <item x="647"/>
        <item x="63"/>
        <item x="1196"/>
        <item x="295"/>
        <item x="157"/>
        <item x="272"/>
        <item t="default"/>
      </items>
    </pivotField>
    <pivotField showAll="0"/>
    <pivotField showAll="0"/>
    <pivotField showAll="0">
      <items count="17">
        <item x="1"/>
        <item x="13"/>
        <item x="3"/>
        <item x="12"/>
        <item x="7"/>
        <item x="6"/>
        <item x="8"/>
        <item x="0"/>
        <item x="14"/>
        <item x="4"/>
        <item x="10"/>
        <item x="9"/>
        <item x="15"/>
        <item x="11"/>
        <item x="5"/>
        <item x="2"/>
        <item t="default"/>
      </items>
    </pivotField>
    <pivotField dataField="1" showAll="0"/>
    <pivotField numFmtId="10" showAll="0"/>
    <pivotField numFmtId="10" showAll="0">
      <items count="1201">
        <item x="19"/>
        <item x="191"/>
        <item x="379"/>
        <item x="1089"/>
        <item x="343"/>
        <item x="1194"/>
        <item x="1175"/>
        <item x="335"/>
        <item x="840"/>
        <item x="180"/>
        <item x="223"/>
        <item x="920"/>
        <item x="846"/>
        <item x="435"/>
        <item x="1053"/>
        <item x="595"/>
        <item x="187"/>
        <item x="354"/>
        <item x="1073"/>
        <item x="224"/>
        <item x="735"/>
        <item x="126"/>
        <item x="716"/>
        <item x="1101"/>
        <item x="618"/>
        <item x="1133"/>
        <item x="828"/>
        <item x="202"/>
        <item x="474"/>
        <item x="940"/>
        <item x="698"/>
        <item x="650"/>
        <item x="619"/>
        <item x="1143"/>
        <item x="714"/>
        <item x="436"/>
        <item x="931"/>
        <item x="346"/>
        <item x="362"/>
        <item x="423"/>
        <item x="722"/>
        <item x="980"/>
        <item x="752"/>
        <item x="554"/>
        <item x="409"/>
        <item x="569"/>
        <item x="553"/>
        <item x="164"/>
        <item x="271"/>
        <item x="56"/>
        <item x="415"/>
        <item x="63"/>
        <item x="22"/>
        <item x="712"/>
        <item x="1165"/>
        <item x="7"/>
        <item x="1193"/>
        <item x="72"/>
        <item x="639"/>
        <item x="792"/>
        <item x="287"/>
        <item x="759"/>
        <item x="272"/>
        <item x="1062"/>
        <item x="995"/>
        <item x="357"/>
        <item x="625"/>
        <item x="176"/>
        <item x="1136"/>
        <item x="1008"/>
        <item x="1164"/>
        <item x="294"/>
        <item x="199"/>
        <item x="157"/>
        <item x="1000"/>
        <item x="153"/>
        <item x="10"/>
        <item x="1173"/>
        <item x="1199"/>
        <item x="475"/>
        <item x="485"/>
        <item x="184"/>
        <item x="890"/>
        <item x="918"/>
        <item x="1180"/>
        <item x="922"/>
        <item x="923"/>
        <item x="131"/>
        <item x="999"/>
        <item x="295"/>
        <item x="1030"/>
        <item x="641"/>
        <item x="159"/>
        <item x="967"/>
        <item x="675"/>
        <item x="15"/>
        <item x="459"/>
        <item x="528"/>
        <item x="526"/>
        <item x="949"/>
        <item x="655"/>
        <item x="1168"/>
        <item x="234"/>
        <item x="1036"/>
        <item x="868"/>
        <item x="450"/>
        <item x="163"/>
        <item x="368"/>
        <item x="904"/>
        <item x="916"/>
        <item x="991"/>
        <item x="1184"/>
        <item x="1105"/>
        <item x="1191"/>
        <item x="808"/>
        <item x="571"/>
        <item x="256"/>
        <item x="1041"/>
        <item x="648"/>
        <item x="1104"/>
        <item x="627"/>
        <item x="958"/>
        <item x="353"/>
        <item x="161"/>
        <item x="541"/>
        <item x="837"/>
        <item x="676"/>
        <item x="622"/>
        <item x="817"/>
        <item x="628"/>
        <item x="64"/>
        <item x="895"/>
        <item x="860"/>
        <item x="179"/>
        <item x="21"/>
        <item x="401"/>
        <item x="113"/>
        <item x="600"/>
        <item x="963"/>
        <item x="387"/>
        <item x="1045"/>
        <item x="876"/>
        <item x="533"/>
        <item x="720"/>
        <item x="898"/>
        <item x="332"/>
        <item x="1017"/>
        <item x="613"/>
        <item x="6"/>
        <item x="135"/>
        <item x="1178"/>
        <item x="530"/>
        <item x="897"/>
        <item x="93"/>
        <item x="993"/>
        <item x="414"/>
        <item x="192"/>
        <item x="612"/>
        <item x="928"/>
        <item x="1163"/>
        <item x="1071"/>
        <item x="773"/>
        <item x="27"/>
        <item x="764"/>
        <item x="1190"/>
        <item x="593"/>
        <item x="832"/>
        <item x="574"/>
        <item x="149"/>
        <item x="371"/>
        <item x="1198"/>
        <item x="279"/>
        <item x="657"/>
        <item x="691"/>
        <item x="315"/>
        <item x="929"/>
        <item x="250"/>
        <item x="952"/>
        <item x="869"/>
        <item x="758"/>
        <item x="565"/>
        <item x="185"/>
        <item x="442"/>
        <item x="558"/>
        <item x="664"/>
        <item x="727"/>
        <item x="537"/>
        <item x="859"/>
        <item x="624"/>
        <item x="128"/>
        <item x="456"/>
        <item x="1103"/>
        <item x="1112"/>
        <item x="1013"/>
        <item x="1066"/>
        <item x="810"/>
        <item x="653"/>
        <item x="997"/>
        <item x="768"/>
        <item x="504"/>
        <item x="924"/>
        <item x="310"/>
        <item x="1099"/>
        <item x="629"/>
        <item x="732"/>
        <item x="597"/>
        <item x="961"/>
        <item x="377"/>
        <item x="1115"/>
        <item x="936"/>
        <item x="503"/>
        <item x="855"/>
        <item x="775"/>
        <item x="919"/>
        <item x="281"/>
        <item x="303"/>
        <item x="385"/>
        <item x="482"/>
        <item x="564"/>
        <item x="581"/>
        <item x="361"/>
        <item x="734"/>
        <item x="125"/>
        <item x="577"/>
        <item x="524"/>
        <item x="915"/>
        <item x="847"/>
        <item x="85"/>
        <item x="1029"/>
        <item x="243"/>
        <item x="1174"/>
        <item x="25"/>
        <item x="851"/>
        <item x="925"/>
        <item x="751"/>
        <item x="416"/>
        <item x="685"/>
        <item x="173"/>
        <item x="1192"/>
        <item x="309"/>
        <item x="891"/>
        <item x="1019"/>
        <item x="681"/>
        <item x="1048"/>
        <item x="1001"/>
        <item x="227"/>
        <item x="836"/>
        <item x="174"/>
        <item x="419"/>
        <item x="299"/>
        <item x="984"/>
        <item x="1088"/>
        <item x="643"/>
        <item x="746"/>
        <item x="570"/>
        <item x="976"/>
        <item x="438"/>
        <item x="1111"/>
        <item x="791"/>
        <item x="844"/>
        <item x="856"/>
        <item x="508"/>
        <item x="1172"/>
        <item x="1070"/>
        <item x="692"/>
        <item x="1102"/>
        <item x="1169"/>
        <item x="834"/>
        <item x="709"/>
        <item x="575"/>
        <item x="989"/>
        <item x="1006"/>
        <item x="974"/>
        <item x="862"/>
        <item x="1149"/>
        <item x="525"/>
        <item x="696"/>
        <item x="24"/>
        <item x="489"/>
        <item x="1065"/>
        <item x="580"/>
        <item x="3"/>
        <item x="136"/>
        <item x="382"/>
        <item x="608"/>
        <item x="896"/>
        <item x="737"/>
        <item x="1181"/>
        <item x="1114"/>
        <item x="1100"/>
        <item x="977"/>
        <item x="319"/>
        <item x="392"/>
        <item x="731"/>
        <item x="684"/>
        <item x="717"/>
        <item x="1052"/>
        <item x="550"/>
        <item x="421"/>
        <item x="1195"/>
        <item x="505"/>
        <item x="988"/>
        <item x="440"/>
        <item x="1106"/>
        <item x="251"/>
        <item x="132"/>
        <item x="585"/>
        <item x="122"/>
        <item x="557"/>
        <item x="1078"/>
        <item x="973"/>
        <item x="424"/>
        <item x="704"/>
        <item x="216"/>
        <item x="509"/>
        <item x="695"/>
        <item x="799"/>
        <item x="292"/>
        <item x="484"/>
        <item x="913"/>
        <item x="340"/>
        <item x="818"/>
        <item x="257"/>
        <item x="826"/>
        <item x="34"/>
        <item x="144"/>
        <item x="258"/>
        <item x="715"/>
        <item x="880"/>
        <item x="403"/>
        <item x="957"/>
        <item x="453"/>
        <item x="408"/>
        <item x="552"/>
        <item x="757"/>
        <item x="790"/>
        <item x="1129"/>
        <item x="325"/>
        <item x="322"/>
        <item x="451"/>
        <item x="892"/>
        <item x="1148"/>
        <item x="1147"/>
        <item x="5"/>
        <item x="40"/>
        <item x="780"/>
        <item x="211"/>
        <item x="349"/>
        <item x="604"/>
        <item x="209"/>
        <item x="914"/>
        <item x="535"/>
        <item x="599"/>
        <item x="861"/>
        <item x="682"/>
        <item x="488"/>
        <item x="308"/>
        <item x="18"/>
        <item x="455"/>
        <item x="114"/>
        <item x="549"/>
        <item x="738"/>
        <item x="582"/>
        <item x="874"/>
        <item x="711"/>
        <item x="1171"/>
        <item x="468"/>
        <item x="671"/>
        <item x="733"/>
        <item x="1024"/>
        <item x="1188"/>
        <item x="158"/>
        <item x="870"/>
        <item x="140"/>
        <item x="1043"/>
        <item x="932"/>
        <item x="265"/>
        <item x="926"/>
        <item x="998"/>
        <item x="333"/>
        <item x="555"/>
        <item x="1074"/>
        <item x="556"/>
        <item x="983"/>
        <item x="244"/>
        <item x="786"/>
        <item x="1179"/>
        <item x="1109"/>
        <item x="1137"/>
        <item x="342"/>
        <item x="1142"/>
        <item x="821"/>
        <item x="783"/>
        <item x="252"/>
        <item x="270"/>
        <item x="118"/>
        <item x="774"/>
        <item x="819"/>
        <item x="743"/>
        <item x="854"/>
        <item x="420"/>
        <item x="772"/>
        <item x="1056"/>
        <item x="718"/>
        <item x="586"/>
        <item x="602"/>
        <item x="188"/>
        <item x="220"/>
        <item x="945"/>
        <item x="280"/>
        <item x="1126"/>
        <item x="134"/>
        <item x="742"/>
        <item x="205"/>
        <item x="1154"/>
        <item x="813"/>
        <item x="1046"/>
        <item x="105"/>
        <item x="238"/>
        <item x="493"/>
        <item x="583"/>
        <item x="1095"/>
        <item x="249"/>
        <item x="1122"/>
        <item x="2"/>
        <item x="838"/>
        <item x="189"/>
        <item x="418"/>
        <item x="89"/>
        <item x="815"/>
        <item x="713"/>
        <item x="406"/>
        <item x="933"/>
        <item x="355"/>
        <item x="1153"/>
        <item x="106"/>
        <item x="367"/>
        <item x="101"/>
        <item x="534"/>
        <item x="390"/>
        <item x="359"/>
        <item x="1096"/>
        <item x="795"/>
        <item x="749"/>
        <item x="568"/>
        <item x="284"/>
        <item x="88"/>
        <item x="275"/>
        <item x="69"/>
        <item x="490"/>
        <item x="1003"/>
        <item x="822"/>
        <item x="1050"/>
        <item x="516"/>
        <item x="328"/>
        <item x="130"/>
        <item x="247"/>
        <item x="373"/>
        <item x="214"/>
        <item x="222"/>
        <item x="398"/>
        <item x="84"/>
        <item x="96"/>
        <item x="1007"/>
        <item x="242"/>
        <item x="1002"/>
        <item x="649"/>
        <item x="578"/>
        <item x="673"/>
        <item x="992"/>
        <item x="1177"/>
        <item x="200"/>
        <item x="523"/>
        <item x="35"/>
        <item x="393"/>
        <item x="785"/>
        <item x="806"/>
        <item x="481"/>
        <item x="687"/>
        <item x="934"/>
        <item x="207"/>
        <item x="666"/>
        <item x="302"/>
        <item x="544"/>
        <item x="269"/>
        <item x="73"/>
        <item x="954"/>
        <item x="264"/>
        <item x="286"/>
        <item x="465"/>
        <item x="950"/>
        <item x="776"/>
        <item x="948"/>
        <item x="823"/>
        <item x="231"/>
        <item x="1110"/>
        <item x="1072"/>
        <item x="388"/>
        <item x="987"/>
        <item x="1022"/>
        <item x="267"/>
        <item x="116"/>
        <item x="183"/>
        <item x="1076"/>
        <item x="107"/>
        <item x="363"/>
        <item x="1063"/>
        <item x="594"/>
        <item x="326"/>
        <item x="1189"/>
        <item x="576"/>
        <item x="365"/>
        <item x="1031"/>
        <item x="883"/>
        <item x="800"/>
        <item x="1009"/>
        <item x="473"/>
        <item x="263"/>
        <item x="68"/>
        <item x="208"/>
        <item x="972"/>
        <item x="374"/>
        <item x="329"/>
        <item x="1033"/>
        <item x="959"/>
        <item x="1012"/>
        <item x="389"/>
        <item x="767"/>
        <item x="276"/>
        <item x="148"/>
        <item x="680"/>
        <item x="502"/>
        <item x="169"/>
        <item x="457"/>
        <item x="590"/>
        <item x="1058"/>
        <item x="1079"/>
        <item x="364"/>
        <item x="301"/>
        <item x="921"/>
        <item x="659"/>
        <item x="763"/>
        <item x="141"/>
        <item x="739"/>
        <item x="781"/>
        <item x="1134"/>
        <item x="434"/>
        <item x="937"/>
        <item x="344"/>
        <item x="178"/>
        <item x="689"/>
        <item x="147"/>
        <item x="466"/>
        <item x="522"/>
        <item x="311"/>
        <item x="640"/>
        <item x="540"/>
        <item x="1087"/>
        <item x="422"/>
        <item x="877"/>
        <item x="886"/>
        <item x="517"/>
        <item x="240"/>
        <item x="1131"/>
        <item x="793"/>
        <item x="560"/>
        <item x="1170"/>
        <item x="1005"/>
        <item x="1080"/>
        <item x="761"/>
        <item x="705"/>
        <item x="103"/>
        <item x="198"/>
        <item x="589"/>
        <item x="43"/>
        <item x="850"/>
        <item x="143"/>
        <item x="798"/>
        <item x="291"/>
        <item x="300"/>
        <item x="404"/>
        <item x="296"/>
        <item x="110"/>
        <item x="228"/>
        <item x="884"/>
        <item x="563"/>
        <item x="53"/>
        <item x="76"/>
        <item x="75"/>
        <item x="964"/>
        <item x="426"/>
        <item x="397"/>
        <item x="942"/>
        <item x="762"/>
        <item x="981"/>
        <item x="1069"/>
        <item x="1023"/>
        <item x="225"/>
        <item x="965"/>
        <item x="431"/>
        <item x="99"/>
        <item x="760"/>
        <item x="137"/>
        <item x="41"/>
        <item x="1098"/>
        <item x="725"/>
        <item x="605"/>
        <item x="852"/>
        <item x="656"/>
        <item x="827"/>
        <item x="769"/>
        <item x="233"/>
        <item x="744"/>
        <item x="124"/>
        <item x="700"/>
        <item x="127"/>
        <item x="543"/>
        <item x="536"/>
        <item x="1176"/>
        <item x="55"/>
        <item x="331"/>
        <item x="1047"/>
        <item x="1128"/>
        <item x="410"/>
        <item x="229"/>
        <item x="472"/>
        <item x="95"/>
        <item x="358"/>
        <item x="461"/>
        <item x="845"/>
        <item x="908"/>
        <item x="60"/>
        <item x="478"/>
        <item x="458"/>
        <item x="492"/>
        <item x="1068"/>
        <item x="542"/>
        <item x="375"/>
        <item x="1075"/>
        <item x="491"/>
        <item x="538"/>
        <item x="1083"/>
        <item x="1120"/>
        <item x="166"/>
        <item x="888"/>
        <item x="181"/>
        <item x="811"/>
        <item x="882"/>
        <item x="678"/>
        <item x="1091"/>
        <item x="825"/>
        <item x="1092"/>
        <item x="708"/>
        <item x="971"/>
        <item x="378"/>
        <item x="642"/>
        <item x="947"/>
        <item x="282"/>
        <item x="1020"/>
        <item x="927"/>
        <item x="903"/>
        <item x="1057"/>
        <item x="384"/>
        <item x="79"/>
        <item x="155"/>
        <item x="383"/>
        <item x="501"/>
        <item x="766"/>
        <item x="879"/>
        <item x="65"/>
        <item x="636"/>
        <item x="236"/>
        <item x="1059"/>
        <item x="651"/>
        <item x="496"/>
        <item x="360"/>
        <item x="445"/>
        <item x="1040"/>
        <item x="985"/>
        <item x="171"/>
        <item x="745"/>
        <item x="966"/>
        <item x="334"/>
        <item x="97"/>
        <item x="1144"/>
        <item x="59"/>
        <item x="306"/>
        <item x="905"/>
        <item x="370"/>
        <item x="1011"/>
        <item x="679"/>
        <item x="145"/>
        <item x="146"/>
        <item x="469"/>
        <item x="857"/>
        <item x="899"/>
        <item x="787"/>
        <item x="8"/>
        <item x="946"/>
        <item x="572"/>
        <item x="669"/>
        <item x="506"/>
        <item x="1157"/>
        <item x="824"/>
        <item x="104"/>
        <item x="356"/>
        <item x="1162"/>
        <item x="912"/>
        <item x="196"/>
        <item x="441"/>
        <item x="61"/>
        <item x="91"/>
        <item x="901"/>
        <item x="92"/>
        <item x="14"/>
        <item x="614"/>
        <item x="1197"/>
        <item x="728"/>
        <item x="1145"/>
        <item x="730"/>
        <item x="784"/>
        <item x="112"/>
        <item x="314"/>
        <item x="683"/>
        <item x="1039"/>
        <item x="843"/>
        <item x="782"/>
        <item x="98"/>
        <item x="1158"/>
        <item x="248"/>
        <item x="1127"/>
        <item x="1038"/>
        <item x="437"/>
        <item x="559"/>
        <item x="740"/>
        <item x="830"/>
        <item x="0"/>
        <item x="462"/>
        <item x="463"/>
        <item x="956"/>
        <item x="460"/>
        <item x="756"/>
        <item x="439"/>
        <item x="36"/>
        <item x="394"/>
        <item x="241"/>
        <item x="9"/>
        <item x="167"/>
        <item x="232"/>
        <item x="31"/>
        <item x="566"/>
        <item x="288"/>
        <item x="432"/>
        <item x="318"/>
        <item x="52"/>
        <item x="1004"/>
        <item x="13"/>
        <item x="16"/>
        <item x="601"/>
        <item x="1054"/>
        <item x="412"/>
        <item x="1016"/>
        <item x="1055"/>
        <item x="1090"/>
        <item x="894"/>
        <item x="765"/>
        <item x="994"/>
        <item x="647"/>
        <item x="616"/>
        <item x="117"/>
        <item x="42"/>
        <item x="978"/>
        <item x="156"/>
        <item x="1028"/>
        <item x="237"/>
        <item x="701"/>
        <item x="154"/>
        <item x="975"/>
        <item x="1025"/>
        <item x="186"/>
        <item x="777"/>
        <item x="848"/>
        <item x="1014"/>
        <item x="1146"/>
        <item x="592"/>
        <item x="867"/>
        <item x="1161"/>
        <item x="1015"/>
        <item x="519"/>
        <item x="688"/>
        <item x="289"/>
        <item x="351"/>
        <item x="803"/>
        <item x="794"/>
        <item x="729"/>
        <item x="239"/>
        <item x="1121"/>
        <item x="654"/>
        <item x="215"/>
        <item x="849"/>
        <item x="812"/>
        <item x="1135"/>
        <item x="1160"/>
        <item x="165"/>
        <item x="955"/>
        <item x="617"/>
        <item x="119"/>
        <item x="400"/>
        <item x="662"/>
        <item x="548"/>
        <item x="866"/>
        <item x="313"/>
        <item x="551"/>
        <item x="1185"/>
        <item x="206"/>
        <item x="753"/>
        <item x="1152"/>
        <item x="521"/>
        <item x="833"/>
        <item x="863"/>
        <item x="111"/>
        <item x="677"/>
        <item x="906"/>
        <item x="816"/>
        <item x="66"/>
        <item x="413"/>
        <item x="278"/>
        <item x="51"/>
        <item x="1141"/>
        <item x="28"/>
        <item x="665"/>
        <item x="476"/>
        <item x="58"/>
        <item x="839"/>
        <item x="660"/>
        <item x="204"/>
        <item x="1037"/>
        <item x="1108"/>
        <item x="139"/>
        <item x="872"/>
        <item x="193"/>
        <item x="1116"/>
        <item x="741"/>
        <item x="444"/>
        <item x="630"/>
        <item x="1093"/>
        <item x="86"/>
        <item x="706"/>
        <item x="893"/>
        <item x="944"/>
        <item x="213"/>
        <item x="133"/>
        <item x="515"/>
        <item x="907"/>
        <item x="467"/>
        <item x="255"/>
        <item x="305"/>
        <item x="637"/>
        <item x="842"/>
        <item x="938"/>
        <item x="33"/>
        <item x="633"/>
        <item x="809"/>
        <item x="1156"/>
        <item x="805"/>
        <item x="694"/>
        <item x="339"/>
        <item x="427"/>
        <item x="454"/>
        <item x="499"/>
        <item x="968"/>
        <item x="672"/>
        <item x="1113"/>
        <item x="670"/>
        <item x="307"/>
        <item x="667"/>
        <item x="197"/>
        <item x="520"/>
        <item x="1167"/>
        <item x="486"/>
        <item x="293"/>
        <item x="402"/>
        <item x="1"/>
        <item x="770"/>
        <item x="285"/>
        <item x="889"/>
        <item x="661"/>
        <item x="20"/>
        <item x="532"/>
        <item x="858"/>
        <item x="609"/>
        <item x="23"/>
        <item x="500"/>
        <item x="820"/>
        <item x="47"/>
        <item x="513"/>
        <item x="873"/>
        <item x="1186"/>
        <item x="801"/>
        <item x="324"/>
        <item x="320"/>
        <item x="982"/>
        <item x="1061"/>
        <item x="46"/>
        <item x="1067"/>
        <item x="771"/>
        <item x="621"/>
        <item x="789"/>
        <item x="477"/>
        <item x="120"/>
        <item x="1132"/>
        <item x="70"/>
        <item x="1150"/>
        <item x="366"/>
        <item x="969"/>
        <item x="610"/>
        <item x="87"/>
        <item x="686"/>
        <item x="428"/>
        <item x="32"/>
        <item x="338"/>
        <item x="724"/>
        <item x="1182"/>
        <item x="539"/>
        <item x="547"/>
        <item x="494"/>
        <item x="1027"/>
        <item x="1042"/>
        <item x="429"/>
        <item x="268"/>
        <item x="260"/>
        <item x="878"/>
        <item x="471"/>
        <item x="259"/>
        <item x="142"/>
        <item x="94"/>
        <item x="283"/>
        <item x="201"/>
        <item x="917"/>
        <item x="1051"/>
        <item x="887"/>
        <item x="996"/>
        <item x="323"/>
        <item x="483"/>
        <item x="464"/>
        <item x="190"/>
        <item x="990"/>
        <item x="511"/>
        <item x="312"/>
        <item x="710"/>
        <item x="381"/>
        <item x="1107"/>
        <item x="11"/>
        <item x="274"/>
        <item x="900"/>
        <item x="77"/>
        <item x="778"/>
        <item x="405"/>
        <item x="573"/>
        <item x="45"/>
        <item x="102"/>
        <item x="970"/>
        <item x="1077"/>
        <item x="603"/>
        <item x="380"/>
        <item x="909"/>
        <item x="417"/>
        <item x="1097"/>
        <item x="218"/>
        <item x="587"/>
        <item x="109"/>
        <item x="470"/>
        <item x="336"/>
        <item x="261"/>
        <item x="447"/>
        <item x="221"/>
        <item x="83"/>
        <item x="80"/>
        <item x="510"/>
        <item x="1034"/>
        <item x="674"/>
        <item x="50"/>
        <item x="1196"/>
        <item x="1159"/>
        <item x="230"/>
        <item x="348"/>
        <item x="449"/>
        <item x="588"/>
        <item x="902"/>
        <item x="606"/>
        <item x="1035"/>
        <item x="607"/>
        <item x="507"/>
        <item x="853"/>
        <item x="210"/>
        <item x="645"/>
        <item x="631"/>
        <item x="396"/>
        <item x="448"/>
        <item x="67"/>
        <item x="807"/>
        <item x="345"/>
        <item x="57"/>
        <item x="498"/>
        <item x="518"/>
        <item x="160"/>
        <item x="123"/>
        <item x="1183"/>
        <item x="446"/>
        <item x="433"/>
        <item x="699"/>
        <item x="253"/>
        <item x="546"/>
        <item x="129"/>
        <item x="1044"/>
        <item x="598"/>
        <item x="78"/>
        <item x="979"/>
        <item x="316"/>
        <item x="623"/>
        <item x="626"/>
        <item x="411"/>
        <item x="960"/>
        <item x="235"/>
        <item x="81"/>
        <item x="487"/>
        <item x="962"/>
        <item x="82"/>
        <item x="754"/>
        <item x="391"/>
        <item x="707"/>
        <item x="1138"/>
        <item x="831"/>
        <item x="1139"/>
        <item x="26"/>
        <item x="632"/>
        <item x="638"/>
        <item x="615"/>
        <item x="30"/>
        <item x="44"/>
        <item x="172"/>
        <item x="182"/>
        <item x="266"/>
        <item x="881"/>
        <item x="951"/>
        <item x="203"/>
        <item x="1151"/>
        <item x="273"/>
        <item x="12"/>
        <item x="430"/>
        <item x="29"/>
        <item x="443"/>
        <item x="1082"/>
        <item x="321"/>
        <item x="170"/>
        <item x="386"/>
        <item x="1086"/>
        <item x="219"/>
        <item x="584"/>
        <item x="1119"/>
        <item x="217"/>
        <item x="327"/>
        <item x="1084"/>
        <item x="1049"/>
        <item x="723"/>
        <item x="1085"/>
        <item x="1026"/>
        <item x="246"/>
        <item x="865"/>
        <item x="871"/>
        <item x="407"/>
        <item x="479"/>
        <item x="138"/>
        <item x="690"/>
        <item x="100"/>
        <item x="875"/>
        <item x="693"/>
        <item x="352"/>
        <item x="939"/>
        <item x="1166"/>
        <item x="591"/>
        <item x="747"/>
        <item x="829"/>
        <item x="1094"/>
        <item x="1123"/>
        <item x="797"/>
        <item x="1032"/>
        <item x="841"/>
        <item x="941"/>
        <item x="721"/>
        <item x="277"/>
        <item x="4"/>
        <item x="796"/>
        <item x="399"/>
        <item x="376"/>
        <item x="17"/>
        <item x="658"/>
        <item x="562"/>
        <item x="750"/>
        <item x="115"/>
        <item x="620"/>
        <item x="986"/>
        <item x="702"/>
        <item x="48"/>
        <item x="703"/>
        <item x="226"/>
        <item x="1187"/>
        <item x="37"/>
        <item x="596"/>
        <item x="341"/>
        <item x="347"/>
        <item x="1140"/>
        <item x="497"/>
        <item x="663"/>
        <item x="1010"/>
        <item x="635"/>
        <item x="1021"/>
        <item x="545"/>
        <item x="531"/>
        <item x="369"/>
        <item x="54"/>
        <item x="304"/>
        <item x="611"/>
        <item x="150"/>
        <item x="108"/>
        <item x="121"/>
        <item x="1081"/>
        <item x="337"/>
        <item x="748"/>
        <item x="726"/>
        <item x="39"/>
        <item x="480"/>
        <item x="634"/>
        <item x="527"/>
        <item x="788"/>
        <item x="350"/>
        <item x="864"/>
        <item x="561"/>
        <item x="804"/>
        <item x="194"/>
        <item x="62"/>
        <item x="1124"/>
        <item x="1018"/>
        <item x="317"/>
        <item x="1155"/>
        <item x="567"/>
        <item x="74"/>
        <item x="652"/>
        <item x="254"/>
        <item x="90"/>
        <item x="930"/>
        <item x="885"/>
        <item x="290"/>
        <item x="262"/>
        <item x="372"/>
        <item x="579"/>
        <item x="644"/>
        <item x="195"/>
        <item x="814"/>
        <item x="911"/>
        <item x="297"/>
        <item x="779"/>
        <item x="298"/>
        <item x="177"/>
        <item x="212"/>
        <item x="1130"/>
        <item x="495"/>
        <item x="646"/>
        <item x="935"/>
        <item x="1118"/>
        <item x="529"/>
        <item x="175"/>
        <item x="755"/>
        <item x="910"/>
        <item x="1117"/>
        <item x="1125"/>
        <item x="514"/>
        <item x="802"/>
        <item x="697"/>
        <item x="835"/>
        <item x="452"/>
        <item x="71"/>
        <item x="953"/>
        <item x="395"/>
        <item x="168"/>
        <item x="943"/>
        <item x="151"/>
        <item x="162"/>
        <item x="1060"/>
        <item x="719"/>
        <item x="49"/>
        <item x="668"/>
        <item x="245"/>
        <item x="736"/>
        <item x="152"/>
        <item x="330"/>
        <item x="512"/>
        <item x="38"/>
        <item x="1064"/>
        <item x="42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dragToRow="0" dragToCol="0" dragToPage="0" showAll="0" defaultSubtotal="0"/>
  </pivotFields>
  <rowItems count="1">
    <i/>
  </rowItems>
  <colItems count="1">
    <i/>
  </colItems>
  <dataFields count="1">
    <dataField name="Sum of Gross_Profit" fld="9" baseField="0" baseItem="0" numFmtId="164"/>
  </dataFields>
  <formats count="1">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92DCEA7-01D7-4771-AAD8-BD87ED4A1EFA}" sourceName="Region">
  <pivotTables>
    <pivotTable tabId="3" name="PivotTable20"/>
    <pivotTable tabId="3" name="PivotTable13"/>
    <pivotTable tabId="3" name="PivotTable14"/>
    <pivotTable tabId="3" name="PivotTable15"/>
    <pivotTable tabId="3" name="PivotTable16"/>
    <pivotTable tabId="3" name="PivotTable17"/>
    <pivotTable tabId="3" name="PivotTable18"/>
    <pivotTable tabId="3" name="PivotTable19"/>
    <pivotTable tabId="3" name="PivotTable22"/>
    <pivotTable tabId="3" name="PivotTable23"/>
    <pivotTable tabId="3" name="PivotTable26"/>
    <pivotTable tabId="3" name="PivotTable28"/>
  </pivotTables>
  <data>
    <tabular pivotCacheId="1165586376">
      <items count="4">
        <i x="1" s="1"/>
        <i x="2"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9107D2B7-CEBE-4169-BDAF-3CFA5726B5FD}" sourceName="Sales Channel">
  <pivotTables>
    <pivotTable tabId="3" name="PivotTable20"/>
    <pivotTable tabId="3" name="PivotTable13"/>
    <pivotTable tabId="3" name="PivotTable14"/>
    <pivotTable tabId="3" name="PivotTable15"/>
    <pivotTable tabId="3" name="PivotTable16"/>
    <pivotTable tabId="3" name="PivotTable17"/>
    <pivotTable tabId="3" name="PivotTable18"/>
    <pivotTable tabId="3" name="PivotTable19"/>
    <pivotTable tabId="3" name="PivotTable22"/>
    <pivotTable tabId="3" name="PivotTable23"/>
    <pivotTable tabId="3" name="PivotTable26"/>
    <pivotTable tabId="3" name="PivotTable28"/>
  </pivotTables>
  <data>
    <tabular pivotCacheId="1165586376">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301C9555-24D1-46E1-9459-ECF0294CBDC4}" sourceName="Product Category">
  <pivotTables>
    <pivotTable tabId="3" name="PivotTable15"/>
  </pivotTables>
  <data>
    <tabular pivotCacheId="1165586376">
      <items count="4">
        <i x="2" s="1"/>
        <i x="1"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Date" xr10:uid="{0D963057-24FB-4EBA-8937-97FFC52D022C}" sourceName="Quarters (Date)">
  <pivotTables>
    <pivotTable tabId="3" name="PivotTable15"/>
  </pivotTables>
  <data>
    <tabular pivotCacheId="1165586376">
      <items count="6">
        <i x="1" s="1"/>
        <i x="2" s="1"/>
        <i x="3" s="1"/>
        <i x="4" s="1"/>
        <i x="0" s="1" nd="1"/>
        <i x="5"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B388579A-739B-415F-BA06-2524959F4767}" sourceName="Years (Date)">
  <pivotTables>
    <pivotTable tabId="3" name="PivotTable15"/>
  </pivotTables>
  <data>
    <tabular pivotCacheId="1165586376">
      <items count="4">
        <i x="1" s="1"/>
        <i x="2" s="1"/>
        <i x="0" s="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036AF32-6731-4E55-957A-EB8ABEF67AD5}" cache="Slicer_Region" caption="Region" style="Corporate Green" rowHeight="247650"/>
  <slicer name="Sales Channel" xr10:uid="{0CFED586-EE2F-4968-9708-DE1A5EFEEB24}" cache="Slicer_Sales_Channel" caption="Sales Channel" style="Corporate Green" rowHeight="247650"/>
  <slicer name="Product Category" xr10:uid="{43405B44-327C-4ED0-8064-C9F73A2BBC31}" cache="Slicer_Product_Category" caption="Product Category" style="Corporate Green" rowHeight="247650"/>
  <slicer name="Quarters (Date)" xr10:uid="{F1188B07-4F0A-4459-B135-1BB6706D1C17}" cache="Slicer_Quarters__Date" caption="Quarters (Date)" style="Corporate Green" rowHeight="247650"/>
  <slicer name="Years (Date)" xr10:uid="{1D433A70-C0A6-4C6C-8914-87D16F698E39}" cache="Slicer_Years__Date" caption="Years (Date)" style="Corporate Green"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1E6E6E5-55C4-4FDF-BBC2-8A8028416803}" name="Table4" displayName="Table4" ref="A3:L391" totalsRowShown="0">
  <autoFilter ref="A3:L391" xr:uid="{D1E6E6E5-55C4-4FDF-BBC2-8A8028416803}"/>
  <tableColumns count="12">
    <tableColumn id="1" xr3:uid="{FD034E4B-641D-40C0-BE50-CC20F04E7A42}" name="Date" dataDxfId="14"/>
    <tableColumn id="2" xr3:uid="{10757A66-46A0-4952-A7F1-428A3D949868}" name="Region"/>
    <tableColumn id="3" xr3:uid="{8B2A83B4-D432-4653-B401-1BCAC979371F}" name="Product Category"/>
    <tableColumn id="4" xr3:uid="{A7D0361B-A43B-414D-83C6-81EE2639FEBC}" name="Sales Channel"/>
    <tableColumn id="5" xr3:uid="{A7CF0815-B24A-48AA-BE03-5E4610BE0A58}" name="Revenue_USD"/>
    <tableColumn id="6" xr3:uid="{C16754BA-2CCB-4177-A179-C8411EA98B24}" name="COGS_USD"/>
    <tableColumn id="7" xr3:uid="{989C71C4-A88A-484B-B1CF-B5C28174F6D0}" name="Budget_Target"/>
    <tableColumn id="8" xr3:uid="{AD57EE68-C709-462E-945F-7A7EADAAABAA}" name="CSAT"/>
    <tableColumn id="9" xr3:uid="{767D3CD4-1951-480E-A3D7-C012CEF3CC43}" name="Discount_Percent"/>
    <tableColumn id="10" xr3:uid="{33393C66-A6DB-4777-84FC-306C3FE398FC}" name="Gross_Profit"/>
    <tableColumn id="11" xr3:uid="{6F39A545-761C-4040-BDF3-52654FE3DA8B}" name="Budget Achievement %"/>
    <tableColumn id="12" xr3:uid="{175C2141-2C24-418F-8444-2670E2C4615A}" name="Profit Margin %"/>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D107C8B-6268-49A1-AFFD-BB6F556DAFFB}" name="Table2" displayName="Table2" ref="E88:E89" totalsRowShown="0">
  <autoFilter ref="E88:E89" xr:uid="{DD107C8B-6268-49A1-AFFD-BB6F556DAFFB}"/>
  <tableColumns count="1">
    <tableColumn id="1" xr3:uid="{667825C2-525C-4D65-A08C-FF0BE26094E5}" name="Profit margin" dataDxfId="3">
      <calculatedColumnFormula>GETPIVOTDATA("Gross_Profit",$C$85)/GETPIVOTDATA("Revenue_USD",$A$85)</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F5E1EA6-2416-4D92-A76C-241309F7B7E3}" name="Table1" displayName="Table1" ref="A1:L1201" totalsRowShown="0">
  <autoFilter ref="A1:L1201" xr:uid="{0F5E1EA6-2416-4D92-A76C-241309F7B7E3}"/>
  <tableColumns count="12">
    <tableColumn id="1" xr3:uid="{F0D2E364-B0B2-437C-A1C2-EA51A4AF45F4}" name="Date" dataDxfId="2"/>
    <tableColumn id="2" xr3:uid="{F1715FFF-8964-4542-A9D7-ACF482FF5CA7}" name="Region"/>
    <tableColumn id="3" xr3:uid="{6E1221A8-C358-4F86-A4EB-A88103A5B915}" name="Product Category"/>
    <tableColumn id="4" xr3:uid="{DDD1758E-C6F7-4478-AEE9-25D570EFCF71}" name="Sales Channel"/>
    <tableColumn id="5" xr3:uid="{F9BA9D2D-702C-40AF-A292-4856F621C305}" name="Revenue_USD"/>
    <tableColumn id="6" xr3:uid="{CD922960-34D5-4916-900F-C76D522485DF}" name="COGS_USD"/>
    <tableColumn id="7" xr3:uid="{D0CA42F7-2F23-4415-9A04-860C59A056E9}" name="Budget_Target"/>
    <tableColumn id="8" xr3:uid="{2F3F223F-FD90-4740-AD32-A56514B669EA}" name="CSAT"/>
    <tableColumn id="9" xr3:uid="{EC129D4D-EA82-419D-A126-F1AFF56F5829}" name="Discount_Percent"/>
    <tableColumn id="10" xr3:uid="{35C0641B-21E5-4484-902D-6789AB84C528}" name="Gross_Profit">
      <calculatedColumnFormula>E2-F2</calculatedColumnFormula>
    </tableColumn>
    <tableColumn id="11" xr3:uid="{4C7ED754-81C3-4881-A5B3-9232E95C3B85}" name="Budget Achievement %" dataDxfId="1">
      <calculatedColumnFormula>E2/G2</calculatedColumnFormula>
    </tableColumn>
    <tableColumn id="12" xr3:uid="{D4BD0743-CD40-48A4-9535-24F36B6E1506}" name="Profit Margin %" dataDxfId="0">
      <calculatedColumnFormula>J2/E2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table" Target="../tables/table2.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BCF3C-79D4-4430-9698-8F50E6F02EC8}">
  <dimension ref="A1:L391"/>
  <sheetViews>
    <sheetView workbookViewId="0">
      <selection activeCell="A3" sqref="A3:L391"/>
    </sheetView>
  </sheetViews>
  <sheetFormatPr defaultRowHeight="14.4" x14ac:dyDescent="0.3"/>
  <cols>
    <col min="1" max="1" width="10.33203125" bestFit="1" customWidth="1"/>
    <col min="2" max="2" width="12.6640625" bestFit="1" customWidth="1"/>
    <col min="3" max="3" width="17.5546875" bestFit="1" customWidth="1"/>
    <col min="4" max="4" width="14.88671875" bestFit="1" customWidth="1"/>
    <col min="5" max="5" width="14.5546875" bestFit="1" customWidth="1"/>
    <col min="6" max="6" width="12.5546875" bestFit="1" customWidth="1"/>
    <col min="7" max="7" width="14.88671875" bestFit="1" customWidth="1"/>
    <col min="8" max="8" width="9" bestFit="1" customWidth="1"/>
    <col min="9" max="9" width="17.88671875" bestFit="1" customWidth="1"/>
    <col min="10" max="10" width="13.33203125" bestFit="1" customWidth="1"/>
    <col min="11" max="11" width="22.33203125" bestFit="1" customWidth="1"/>
    <col min="12" max="12" width="15.6640625" bestFit="1" customWidth="1"/>
  </cols>
  <sheetData>
    <row r="1" spans="1:12" x14ac:dyDescent="0.3">
      <c r="A1" s="6" t="s">
        <v>48</v>
      </c>
    </row>
    <row r="3" spans="1:12" x14ac:dyDescent="0.3">
      <c r="A3" t="s">
        <v>0</v>
      </c>
      <c r="B3" t="s">
        <v>1</v>
      </c>
      <c r="C3" t="s">
        <v>2</v>
      </c>
      <c r="D3" t="s">
        <v>3</v>
      </c>
      <c r="E3" t="s">
        <v>4</v>
      </c>
      <c r="F3" t="s">
        <v>5</v>
      </c>
      <c r="G3" t="s">
        <v>6</v>
      </c>
      <c r="H3" t="s">
        <v>7</v>
      </c>
      <c r="I3" t="s">
        <v>8</v>
      </c>
      <c r="J3" t="s">
        <v>20</v>
      </c>
      <c r="K3" t="s">
        <v>21</v>
      </c>
      <c r="L3" t="s">
        <v>22</v>
      </c>
    </row>
    <row r="4" spans="1:12" x14ac:dyDescent="0.3">
      <c r="A4" s="1">
        <v>45512</v>
      </c>
      <c r="B4" t="s">
        <v>19</v>
      </c>
      <c r="C4" t="s">
        <v>16</v>
      </c>
      <c r="D4" t="s">
        <v>14</v>
      </c>
      <c r="E4">
        <v>456742</v>
      </c>
      <c r="F4">
        <v>271882</v>
      </c>
      <c r="G4">
        <v>500736</v>
      </c>
      <c r="H4">
        <v>3.6</v>
      </c>
      <c r="I4">
        <v>7</v>
      </c>
      <c r="J4">
        <v>184860</v>
      </c>
      <c r="K4">
        <v>0.91214132796523517</v>
      </c>
      <c r="L4">
        <v>0.40473615301417432</v>
      </c>
    </row>
    <row r="5" spans="1:12" x14ac:dyDescent="0.3">
      <c r="A5" s="1">
        <v>45622</v>
      </c>
      <c r="B5" t="s">
        <v>12</v>
      </c>
      <c r="C5" t="s">
        <v>13</v>
      </c>
      <c r="D5" t="s">
        <v>14</v>
      </c>
      <c r="E5">
        <v>185203</v>
      </c>
      <c r="F5">
        <v>74373</v>
      </c>
      <c r="G5">
        <v>158566</v>
      </c>
      <c r="H5">
        <v>5</v>
      </c>
      <c r="I5">
        <v>7</v>
      </c>
      <c r="J5">
        <v>110830</v>
      </c>
      <c r="K5">
        <v>1.1679868319816353</v>
      </c>
      <c r="L5">
        <v>0.59842443156968295</v>
      </c>
    </row>
    <row r="6" spans="1:12" x14ac:dyDescent="0.3">
      <c r="A6" s="1">
        <v>45852</v>
      </c>
      <c r="B6" t="s">
        <v>19</v>
      </c>
      <c r="C6" t="s">
        <v>10</v>
      </c>
      <c r="D6" t="s">
        <v>14</v>
      </c>
      <c r="E6">
        <v>272440</v>
      </c>
      <c r="F6">
        <v>146257</v>
      </c>
      <c r="G6">
        <v>297345</v>
      </c>
      <c r="H6">
        <v>4.4000000000000004</v>
      </c>
      <c r="I6">
        <v>9</v>
      </c>
      <c r="J6">
        <v>126183</v>
      </c>
      <c r="K6">
        <v>0.91624207570330762</v>
      </c>
      <c r="L6">
        <v>0.46315886066656881</v>
      </c>
    </row>
    <row r="7" spans="1:12" x14ac:dyDescent="0.3">
      <c r="A7" s="1">
        <v>45827</v>
      </c>
      <c r="B7" t="s">
        <v>9</v>
      </c>
      <c r="C7" t="s">
        <v>18</v>
      </c>
      <c r="D7" t="s">
        <v>14</v>
      </c>
      <c r="E7">
        <v>429627</v>
      </c>
      <c r="F7">
        <v>257841</v>
      </c>
      <c r="G7">
        <v>453900</v>
      </c>
      <c r="H7">
        <v>4.4000000000000004</v>
      </c>
      <c r="I7">
        <v>4</v>
      </c>
      <c r="J7">
        <v>171786</v>
      </c>
      <c r="K7">
        <v>0.94652346331791148</v>
      </c>
      <c r="L7">
        <v>0.3998491714906186</v>
      </c>
    </row>
    <row r="8" spans="1:12" x14ac:dyDescent="0.3">
      <c r="A8" s="1">
        <v>45396</v>
      </c>
      <c r="B8" t="s">
        <v>19</v>
      </c>
      <c r="C8" t="s">
        <v>10</v>
      </c>
      <c r="D8" t="s">
        <v>14</v>
      </c>
      <c r="E8">
        <v>272640</v>
      </c>
      <c r="F8">
        <v>155879</v>
      </c>
      <c r="G8">
        <v>282859</v>
      </c>
      <c r="H8">
        <v>4.5999999999999996</v>
      </c>
      <c r="I8">
        <v>7</v>
      </c>
      <c r="J8">
        <v>116761</v>
      </c>
      <c r="K8">
        <v>0.96387245942324618</v>
      </c>
      <c r="L8">
        <v>0.42826071009389671</v>
      </c>
    </row>
    <row r="9" spans="1:12" x14ac:dyDescent="0.3">
      <c r="A9" s="1">
        <v>45418</v>
      </c>
      <c r="B9" t="s">
        <v>19</v>
      </c>
      <c r="C9" t="s">
        <v>10</v>
      </c>
      <c r="D9" t="s">
        <v>14</v>
      </c>
      <c r="E9">
        <v>379605</v>
      </c>
      <c r="F9">
        <v>184257</v>
      </c>
      <c r="G9">
        <v>364061</v>
      </c>
      <c r="H9">
        <v>4.5</v>
      </c>
      <c r="I9">
        <v>14</v>
      </c>
      <c r="J9">
        <v>195348</v>
      </c>
      <c r="K9">
        <v>1.0426961415806693</v>
      </c>
      <c r="L9">
        <v>0.51460860631445848</v>
      </c>
    </row>
    <row r="10" spans="1:12" x14ac:dyDescent="0.3">
      <c r="A10" s="1">
        <v>45658</v>
      </c>
      <c r="B10" t="s">
        <v>9</v>
      </c>
      <c r="C10" t="s">
        <v>18</v>
      </c>
      <c r="D10" t="s">
        <v>14</v>
      </c>
      <c r="E10">
        <v>289303</v>
      </c>
      <c r="F10">
        <v>166635</v>
      </c>
      <c r="G10">
        <v>279848</v>
      </c>
      <c r="H10">
        <v>3.8</v>
      </c>
      <c r="I10">
        <v>14</v>
      </c>
      <c r="J10">
        <v>122668</v>
      </c>
      <c r="K10">
        <v>1.0337861982218919</v>
      </c>
      <c r="L10">
        <v>0.42401219482687702</v>
      </c>
    </row>
    <row r="11" spans="1:12" x14ac:dyDescent="0.3">
      <c r="A11" s="1">
        <v>45430</v>
      </c>
      <c r="B11" t="s">
        <v>12</v>
      </c>
      <c r="C11" t="s">
        <v>18</v>
      </c>
      <c r="D11" t="s">
        <v>14</v>
      </c>
      <c r="E11">
        <v>174486</v>
      </c>
      <c r="F11">
        <v>72811</v>
      </c>
      <c r="G11">
        <v>188565</v>
      </c>
      <c r="H11">
        <v>4.2</v>
      </c>
      <c r="I11">
        <v>0</v>
      </c>
      <c r="J11">
        <v>101675</v>
      </c>
      <c r="K11">
        <v>0.92533609100310232</v>
      </c>
      <c r="L11">
        <v>0.58271150694038487</v>
      </c>
    </row>
    <row r="12" spans="1:12" x14ac:dyDescent="0.3">
      <c r="A12" s="1">
        <v>45996</v>
      </c>
      <c r="B12" t="s">
        <v>12</v>
      </c>
      <c r="C12" t="s">
        <v>10</v>
      </c>
      <c r="D12" t="s">
        <v>14</v>
      </c>
      <c r="E12">
        <v>280480</v>
      </c>
      <c r="F12">
        <v>164284</v>
      </c>
      <c r="G12">
        <v>306200</v>
      </c>
      <c r="H12">
        <v>4.5</v>
      </c>
      <c r="I12">
        <v>6</v>
      </c>
      <c r="J12">
        <v>116196</v>
      </c>
      <c r="K12">
        <v>0.91600261267145655</v>
      </c>
      <c r="L12">
        <v>0.41427552766685682</v>
      </c>
    </row>
    <row r="13" spans="1:12" x14ac:dyDescent="0.3">
      <c r="A13" s="1">
        <v>45383</v>
      </c>
      <c r="B13" t="s">
        <v>12</v>
      </c>
      <c r="C13" t="s">
        <v>18</v>
      </c>
      <c r="D13" t="s">
        <v>14</v>
      </c>
      <c r="E13">
        <v>79109</v>
      </c>
      <c r="F13">
        <v>42796</v>
      </c>
      <c r="G13">
        <v>76595</v>
      </c>
      <c r="H13">
        <v>4</v>
      </c>
      <c r="I13">
        <v>2</v>
      </c>
      <c r="J13">
        <v>36313</v>
      </c>
      <c r="K13">
        <v>1.0328219857693062</v>
      </c>
      <c r="L13">
        <v>0.45902488970913552</v>
      </c>
    </row>
    <row r="14" spans="1:12" x14ac:dyDescent="0.3">
      <c r="A14" s="1">
        <v>45986</v>
      </c>
      <c r="B14" t="s">
        <v>19</v>
      </c>
      <c r="C14" t="s">
        <v>13</v>
      </c>
      <c r="D14" t="s">
        <v>14</v>
      </c>
      <c r="E14">
        <v>299258</v>
      </c>
      <c r="F14">
        <v>148786</v>
      </c>
      <c r="G14">
        <v>280394</v>
      </c>
      <c r="H14">
        <v>3.5</v>
      </c>
      <c r="I14">
        <v>10</v>
      </c>
      <c r="J14">
        <v>150472</v>
      </c>
      <c r="K14">
        <v>1.0672767605583571</v>
      </c>
      <c r="L14">
        <v>0.50281696729911984</v>
      </c>
    </row>
    <row r="15" spans="1:12" x14ac:dyDescent="0.3">
      <c r="A15" s="1">
        <v>45377</v>
      </c>
      <c r="B15" t="s">
        <v>15</v>
      </c>
      <c r="C15" t="s">
        <v>13</v>
      </c>
      <c r="D15" t="s">
        <v>14</v>
      </c>
      <c r="E15">
        <v>71821</v>
      </c>
      <c r="F15">
        <v>39862</v>
      </c>
      <c r="G15">
        <v>76776</v>
      </c>
      <c r="H15">
        <v>3.7</v>
      </c>
      <c r="I15">
        <v>13</v>
      </c>
      <c r="J15">
        <v>31959</v>
      </c>
      <c r="K15">
        <v>0.93546160258414091</v>
      </c>
      <c r="L15">
        <v>0.44498127288676015</v>
      </c>
    </row>
    <row r="16" spans="1:12" x14ac:dyDescent="0.3">
      <c r="A16" s="1">
        <v>45781</v>
      </c>
      <c r="B16" t="s">
        <v>12</v>
      </c>
      <c r="C16" t="s">
        <v>16</v>
      </c>
      <c r="D16" t="s">
        <v>14</v>
      </c>
      <c r="E16">
        <v>193323</v>
      </c>
      <c r="F16">
        <v>69014</v>
      </c>
      <c r="G16">
        <v>190391</v>
      </c>
      <c r="H16">
        <v>3.6</v>
      </c>
      <c r="I16">
        <v>6</v>
      </c>
      <c r="J16">
        <v>124309</v>
      </c>
      <c r="K16">
        <v>1.015399887599729</v>
      </c>
      <c r="L16">
        <v>0.64301195408720124</v>
      </c>
    </row>
    <row r="17" spans="1:12" x14ac:dyDescent="0.3">
      <c r="A17" s="1">
        <v>45794</v>
      </c>
      <c r="B17" t="s">
        <v>12</v>
      </c>
      <c r="C17" t="s">
        <v>16</v>
      </c>
      <c r="D17" t="s">
        <v>14</v>
      </c>
      <c r="E17">
        <v>499570</v>
      </c>
      <c r="F17">
        <v>215181</v>
      </c>
      <c r="G17">
        <v>557601</v>
      </c>
      <c r="H17">
        <v>4.2</v>
      </c>
      <c r="I17">
        <v>11</v>
      </c>
      <c r="J17">
        <v>284389</v>
      </c>
      <c r="K17">
        <v>0.89592737459222638</v>
      </c>
      <c r="L17">
        <v>0.56926757011029483</v>
      </c>
    </row>
    <row r="18" spans="1:12" x14ac:dyDescent="0.3">
      <c r="A18" s="1">
        <v>45466</v>
      </c>
      <c r="B18" t="s">
        <v>9</v>
      </c>
      <c r="C18" t="s">
        <v>10</v>
      </c>
      <c r="D18" t="s">
        <v>14</v>
      </c>
      <c r="E18">
        <v>490926</v>
      </c>
      <c r="F18">
        <v>268887</v>
      </c>
      <c r="G18">
        <v>491876</v>
      </c>
      <c r="H18">
        <v>4.8</v>
      </c>
      <c r="I18">
        <v>11</v>
      </c>
      <c r="J18">
        <v>222039</v>
      </c>
      <c r="K18">
        <v>0.9980686189202157</v>
      </c>
      <c r="L18">
        <v>0.45228608792363817</v>
      </c>
    </row>
    <row r="19" spans="1:12" x14ac:dyDescent="0.3">
      <c r="A19" s="1">
        <v>45832</v>
      </c>
      <c r="B19" t="s">
        <v>15</v>
      </c>
      <c r="C19" t="s">
        <v>10</v>
      </c>
      <c r="D19" t="s">
        <v>14</v>
      </c>
      <c r="E19">
        <v>428351</v>
      </c>
      <c r="F19">
        <v>255415</v>
      </c>
      <c r="G19">
        <v>407924</v>
      </c>
      <c r="H19">
        <v>4.7</v>
      </c>
      <c r="I19">
        <v>2</v>
      </c>
      <c r="J19">
        <v>172936</v>
      </c>
      <c r="K19">
        <v>1.0500755042605976</v>
      </c>
      <c r="L19">
        <v>0.4037249825493579</v>
      </c>
    </row>
    <row r="20" spans="1:12" x14ac:dyDescent="0.3">
      <c r="A20" s="1">
        <v>45546</v>
      </c>
      <c r="B20" t="s">
        <v>9</v>
      </c>
      <c r="C20" t="s">
        <v>16</v>
      </c>
      <c r="D20" t="s">
        <v>14</v>
      </c>
      <c r="E20">
        <v>401337</v>
      </c>
      <c r="F20">
        <v>169803</v>
      </c>
      <c r="G20">
        <v>456887</v>
      </c>
      <c r="H20">
        <v>4.4000000000000004</v>
      </c>
      <c r="I20">
        <v>12</v>
      </c>
      <c r="J20">
        <v>231534</v>
      </c>
      <c r="K20">
        <v>0.87841632613753506</v>
      </c>
      <c r="L20">
        <v>0.57690668939071155</v>
      </c>
    </row>
    <row r="21" spans="1:12" x14ac:dyDescent="0.3">
      <c r="A21" s="1">
        <v>45741</v>
      </c>
      <c r="B21" t="s">
        <v>19</v>
      </c>
      <c r="C21" t="s">
        <v>13</v>
      </c>
      <c r="D21" t="s">
        <v>14</v>
      </c>
      <c r="E21">
        <v>130385</v>
      </c>
      <c r="F21">
        <v>54668</v>
      </c>
      <c r="G21">
        <v>117018</v>
      </c>
      <c r="H21">
        <v>4.5</v>
      </c>
      <c r="I21">
        <v>9</v>
      </c>
      <c r="J21">
        <v>75717</v>
      </c>
      <c r="K21">
        <v>1.1142302893571929</v>
      </c>
      <c r="L21">
        <v>0.58071864094796177</v>
      </c>
    </row>
    <row r="22" spans="1:12" x14ac:dyDescent="0.3">
      <c r="A22" s="1">
        <v>45831</v>
      </c>
      <c r="B22" t="s">
        <v>9</v>
      </c>
      <c r="C22" t="s">
        <v>16</v>
      </c>
      <c r="D22" t="s">
        <v>14</v>
      </c>
      <c r="E22">
        <v>207687</v>
      </c>
      <c r="F22">
        <v>78140</v>
      </c>
      <c r="G22">
        <v>238200</v>
      </c>
      <c r="H22">
        <v>4.0999999999999996</v>
      </c>
      <c r="I22">
        <v>9</v>
      </c>
      <c r="J22">
        <v>129547</v>
      </c>
      <c r="K22">
        <v>0.87190176322418134</v>
      </c>
      <c r="L22">
        <v>0.62376075536745201</v>
      </c>
    </row>
    <row r="23" spans="1:12" x14ac:dyDescent="0.3">
      <c r="A23" s="1">
        <v>45481</v>
      </c>
      <c r="B23" t="s">
        <v>19</v>
      </c>
      <c r="C23" t="s">
        <v>10</v>
      </c>
      <c r="D23" t="s">
        <v>14</v>
      </c>
      <c r="E23">
        <v>470058</v>
      </c>
      <c r="F23">
        <v>294182</v>
      </c>
      <c r="G23">
        <v>449267</v>
      </c>
      <c r="H23">
        <v>4</v>
      </c>
      <c r="I23">
        <v>13</v>
      </c>
      <c r="J23">
        <v>175876</v>
      </c>
      <c r="K23">
        <v>1.0462776032960355</v>
      </c>
      <c r="L23">
        <v>0.3741580826195916</v>
      </c>
    </row>
    <row r="24" spans="1:12" x14ac:dyDescent="0.3">
      <c r="A24" s="1">
        <v>46001</v>
      </c>
      <c r="B24" t="s">
        <v>9</v>
      </c>
      <c r="C24" t="s">
        <v>18</v>
      </c>
      <c r="D24" t="s">
        <v>14</v>
      </c>
      <c r="E24">
        <v>469494</v>
      </c>
      <c r="F24">
        <v>187923</v>
      </c>
      <c r="G24">
        <v>437016</v>
      </c>
      <c r="H24">
        <v>3.9</v>
      </c>
      <c r="I24">
        <v>4</v>
      </c>
      <c r="J24">
        <v>281571</v>
      </c>
      <c r="K24">
        <v>1.0743176451205447</v>
      </c>
      <c r="L24">
        <v>0.59973290393487455</v>
      </c>
    </row>
    <row r="25" spans="1:12" x14ac:dyDescent="0.3">
      <c r="A25" s="1">
        <v>45665</v>
      </c>
      <c r="B25" t="s">
        <v>9</v>
      </c>
      <c r="C25" t="s">
        <v>13</v>
      </c>
      <c r="D25" t="s">
        <v>14</v>
      </c>
      <c r="E25">
        <v>128451</v>
      </c>
      <c r="F25">
        <v>74569</v>
      </c>
      <c r="G25">
        <v>118968</v>
      </c>
      <c r="H25">
        <v>3.9</v>
      </c>
      <c r="I25">
        <v>0</v>
      </c>
      <c r="J25">
        <v>53882</v>
      </c>
      <c r="K25">
        <v>1.0797105103893483</v>
      </c>
      <c r="L25">
        <v>0.41947513059454578</v>
      </c>
    </row>
    <row r="26" spans="1:12" x14ac:dyDescent="0.3">
      <c r="A26" s="1">
        <v>45677</v>
      </c>
      <c r="B26" t="s">
        <v>12</v>
      </c>
      <c r="C26" t="s">
        <v>10</v>
      </c>
      <c r="D26" t="s">
        <v>14</v>
      </c>
      <c r="E26">
        <v>226688</v>
      </c>
      <c r="F26">
        <v>136677</v>
      </c>
      <c r="G26">
        <v>234139</v>
      </c>
      <c r="H26">
        <v>4.3</v>
      </c>
      <c r="I26">
        <v>7</v>
      </c>
      <c r="J26">
        <v>90011</v>
      </c>
      <c r="K26">
        <v>0.9681770230504102</v>
      </c>
      <c r="L26">
        <v>0.39706998164878599</v>
      </c>
    </row>
    <row r="27" spans="1:12" x14ac:dyDescent="0.3">
      <c r="A27" s="1">
        <v>45857</v>
      </c>
      <c r="B27" t="s">
        <v>12</v>
      </c>
      <c r="C27" t="s">
        <v>10</v>
      </c>
      <c r="D27" t="s">
        <v>14</v>
      </c>
      <c r="E27">
        <v>327824</v>
      </c>
      <c r="F27">
        <v>131060</v>
      </c>
      <c r="G27">
        <v>330866</v>
      </c>
      <c r="H27">
        <v>4.2</v>
      </c>
      <c r="I27">
        <v>2</v>
      </c>
      <c r="J27">
        <v>196764</v>
      </c>
      <c r="K27">
        <v>0.99080594560940083</v>
      </c>
      <c r="L27">
        <v>0.60021230904387723</v>
      </c>
    </row>
    <row r="28" spans="1:12" x14ac:dyDescent="0.3">
      <c r="A28" s="1">
        <v>45339</v>
      </c>
      <c r="B28" t="s">
        <v>12</v>
      </c>
      <c r="C28" t="s">
        <v>18</v>
      </c>
      <c r="D28" t="s">
        <v>14</v>
      </c>
      <c r="E28">
        <v>375750</v>
      </c>
      <c r="F28">
        <v>165812</v>
      </c>
      <c r="G28">
        <v>378845</v>
      </c>
      <c r="H28">
        <v>3.7</v>
      </c>
      <c r="I28">
        <v>2</v>
      </c>
      <c r="J28">
        <v>209938</v>
      </c>
      <c r="K28">
        <v>0.99183043197085874</v>
      </c>
      <c r="L28">
        <v>0.5587172322022621</v>
      </c>
    </row>
    <row r="29" spans="1:12" x14ac:dyDescent="0.3">
      <c r="A29" s="1">
        <v>45597</v>
      </c>
      <c r="B29" t="s">
        <v>9</v>
      </c>
      <c r="C29" t="s">
        <v>18</v>
      </c>
      <c r="D29" t="s">
        <v>14</v>
      </c>
      <c r="E29">
        <v>439351</v>
      </c>
      <c r="F29">
        <v>178169</v>
      </c>
      <c r="G29">
        <v>492475</v>
      </c>
      <c r="H29">
        <v>3.7</v>
      </c>
      <c r="I29">
        <v>15</v>
      </c>
      <c r="J29">
        <v>261182</v>
      </c>
      <c r="K29">
        <v>0.89212853444337281</v>
      </c>
      <c r="L29">
        <v>0.5944723011897094</v>
      </c>
    </row>
    <row r="30" spans="1:12" x14ac:dyDescent="0.3">
      <c r="A30" s="1">
        <v>45777</v>
      </c>
      <c r="B30" t="s">
        <v>9</v>
      </c>
      <c r="C30" t="s">
        <v>10</v>
      </c>
      <c r="D30" t="s">
        <v>14</v>
      </c>
      <c r="E30">
        <v>403545</v>
      </c>
      <c r="F30">
        <v>144335</v>
      </c>
      <c r="G30">
        <v>374085</v>
      </c>
      <c r="H30">
        <v>4.4000000000000004</v>
      </c>
      <c r="I30">
        <v>11</v>
      </c>
      <c r="J30">
        <v>259210</v>
      </c>
      <c r="K30">
        <v>1.0787521552588315</v>
      </c>
      <c r="L30">
        <v>0.64233232972778753</v>
      </c>
    </row>
    <row r="31" spans="1:12" x14ac:dyDescent="0.3">
      <c r="A31" s="1">
        <v>45584</v>
      </c>
      <c r="B31" t="s">
        <v>12</v>
      </c>
      <c r="C31" t="s">
        <v>10</v>
      </c>
      <c r="D31" t="s">
        <v>14</v>
      </c>
      <c r="E31">
        <v>226351</v>
      </c>
      <c r="F31">
        <v>119359</v>
      </c>
      <c r="G31">
        <v>258558</v>
      </c>
      <c r="H31">
        <v>5</v>
      </c>
      <c r="I31">
        <v>12</v>
      </c>
      <c r="J31">
        <v>106992</v>
      </c>
      <c r="K31">
        <v>0.87543607237060928</v>
      </c>
      <c r="L31">
        <v>0.47268180834191148</v>
      </c>
    </row>
    <row r="32" spans="1:12" x14ac:dyDescent="0.3">
      <c r="A32" s="1">
        <v>45844</v>
      </c>
      <c r="B32" t="s">
        <v>15</v>
      </c>
      <c r="C32" t="s">
        <v>18</v>
      </c>
      <c r="D32" t="s">
        <v>14</v>
      </c>
      <c r="E32">
        <v>202828</v>
      </c>
      <c r="F32">
        <v>90385</v>
      </c>
      <c r="G32">
        <v>184582</v>
      </c>
      <c r="H32">
        <v>4</v>
      </c>
      <c r="I32">
        <v>0</v>
      </c>
      <c r="J32">
        <v>112443</v>
      </c>
      <c r="K32">
        <v>1.0988503754428927</v>
      </c>
      <c r="L32">
        <v>0.55437612164001027</v>
      </c>
    </row>
    <row r="33" spans="1:12" x14ac:dyDescent="0.3">
      <c r="A33" s="1">
        <v>45863</v>
      </c>
      <c r="B33" t="s">
        <v>19</v>
      </c>
      <c r="C33" t="s">
        <v>16</v>
      </c>
      <c r="D33" t="s">
        <v>14</v>
      </c>
      <c r="E33">
        <v>375871</v>
      </c>
      <c r="F33">
        <v>134124</v>
      </c>
      <c r="G33">
        <v>421022</v>
      </c>
      <c r="H33">
        <v>4.4000000000000004</v>
      </c>
      <c r="I33">
        <v>13</v>
      </c>
      <c r="J33">
        <v>241747</v>
      </c>
      <c r="K33">
        <v>0.89275857318619933</v>
      </c>
      <c r="L33">
        <v>0.64316480920315744</v>
      </c>
    </row>
    <row r="34" spans="1:12" x14ac:dyDescent="0.3">
      <c r="A34" s="1">
        <v>45320</v>
      </c>
      <c r="B34" t="s">
        <v>12</v>
      </c>
      <c r="C34" t="s">
        <v>18</v>
      </c>
      <c r="D34" t="s">
        <v>14</v>
      </c>
      <c r="E34">
        <v>322336</v>
      </c>
      <c r="F34">
        <v>166430</v>
      </c>
      <c r="G34">
        <v>369100</v>
      </c>
      <c r="H34">
        <v>4.5</v>
      </c>
      <c r="I34">
        <v>7</v>
      </c>
      <c r="J34">
        <v>155906</v>
      </c>
      <c r="K34">
        <v>0.87330262801408831</v>
      </c>
      <c r="L34">
        <v>0.48367541943810188</v>
      </c>
    </row>
    <row r="35" spans="1:12" x14ac:dyDescent="0.3">
      <c r="A35" s="1">
        <v>45832</v>
      </c>
      <c r="B35" t="s">
        <v>9</v>
      </c>
      <c r="C35" t="s">
        <v>13</v>
      </c>
      <c r="D35" t="s">
        <v>14</v>
      </c>
      <c r="E35">
        <v>54772</v>
      </c>
      <c r="F35">
        <v>18705</v>
      </c>
      <c r="G35">
        <v>49669</v>
      </c>
      <c r="H35">
        <v>4.5</v>
      </c>
      <c r="I35">
        <v>15</v>
      </c>
      <c r="J35">
        <v>36067</v>
      </c>
      <c r="K35">
        <v>1.1027401397249794</v>
      </c>
      <c r="L35">
        <v>0.65849339078361202</v>
      </c>
    </row>
    <row r="36" spans="1:12" x14ac:dyDescent="0.3">
      <c r="A36" s="1">
        <v>45952</v>
      </c>
      <c r="B36" t="s">
        <v>15</v>
      </c>
      <c r="C36" t="s">
        <v>10</v>
      </c>
      <c r="D36" t="s">
        <v>14</v>
      </c>
      <c r="E36">
        <v>190680</v>
      </c>
      <c r="F36">
        <v>79982</v>
      </c>
      <c r="G36">
        <v>185957</v>
      </c>
      <c r="H36">
        <v>4.5999999999999996</v>
      </c>
      <c r="I36">
        <v>11</v>
      </c>
      <c r="J36">
        <v>110698</v>
      </c>
      <c r="K36">
        <v>1.0253983447786317</v>
      </c>
      <c r="L36">
        <v>0.58054331864904551</v>
      </c>
    </row>
    <row r="37" spans="1:12" x14ac:dyDescent="0.3">
      <c r="A37" s="1">
        <v>45635</v>
      </c>
      <c r="B37" t="s">
        <v>9</v>
      </c>
      <c r="C37" t="s">
        <v>13</v>
      </c>
      <c r="D37" t="s">
        <v>14</v>
      </c>
      <c r="E37">
        <v>449650</v>
      </c>
      <c r="F37">
        <v>274597</v>
      </c>
      <c r="G37">
        <v>431731</v>
      </c>
      <c r="H37">
        <v>4.3</v>
      </c>
      <c r="I37">
        <v>11</v>
      </c>
      <c r="J37">
        <v>175053</v>
      </c>
      <c r="K37">
        <v>1.0415050112222657</v>
      </c>
      <c r="L37">
        <v>0.38930946291560103</v>
      </c>
    </row>
    <row r="38" spans="1:12" x14ac:dyDescent="0.3">
      <c r="A38" s="1">
        <v>45445</v>
      </c>
      <c r="B38" t="s">
        <v>9</v>
      </c>
      <c r="C38" t="s">
        <v>13</v>
      </c>
      <c r="D38" t="s">
        <v>14</v>
      </c>
      <c r="E38">
        <v>420334</v>
      </c>
      <c r="F38">
        <v>198868</v>
      </c>
      <c r="G38">
        <v>381070</v>
      </c>
      <c r="H38">
        <v>4.3</v>
      </c>
      <c r="I38">
        <v>4</v>
      </c>
      <c r="J38">
        <v>221466</v>
      </c>
      <c r="K38">
        <v>1.1030361875770855</v>
      </c>
      <c r="L38">
        <v>0.52688100415383954</v>
      </c>
    </row>
    <row r="39" spans="1:12" x14ac:dyDescent="0.3">
      <c r="A39" s="1">
        <v>45930</v>
      </c>
      <c r="B39" t="s">
        <v>19</v>
      </c>
      <c r="C39" t="s">
        <v>18</v>
      </c>
      <c r="D39" t="s">
        <v>14</v>
      </c>
      <c r="E39">
        <v>418366</v>
      </c>
      <c r="F39">
        <v>192423</v>
      </c>
      <c r="G39">
        <v>461094</v>
      </c>
      <c r="H39">
        <v>4.5999999999999996</v>
      </c>
      <c r="I39">
        <v>5</v>
      </c>
      <c r="J39">
        <v>225943</v>
      </c>
      <c r="K39">
        <v>0.90733342875856116</v>
      </c>
      <c r="L39">
        <v>0.54006061678052231</v>
      </c>
    </row>
    <row r="40" spans="1:12" x14ac:dyDescent="0.3">
      <c r="A40" s="1">
        <v>45772</v>
      </c>
      <c r="B40" t="s">
        <v>19</v>
      </c>
      <c r="C40" t="s">
        <v>13</v>
      </c>
      <c r="D40" t="s">
        <v>14</v>
      </c>
      <c r="E40">
        <v>215615</v>
      </c>
      <c r="F40">
        <v>93231</v>
      </c>
      <c r="G40">
        <v>232986</v>
      </c>
      <c r="H40">
        <v>3.6</v>
      </c>
      <c r="I40">
        <v>2</v>
      </c>
      <c r="J40">
        <v>122384</v>
      </c>
      <c r="K40">
        <v>0.92544187204381378</v>
      </c>
      <c r="L40">
        <v>0.56760429469192775</v>
      </c>
    </row>
    <row r="41" spans="1:12" x14ac:dyDescent="0.3">
      <c r="A41" s="1">
        <v>45463</v>
      </c>
      <c r="B41" t="s">
        <v>9</v>
      </c>
      <c r="C41" t="s">
        <v>16</v>
      </c>
      <c r="D41" t="s">
        <v>14</v>
      </c>
      <c r="E41">
        <v>92989</v>
      </c>
      <c r="F41">
        <v>31890</v>
      </c>
      <c r="G41">
        <v>99899</v>
      </c>
      <c r="H41">
        <v>4.9000000000000004</v>
      </c>
      <c r="I41">
        <v>4</v>
      </c>
      <c r="J41">
        <v>61099</v>
      </c>
      <c r="K41">
        <v>0.93083013843982421</v>
      </c>
      <c r="L41">
        <v>0.65705621094968225</v>
      </c>
    </row>
    <row r="42" spans="1:12" x14ac:dyDescent="0.3">
      <c r="A42" s="1">
        <v>45640</v>
      </c>
      <c r="B42" t="s">
        <v>19</v>
      </c>
      <c r="C42" t="s">
        <v>16</v>
      </c>
      <c r="D42" t="s">
        <v>14</v>
      </c>
      <c r="E42">
        <v>150352</v>
      </c>
      <c r="F42">
        <v>46594</v>
      </c>
      <c r="G42">
        <v>131197</v>
      </c>
      <c r="H42">
        <v>4</v>
      </c>
      <c r="I42">
        <v>2</v>
      </c>
      <c r="J42">
        <v>103758</v>
      </c>
      <c r="K42">
        <v>1.1460018140658703</v>
      </c>
      <c r="L42">
        <v>0.69010056400979036</v>
      </c>
    </row>
    <row r="43" spans="1:12" x14ac:dyDescent="0.3">
      <c r="A43" s="1">
        <v>45763</v>
      </c>
      <c r="B43" t="s">
        <v>15</v>
      </c>
      <c r="C43" t="s">
        <v>16</v>
      </c>
      <c r="D43" t="s">
        <v>14</v>
      </c>
      <c r="E43">
        <v>67730</v>
      </c>
      <c r="F43">
        <v>29646</v>
      </c>
      <c r="G43">
        <v>70584</v>
      </c>
      <c r="H43">
        <v>3.9</v>
      </c>
      <c r="I43">
        <v>1</v>
      </c>
      <c r="J43">
        <v>38084</v>
      </c>
      <c r="K43">
        <v>0.95956590728777058</v>
      </c>
      <c r="L43">
        <v>0.56229145135095226</v>
      </c>
    </row>
    <row r="44" spans="1:12" x14ac:dyDescent="0.3">
      <c r="A44" s="1">
        <v>45791</v>
      </c>
      <c r="B44" t="s">
        <v>15</v>
      </c>
      <c r="C44" t="s">
        <v>13</v>
      </c>
      <c r="D44" t="s">
        <v>14</v>
      </c>
      <c r="E44">
        <v>484857</v>
      </c>
      <c r="F44">
        <v>247851</v>
      </c>
      <c r="G44">
        <v>485701</v>
      </c>
      <c r="H44">
        <v>4.3</v>
      </c>
      <c r="I44">
        <v>11</v>
      </c>
      <c r="J44">
        <v>237006</v>
      </c>
      <c r="K44">
        <v>0.99826230541011862</v>
      </c>
      <c r="L44">
        <v>0.48881629016390399</v>
      </c>
    </row>
    <row r="45" spans="1:12" x14ac:dyDescent="0.3">
      <c r="A45" s="1">
        <v>45765</v>
      </c>
      <c r="B45" t="s">
        <v>19</v>
      </c>
      <c r="C45" t="s">
        <v>10</v>
      </c>
      <c r="D45" t="s">
        <v>14</v>
      </c>
      <c r="E45">
        <v>331196</v>
      </c>
      <c r="F45">
        <v>107148</v>
      </c>
      <c r="G45">
        <v>357987</v>
      </c>
      <c r="H45">
        <v>4.2</v>
      </c>
      <c r="I45">
        <v>6</v>
      </c>
      <c r="J45">
        <v>224048</v>
      </c>
      <c r="K45">
        <v>0.92516208689142343</v>
      </c>
      <c r="L45">
        <v>0.67648160001932389</v>
      </c>
    </row>
    <row r="46" spans="1:12" x14ac:dyDescent="0.3">
      <c r="A46" s="1">
        <v>45423</v>
      </c>
      <c r="B46" t="s">
        <v>15</v>
      </c>
      <c r="C46" t="s">
        <v>10</v>
      </c>
      <c r="D46" t="s">
        <v>14</v>
      </c>
      <c r="E46">
        <v>105428</v>
      </c>
      <c r="F46">
        <v>35222</v>
      </c>
      <c r="G46">
        <v>102739</v>
      </c>
      <c r="H46">
        <v>4</v>
      </c>
      <c r="I46">
        <v>9</v>
      </c>
      <c r="J46">
        <v>70206</v>
      </c>
      <c r="K46">
        <v>1.026173118290036</v>
      </c>
      <c r="L46">
        <v>0.66591417839663092</v>
      </c>
    </row>
    <row r="47" spans="1:12" x14ac:dyDescent="0.3">
      <c r="A47" s="1">
        <v>45403</v>
      </c>
      <c r="B47" t="s">
        <v>15</v>
      </c>
      <c r="C47" t="s">
        <v>10</v>
      </c>
      <c r="D47" t="s">
        <v>14</v>
      </c>
      <c r="E47">
        <v>466243</v>
      </c>
      <c r="F47">
        <v>212021</v>
      </c>
      <c r="G47">
        <v>397426</v>
      </c>
      <c r="H47">
        <v>3.6</v>
      </c>
      <c r="I47">
        <v>9</v>
      </c>
      <c r="J47">
        <v>254222</v>
      </c>
      <c r="K47">
        <v>1.1731567637748914</v>
      </c>
      <c r="L47">
        <v>0.54525644352837466</v>
      </c>
    </row>
    <row r="48" spans="1:12" x14ac:dyDescent="0.3">
      <c r="A48" s="1">
        <v>45989</v>
      </c>
      <c r="B48" t="s">
        <v>12</v>
      </c>
      <c r="C48" t="s">
        <v>16</v>
      </c>
      <c r="D48" t="s">
        <v>14</v>
      </c>
      <c r="E48">
        <v>294821</v>
      </c>
      <c r="F48">
        <v>106099</v>
      </c>
      <c r="G48">
        <v>272731</v>
      </c>
      <c r="H48">
        <v>3.6</v>
      </c>
      <c r="I48">
        <v>9</v>
      </c>
      <c r="J48">
        <v>188722</v>
      </c>
      <c r="K48">
        <v>1.0809955597273504</v>
      </c>
      <c r="L48">
        <v>0.64012400744858744</v>
      </c>
    </row>
    <row r="49" spans="1:12" x14ac:dyDescent="0.3">
      <c r="A49" s="1">
        <v>45345</v>
      </c>
      <c r="B49" t="s">
        <v>12</v>
      </c>
      <c r="C49" t="s">
        <v>13</v>
      </c>
      <c r="D49" t="s">
        <v>14</v>
      </c>
      <c r="E49">
        <v>123632</v>
      </c>
      <c r="F49">
        <v>47351</v>
      </c>
      <c r="G49">
        <v>113091</v>
      </c>
      <c r="H49">
        <v>4.4000000000000004</v>
      </c>
      <c r="I49">
        <v>7</v>
      </c>
      <c r="J49">
        <v>76281</v>
      </c>
      <c r="K49">
        <v>1.0932081244307681</v>
      </c>
      <c r="L49">
        <v>0.61700045295716321</v>
      </c>
    </row>
    <row r="50" spans="1:12" x14ac:dyDescent="0.3">
      <c r="A50" s="1">
        <v>45678</v>
      </c>
      <c r="B50" t="s">
        <v>12</v>
      </c>
      <c r="C50" t="s">
        <v>10</v>
      </c>
      <c r="D50" t="s">
        <v>14</v>
      </c>
      <c r="E50">
        <v>180646</v>
      </c>
      <c r="F50">
        <v>74200</v>
      </c>
      <c r="G50">
        <v>159850</v>
      </c>
      <c r="H50">
        <v>4.3</v>
      </c>
      <c r="I50">
        <v>3</v>
      </c>
      <c r="J50">
        <v>106446</v>
      </c>
      <c r="K50">
        <v>1.1300969659055364</v>
      </c>
      <c r="L50">
        <v>0.5892519070447173</v>
      </c>
    </row>
    <row r="51" spans="1:12" x14ac:dyDescent="0.3">
      <c r="A51" s="1">
        <v>45477</v>
      </c>
      <c r="B51" t="s">
        <v>12</v>
      </c>
      <c r="C51" t="s">
        <v>18</v>
      </c>
      <c r="D51" t="s">
        <v>14</v>
      </c>
      <c r="E51">
        <v>87442</v>
      </c>
      <c r="F51">
        <v>47287</v>
      </c>
      <c r="G51">
        <v>80294</v>
      </c>
      <c r="H51">
        <v>3.9</v>
      </c>
      <c r="I51">
        <v>2</v>
      </c>
      <c r="J51">
        <v>40155</v>
      </c>
      <c r="K51">
        <v>1.0890228410591078</v>
      </c>
      <c r="L51">
        <v>0.45921868209784772</v>
      </c>
    </row>
    <row r="52" spans="1:12" x14ac:dyDescent="0.3">
      <c r="A52" s="1">
        <v>45418</v>
      </c>
      <c r="B52" t="s">
        <v>19</v>
      </c>
      <c r="C52" t="s">
        <v>13</v>
      </c>
      <c r="D52" t="s">
        <v>14</v>
      </c>
      <c r="E52">
        <v>388496</v>
      </c>
      <c r="F52">
        <v>133423</v>
      </c>
      <c r="G52">
        <v>381777</v>
      </c>
      <c r="H52">
        <v>3.9</v>
      </c>
      <c r="I52">
        <v>9</v>
      </c>
      <c r="J52">
        <v>255073</v>
      </c>
      <c r="K52">
        <v>1.0175992791603474</v>
      </c>
      <c r="L52">
        <v>0.65656531856183853</v>
      </c>
    </row>
    <row r="53" spans="1:12" x14ac:dyDescent="0.3">
      <c r="A53" s="1">
        <v>45409</v>
      </c>
      <c r="B53" t="s">
        <v>9</v>
      </c>
      <c r="C53" t="s">
        <v>10</v>
      </c>
      <c r="D53" t="s">
        <v>14</v>
      </c>
      <c r="E53">
        <v>124548</v>
      </c>
      <c r="F53">
        <v>39050</v>
      </c>
      <c r="G53">
        <v>133436</v>
      </c>
      <c r="H53">
        <v>4.3</v>
      </c>
      <c r="I53">
        <v>0</v>
      </c>
      <c r="J53">
        <v>85498</v>
      </c>
      <c r="K53">
        <v>0.93339128870769505</v>
      </c>
      <c r="L53">
        <v>0.68646626200340433</v>
      </c>
    </row>
    <row r="54" spans="1:12" x14ac:dyDescent="0.3">
      <c r="A54" s="1">
        <v>45507</v>
      </c>
      <c r="B54" t="s">
        <v>12</v>
      </c>
      <c r="C54" t="s">
        <v>10</v>
      </c>
      <c r="D54" t="s">
        <v>14</v>
      </c>
      <c r="E54">
        <v>193206</v>
      </c>
      <c r="F54">
        <v>94258</v>
      </c>
      <c r="G54">
        <v>184847</v>
      </c>
      <c r="H54">
        <v>4.3</v>
      </c>
      <c r="I54">
        <v>9</v>
      </c>
      <c r="J54">
        <v>98948</v>
      </c>
      <c r="K54">
        <v>1.0452211829242564</v>
      </c>
      <c r="L54">
        <v>0.51213730422450654</v>
      </c>
    </row>
    <row r="55" spans="1:12" x14ac:dyDescent="0.3">
      <c r="A55" s="1">
        <v>45910</v>
      </c>
      <c r="B55" t="s">
        <v>9</v>
      </c>
      <c r="C55" t="s">
        <v>18</v>
      </c>
      <c r="D55" t="s">
        <v>14</v>
      </c>
      <c r="E55">
        <v>71562</v>
      </c>
      <c r="F55">
        <v>29497</v>
      </c>
      <c r="G55">
        <v>66192</v>
      </c>
      <c r="H55">
        <v>3.6</v>
      </c>
      <c r="I55">
        <v>9</v>
      </c>
      <c r="J55">
        <v>42065</v>
      </c>
      <c r="K55">
        <v>1.0811276287164613</v>
      </c>
      <c r="L55">
        <v>0.58781196724518603</v>
      </c>
    </row>
    <row r="56" spans="1:12" x14ac:dyDescent="0.3">
      <c r="A56" s="1">
        <v>45723</v>
      </c>
      <c r="B56" t="s">
        <v>19</v>
      </c>
      <c r="C56" t="s">
        <v>18</v>
      </c>
      <c r="D56" t="s">
        <v>14</v>
      </c>
      <c r="E56">
        <v>328717</v>
      </c>
      <c r="F56">
        <v>141699</v>
      </c>
      <c r="G56">
        <v>284148</v>
      </c>
      <c r="H56">
        <v>4.9000000000000004</v>
      </c>
      <c r="I56">
        <v>13</v>
      </c>
      <c r="J56">
        <v>187018</v>
      </c>
      <c r="K56">
        <v>1.1568513591508651</v>
      </c>
      <c r="L56">
        <v>0.56893315526729682</v>
      </c>
    </row>
    <row r="57" spans="1:12" x14ac:dyDescent="0.3">
      <c r="A57" s="1">
        <v>45763</v>
      </c>
      <c r="B57" t="s">
        <v>12</v>
      </c>
      <c r="C57" t="s">
        <v>16</v>
      </c>
      <c r="D57" t="s">
        <v>14</v>
      </c>
      <c r="E57">
        <v>289826</v>
      </c>
      <c r="F57">
        <v>169615</v>
      </c>
      <c r="G57">
        <v>283825</v>
      </c>
      <c r="H57">
        <v>3.8</v>
      </c>
      <c r="I57">
        <v>6</v>
      </c>
      <c r="J57">
        <v>120211</v>
      </c>
      <c r="K57">
        <v>1.0211433101382894</v>
      </c>
      <c r="L57">
        <v>0.41476955138600402</v>
      </c>
    </row>
    <row r="58" spans="1:12" x14ac:dyDescent="0.3">
      <c r="A58" s="1">
        <v>45718</v>
      </c>
      <c r="B58" t="s">
        <v>19</v>
      </c>
      <c r="C58" t="s">
        <v>16</v>
      </c>
      <c r="D58" t="s">
        <v>14</v>
      </c>
      <c r="E58">
        <v>491959</v>
      </c>
      <c r="F58">
        <v>277344</v>
      </c>
      <c r="G58">
        <v>544447</v>
      </c>
      <c r="H58">
        <v>4.3</v>
      </c>
      <c r="I58">
        <v>5</v>
      </c>
      <c r="J58">
        <v>214615</v>
      </c>
      <c r="K58">
        <v>0.9035939219060809</v>
      </c>
      <c r="L58">
        <v>0.43624570340211277</v>
      </c>
    </row>
    <row r="59" spans="1:12" x14ac:dyDescent="0.3">
      <c r="A59" s="1">
        <v>45981</v>
      </c>
      <c r="B59" t="s">
        <v>12</v>
      </c>
      <c r="C59" t="s">
        <v>13</v>
      </c>
      <c r="D59" t="s">
        <v>14</v>
      </c>
      <c r="E59">
        <v>14000</v>
      </c>
      <c r="F59">
        <v>6444</v>
      </c>
      <c r="G59">
        <v>15854</v>
      </c>
      <c r="H59">
        <v>4.0999999999999996</v>
      </c>
      <c r="I59">
        <v>12</v>
      </c>
      <c r="J59">
        <v>7556</v>
      </c>
      <c r="K59">
        <v>0.8830579033682352</v>
      </c>
      <c r="L59">
        <v>0.5397142857142857</v>
      </c>
    </row>
    <row r="60" spans="1:12" x14ac:dyDescent="0.3">
      <c r="A60" s="1">
        <v>45438</v>
      </c>
      <c r="B60" t="s">
        <v>15</v>
      </c>
      <c r="C60" t="s">
        <v>10</v>
      </c>
      <c r="D60" t="s">
        <v>14</v>
      </c>
      <c r="E60">
        <v>198057</v>
      </c>
      <c r="F60">
        <v>108483</v>
      </c>
      <c r="G60">
        <v>184369</v>
      </c>
      <c r="H60">
        <v>4.5</v>
      </c>
      <c r="I60">
        <v>9</v>
      </c>
      <c r="J60">
        <v>89574</v>
      </c>
      <c r="K60">
        <v>1.074242416024386</v>
      </c>
      <c r="L60">
        <v>0.45226374225601723</v>
      </c>
    </row>
    <row r="61" spans="1:12" x14ac:dyDescent="0.3">
      <c r="A61" s="1">
        <v>45673</v>
      </c>
      <c r="B61" t="s">
        <v>19</v>
      </c>
      <c r="C61" t="s">
        <v>13</v>
      </c>
      <c r="D61" t="s">
        <v>14</v>
      </c>
      <c r="E61">
        <v>353822</v>
      </c>
      <c r="F61">
        <v>135152</v>
      </c>
      <c r="G61">
        <v>379597</v>
      </c>
      <c r="H61">
        <v>4.5</v>
      </c>
      <c r="I61">
        <v>13</v>
      </c>
      <c r="J61">
        <v>218670</v>
      </c>
      <c r="K61">
        <v>0.93209904187862391</v>
      </c>
      <c r="L61">
        <v>0.61802262154416632</v>
      </c>
    </row>
    <row r="62" spans="1:12" x14ac:dyDescent="0.3">
      <c r="A62" s="1">
        <v>45711</v>
      </c>
      <c r="B62" t="s">
        <v>19</v>
      </c>
      <c r="C62" t="s">
        <v>10</v>
      </c>
      <c r="D62" t="s">
        <v>14</v>
      </c>
      <c r="E62">
        <v>260699</v>
      </c>
      <c r="F62">
        <v>90692</v>
      </c>
      <c r="G62">
        <v>286742</v>
      </c>
      <c r="H62">
        <v>3.9</v>
      </c>
      <c r="I62">
        <v>11</v>
      </c>
      <c r="J62">
        <v>170007</v>
      </c>
      <c r="K62">
        <v>0.90917619323294108</v>
      </c>
      <c r="L62">
        <v>0.65211987771337832</v>
      </c>
    </row>
    <row r="63" spans="1:12" x14ac:dyDescent="0.3">
      <c r="A63" s="1">
        <v>45708</v>
      </c>
      <c r="B63" t="s">
        <v>19</v>
      </c>
      <c r="C63" t="s">
        <v>18</v>
      </c>
      <c r="D63" t="s">
        <v>14</v>
      </c>
      <c r="E63">
        <v>189357</v>
      </c>
      <c r="F63">
        <v>85690</v>
      </c>
      <c r="G63">
        <v>177058</v>
      </c>
      <c r="H63">
        <v>4.9000000000000004</v>
      </c>
      <c r="I63">
        <v>8</v>
      </c>
      <c r="J63">
        <v>103667</v>
      </c>
      <c r="K63">
        <v>1.0694631137819246</v>
      </c>
      <c r="L63">
        <v>0.5474685382637029</v>
      </c>
    </row>
    <row r="64" spans="1:12" x14ac:dyDescent="0.3">
      <c r="A64" s="1">
        <v>45351</v>
      </c>
      <c r="B64" t="s">
        <v>19</v>
      </c>
      <c r="C64" t="s">
        <v>10</v>
      </c>
      <c r="D64" t="s">
        <v>14</v>
      </c>
      <c r="E64">
        <v>253950</v>
      </c>
      <c r="F64">
        <v>108920</v>
      </c>
      <c r="G64">
        <v>219939</v>
      </c>
      <c r="H64">
        <v>3.7</v>
      </c>
      <c r="I64">
        <v>0</v>
      </c>
      <c r="J64">
        <v>145030</v>
      </c>
      <c r="K64">
        <v>1.1546383315373807</v>
      </c>
      <c r="L64">
        <v>0.57109667257334118</v>
      </c>
    </row>
    <row r="65" spans="1:12" x14ac:dyDescent="0.3">
      <c r="A65" s="1">
        <v>45570</v>
      </c>
      <c r="B65" t="s">
        <v>19</v>
      </c>
      <c r="C65" t="s">
        <v>18</v>
      </c>
      <c r="D65" t="s">
        <v>14</v>
      </c>
      <c r="E65">
        <v>196141</v>
      </c>
      <c r="F65">
        <v>86243</v>
      </c>
      <c r="G65">
        <v>195938</v>
      </c>
      <c r="H65">
        <v>4.0999999999999996</v>
      </c>
      <c r="I65">
        <v>0</v>
      </c>
      <c r="J65">
        <v>109898</v>
      </c>
      <c r="K65">
        <v>1.00103604201329</v>
      </c>
      <c r="L65">
        <v>0.56030100794836368</v>
      </c>
    </row>
    <row r="66" spans="1:12" x14ac:dyDescent="0.3">
      <c r="A66" s="1">
        <v>45688</v>
      </c>
      <c r="B66" t="s">
        <v>12</v>
      </c>
      <c r="C66" t="s">
        <v>18</v>
      </c>
      <c r="D66" t="s">
        <v>14</v>
      </c>
      <c r="E66">
        <v>89459</v>
      </c>
      <c r="F66">
        <v>29918</v>
      </c>
      <c r="G66">
        <v>98775</v>
      </c>
      <c r="H66">
        <v>4</v>
      </c>
      <c r="I66">
        <v>11</v>
      </c>
      <c r="J66">
        <v>59541</v>
      </c>
      <c r="K66">
        <v>0.90568463680080991</v>
      </c>
      <c r="L66">
        <v>0.66556746666070488</v>
      </c>
    </row>
    <row r="67" spans="1:12" x14ac:dyDescent="0.3">
      <c r="A67" s="1">
        <v>45795</v>
      </c>
      <c r="B67" t="s">
        <v>15</v>
      </c>
      <c r="C67" t="s">
        <v>18</v>
      </c>
      <c r="D67" t="s">
        <v>14</v>
      </c>
      <c r="E67">
        <v>56940</v>
      </c>
      <c r="F67">
        <v>25898</v>
      </c>
      <c r="G67">
        <v>54182</v>
      </c>
      <c r="H67">
        <v>4.2</v>
      </c>
      <c r="I67">
        <v>9</v>
      </c>
      <c r="J67">
        <v>31042</v>
      </c>
      <c r="K67">
        <v>1.0509025137499539</v>
      </c>
      <c r="L67">
        <v>0.5451703547593959</v>
      </c>
    </row>
    <row r="68" spans="1:12" x14ac:dyDescent="0.3">
      <c r="A68" s="1">
        <v>45494</v>
      </c>
      <c r="B68" t="s">
        <v>19</v>
      </c>
      <c r="C68" t="s">
        <v>10</v>
      </c>
      <c r="D68" t="s">
        <v>14</v>
      </c>
      <c r="E68">
        <v>364547</v>
      </c>
      <c r="F68">
        <v>123334</v>
      </c>
      <c r="G68">
        <v>413331</v>
      </c>
      <c r="H68">
        <v>3.9</v>
      </c>
      <c r="I68">
        <v>6</v>
      </c>
      <c r="J68">
        <v>241213</v>
      </c>
      <c r="K68">
        <v>0.88197352726991196</v>
      </c>
      <c r="L68">
        <v>0.66167874101281865</v>
      </c>
    </row>
    <row r="69" spans="1:12" x14ac:dyDescent="0.3">
      <c r="A69" s="1">
        <v>45689</v>
      </c>
      <c r="B69" t="s">
        <v>12</v>
      </c>
      <c r="C69" t="s">
        <v>16</v>
      </c>
      <c r="D69" t="s">
        <v>14</v>
      </c>
      <c r="E69">
        <v>426930</v>
      </c>
      <c r="F69">
        <v>191360</v>
      </c>
      <c r="G69">
        <v>453292</v>
      </c>
      <c r="H69">
        <v>5</v>
      </c>
      <c r="I69">
        <v>6</v>
      </c>
      <c r="J69">
        <v>235570</v>
      </c>
      <c r="K69">
        <v>0.94184322688245103</v>
      </c>
      <c r="L69">
        <v>0.55177663785632303</v>
      </c>
    </row>
    <row r="70" spans="1:12" x14ac:dyDescent="0.3">
      <c r="A70" s="1">
        <v>45300</v>
      </c>
      <c r="B70" t="s">
        <v>15</v>
      </c>
      <c r="C70" t="s">
        <v>16</v>
      </c>
      <c r="D70" t="s">
        <v>14</v>
      </c>
      <c r="E70">
        <v>218124</v>
      </c>
      <c r="F70">
        <v>90676</v>
      </c>
      <c r="G70">
        <v>190166</v>
      </c>
      <c r="H70">
        <v>4.7</v>
      </c>
      <c r="I70">
        <v>13</v>
      </c>
      <c r="J70">
        <v>127448</v>
      </c>
      <c r="K70">
        <v>1.1470189203117276</v>
      </c>
      <c r="L70">
        <v>0.58429150391520424</v>
      </c>
    </row>
    <row r="71" spans="1:12" x14ac:dyDescent="0.3">
      <c r="A71" s="1">
        <v>45925</v>
      </c>
      <c r="B71" t="s">
        <v>15</v>
      </c>
      <c r="C71" t="s">
        <v>10</v>
      </c>
      <c r="D71" t="s">
        <v>14</v>
      </c>
      <c r="E71">
        <v>326837</v>
      </c>
      <c r="F71">
        <v>121275</v>
      </c>
      <c r="G71">
        <v>364131</v>
      </c>
      <c r="H71">
        <v>3.9</v>
      </c>
      <c r="I71">
        <v>15</v>
      </c>
      <c r="J71">
        <v>205562</v>
      </c>
      <c r="K71">
        <v>0.89758081569545023</v>
      </c>
      <c r="L71">
        <v>0.62894347947141849</v>
      </c>
    </row>
    <row r="72" spans="1:12" x14ac:dyDescent="0.3">
      <c r="A72" s="1">
        <v>45477</v>
      </c>
      <c r="B72" t="s">
        <v>9</v>
      </c>
      <c r="C72" t="s">
        <v>10</v>
      </c>
      <c r="D72" t="s">
        <v>14</v>
      </c>
      <c r="E72">
        <v>446522</v>
      </c>
      <c r="F72">
        <v>231352</v>
      </c>
      <c r="G72">
        <v>487745</v>
      </c>
      <c r="H72">
        <v>4</v>
      </c>
      <c r="I72">
        <v>11</v>
      </c>
      <c r="J72">
        <v>215170</v>
      </c>
      <c r="K72">
        <v>0.91548247547386441</v>
      </c>
      <c r="L72">
        <v>0.48187995216361118</v>
      </c>
    </row>
    <row r="73" spans="1:12" x14ac:dyDescent="0.3">
      <c r="A73" s="1">
        <v>45829</v>
      </c>
      <c r="B73" t="s">
        <v>15</v>
      </c>
      <c r="C73" t="s">
        <v>13</v>
      </c>
      <c r="D73" t="s">
        <v>14</v>
      </c>
      <c r="E73">
        <v>414470</v>
      </c>
      <c r="F73">
        <v>254654</v>
      </c>
      <c r="G73">
        <v>459201</v>
      </c>
      <c r="H73">
        <v>4.2</v>
      </c>
      <c r="I73">
        <v>15</v>
      </c>
      <c r="J73">
        <v>159816</v>
      </c>
      <c r="K73">
        <v>0.90258949784517017</v>
      </c>
      <c r="L73">
        <v>0.38559123700147174</v>
      </c>
    </row>
    <row r="74" spans="1:12" x14ac:dyDescent="0.3">
      <c r="A74" s="1">
        <v>45747</v>
      </c>
      <c r="B74" t="s">
        <v>19</v>
      </c>
      <c r="C74" t="s">
        <v>18</v>
      </c>
      <c r="D74" t="s">
        <v>14</v>
      </c>
      <c r="E74">
        <v>315062</v>
      </c>
      <c r="F74">
        <v>124666</v>
      </c>
      <c r="G74">
        <v>290251</v>
      </c>
      <c r="H74">
        <v>4.0999999999999996</v>
      </c>
      <c r="I74">
        <v>0</v>
      </c>
      <c r="J74">
        <v>190396</v>
      </c>
      <c r="K74">
        <v>1.0854811869726546</v>
      </c>
      <c r="L74">
        <v>0.60431280192470049</v>
      </c>
    </row>
    <row r="75" spans="1:12" x14ac:dyDescent="0.3">
      <c r="A75" s="1">
        <v>45799</v>
      </c>
      <c r="B75" t="s">
        <v>19</v>
      </c>
      <c r="C75" t="s">
        <v>10</v>
      </c>
      <c r="D75" t="s">
        <v>14</v>
      </c>
      <c r="E75">
        <v>375477</v>
      </c>
      <c r="F75">
        <v>119789</v>
      </c>
      <c r="G75">
        <v>320524</v>
      </c>
      <c r="H75">
        <v>5</v>
      </c>
      <c r="I75">
        <v>4</v>
      </c>
      <c r="J75">
        <v>255688</v>
      </c>
      <c r="K75">
        <v>1.1714473799153886</v>
      </c>
      <c r="L75">
        <v>0.68096847476676337</v>
      </c>
    </row>
    <row r="76" spans="1:12" x14ac:dyDescent="0.3">
      <c r="A76" s="1">
        <v>45440</v>
      </c>
      <c r="B76" t="s">
        <v>9</v>
      </c>
      <c r="C76" t="s">
        <v>16</v>
      </c>
      <c r="D76" t="s">
        <v>14</v>
      </c>
      <c r="E76">
        <v>202714</v>
      </c>
      <c r="F76">
        <v>121600</v>
      </c>
      <c r="G76">
        <v>205989</v>
      </c>
      <c r="H76">
        <v>5</v>
      </c>
      <c r="I76">
        <v>11</v>
      </c>
      <c r="J76">
        <v>81114</v>
      </c>
      <c r="K76">
        <v>0.9841010927767988</v>
      </c>
      <c r="L76">
        <v>0.40014009885849028</v>
      </c>
    </row>
    <row r="77" spans="1:12" x14ac:dyDescent="0.3">
      <c r="A77" s="1">
        <v>45693</v>
      </c>
      <c r="B77" t="s">
        <v>12</v>
      </c>
      <c r="C77" t="s">
        <v>10</v>
      </c>
      <c r="D77" t="s">
        <v>14</v>
      </c>
      <c r="E77">
        <v>310557</v>
      </c>
      <c r="F77">
        <v>152681</v>
      </c>
      <c r="G77">
        <v>322441</v>
      </c>
      <c r="H77">
        <v>4.4000000000000004</v>
      </c>
      <c r="I77">
        <v>14</v>
      </c>
      <c r="J77">
        <v>157876</v>
      </c>
      <c r="K77">
        <v>0.96314364488387028</v>
      </c>
      <c r="L77">
        <v>0.50836400403146609</v>
      </c>
    </row>
    <row r="78" spans="1:12" x14ac:dyDescent="0.3">
      <c r="A78" s="1">
        <v>45387</v>
      </c>
      <c r="B78" t="s">
        <v>15</v>
      </c>
      <c r="C78" t="s">
        <v>16</v>
      </c>
      <c r="D78" t="s">
        <v>14</v>
      </c>
      <c r="E78">
        <v>75888</v>
      </c>
      <c r="F78">
        <v>43469</v>
      </c>
      <c r="G78">
        <v>86414</v>
      </c>
      <c r="H78">
        <v>4.8</v>
      </c>
      <c r="I78">
        <v>2</v>
      </c>
      <c r="J78">
        <v>32419</v>
      </c>
      <c r="K78">
        <v>0.8781910338602541</v>
      </c>
      <c r="L78">
        <v>0.42719534050179214</v>
      </c>
    </row>
    <row r="79" spans="1:12" x14ac:dyDescent="0.3">
      <c r="A79" s="1">
        <v>45684</v>
      </c>
      <c r="B79" t="s">
        <v>12</v>
      </c>
      <c r="C79" t="s">
        <v>16</v>
      </c>
      <c r="D79" t="s">
        <v>14</v>
      </c>
      <c r="E79">
        <v>484902</v>
      </c>
      <c r="F79">
        <v>192087</v>
      </c>
      <c r="G79">
        <v>483719</v>
      </c>
      <c r="H79">
        <v>4.7</v>
      </c>
      <c r="I79">
        <v>14</v>
      </c>
      <c r="J79">
        <v>292815</v>
      </c>
      <c r="K79">
        <v>1.0024456347590234</v>
      </c>
      <c r="L79">
        <v>0.60386428597943498</v>
      </c>
    </row>
    <row r="80" spans="1:12" x14ac:dyDescent="0.3">
      <c r="A80" s="1">
        <v>45615</v>
      </c>
      <c r="B80" t="s">
        <v>9</v>
      </c>
      <c r="C80" t="s">
        <v>18</v>
      </c>
      <c r="D80" t="s">
        <v>14</v>
      </c>
      <c r="E80">
        <v>304768</v>
      </c>
      <c r="F80">
        <v>120843</v>
      </c>
      <c r="G80">
        <v>289737</v>
      </c>
      <c r="H80">
        <v>4.5999999999999996</v>
      </c>
      <c r="I80">
        <v>9</v>
      </c>
      <c r="J80">
        <v>183925</v>
      </c>
      <c r="K80">
        <v>1.0518780825369214</v>
      </c>
      <c r="L80">
        <v>0.60349183641327175</v>
      </c>
    </row>
    <row r="81" spans="1:12" x14ac:dyDescent="0.3">
      <c r="A81" s="1">
        <v>45463</v>
      </c>
      <c r="B81" t="s">
        <v>9</v>
      </c>
      <c r="C81" t="s">
        <v>16</v>
      </c>
      <c r="D81" t="s">
        <v>14</v>
      </c>
      <c r="E81">
        <v>152487</v>
      </c>
      <c r="F81">
        <v>68270</v>
      </c>
      <c r="G81">
        <v>131182</v>
      </c>
      <c r="H81">
        <v>4.2</v>
      </c>
      <c r="I81">
        <v>14</v>
      </c>
      <c r="J81">
        <v>84217</v>
      </c>
      <c r="K81">
        <v>1.1624079523105304</v>
      </c>
      <c r="L81">
        <v>0.55228970338455086</v>
      </c>
    </row>
    <row r="82" spans="1:12" x14ac:dyDescent="0.3">
      <c r="A82" s="1">
        <v>45533</v>
      </c>
      <c r="B82" t="s">
        <v>12</v>
      </c>
      <c r="C82" t="s">
        <v>10</v>
      </c>
      <c r="D82" t="s">
        <v>14</v>
      </c>
      <c r="E82">
        <v>11015</v>
      </c>
      <c r="F82">
        <v>4039</v>
      </c>
      <c r="G82">
        <v>10950</v>
      </c>
      <c r="H82">
        <v>5</v>
      </c>
      <c r="I82">
        <v>0</v>
      </c>
      <c r="J82">
        <v>6976</v>
      </c>
      <c r="K82">
        <v>1.0059360730593607</v>
      </c>
      <c r="L82">
        <v>0.63331820245120296</v>
      </c>
    </row>
    <row r="83" spans="1:12" x14ac:dyDescent="0.3">
      <c r="A83" s="1">
        <v>45921</v>
      </c>
      <c r="B83" t="s">
        <v>15</v>
      </c>
      <c r="C83" t="s">
        <v>16</v>
      </c>
      <c r="D83" t="s">
        <v>14</v>
      </c>
      <c r="E83">
        <v>208017</v>
      </c>
      <c r="F83">
        <v>99600</v>
      </c>
      <c r="G83">
        <v>205528</v>
      </c>
      <c r="H83">
        <v>3.5</v>
      </c>
      <c r="I83">
        <v>0</v>
      </c>
      <c r="J83">
        <v>108417</v>
      </c>
      <c r="K83">
        <v>1.0121102720797166</v>
      </c>
      <c r="L83">
        <v>0.52119297941995124</v>
      </c>
    </row>
    <row r="84" spans="1:12" x14ac:dyDescent="0.3">
      <c r="A84" s="1">
        <v>45711</v>
      </c>
      <c r="B84" t="s">
        <v>12</v>
      </c>
      <c r="C84" t="s">
        <v>13</v>
      </c>
      <c r="D84" t="s">
        <v>14</v>
      </c>
      <c r="E84">
        <v>476441</v>
      </c>
      <c r="F84">
        <v>204996</v>
      </c>
      <c r="G84">
        <v>488842</v>
      </c>
      <c r="H84">
        <v>4.2</v>
      </c>
      <c r="I84">
        <v>3</v>
      </c>
      <c r="J84">
        <v>271445</v>
      </c>
      <c r="K84">
        <v>0.97463188514898469</v>
      </c>
      <c r="L84">
        <v>0.56973476254142696</v>
      </c>
    </row>
    <row r="85" spans="1:12" x14ac:dyDescent="0.3">
      <c r="A85" s="1">
        <v>45728</v>
      </c>
      <c r="B85" t="s">
        <v>12</v>
      </c>
      <c r="C85" t="s">
        <v>10</v>
      </c>
      <c r="D85" t="s">
        <v>14</v>
      </c>
      <c r="E85">
        <v>283060</v>
      </c>
      <c r="F85">
        <v>102780</v>
      </c>
      <c r="G85">
        <v>261605</v>
      </c>
      <c r="H85">
        <v>4.2</v>
      </c>
      <c r="I85">
        <v>9</v>
      </c>
      <c r="J85">
        <v>180280</v>
      </c>
      <c r="K85">
        <v>1.0820129584679192</v>
      </c>
      <c r="L85">
        <v>0.63689677100261433</v>
      </c>
    </row>
    <row r="86" spans="1:12" x14ac:dyDescent="0.3">
      <c r="A86" s="1">
        <v>45292</v>
      </c>
      <c r="B86" t="s">
        <v>12</v>
      </c>
      <c r="C86" t="s">
        <v>10</v>
      </c>
      <c r="D86" t="s">
        <v>14</v>
      </c>
      <c r="E86">
        <v>329235</v>
      </c>
      <c r="F86">
        <v>119358</v>
      </c>
      <c r="G86">
        <v>354618</v>
      </c>
      <c r="H86">
        <v>3.6</v>
      </c>
      <c r="I86">
        <v>13</v>
      </c>
      <c r="J86">
        <v>209877</v>
      </c>
      <c r="K86">
        <v>0.92842156912508667</v>
      </c>
      <c r="L86">
        <v>0.63746867738849156</v>
      </c>
    </row>
    <row r="87" spans="1:12" x14ac:dyDescent="0.3">
      <c r="A87" s="1">
        <v>45367</v>
      </c>
      <c r="B87" t="s">
        <v>15</v>
      </c>
      <c r="C87" t="s">
        <v>13</v>
      </c>
      <c r="D87" t="s">
        <v>14</v>
      </c>
      <c r="E87">
        <v>79672</v>
      </c>
      <c r="F87">
        <v>31013</v>
      </c>
      <c r="G87">
        <v>68224</v>
      </c>
      <c r="H87">
        <v>3.6</v>
      </c>
      <c r="I87">
        <v>1</v>
      </c>
      <c r="J87">
        <v>48659</v>
      </c>
      <c r="K87">
        <v>1.1678001876172608</v>
      </c>
      <c r="L87">
        <v>0.61074154031529271</v>
      </c>
    </row>
    <row r="88" spans="1:12" x14ac:dyDescent="0.3">
      <c r="A88" s="1">
        <v>45583</v>
      </c>
      <c r="B88" t="s">
        <v>15</v>
      </c>
      <c r="C88" t="s">
        <v>18</v>
      </c>
      <c r="D88" t="s">
        <v>14</v>
      </c>
      <c r="E88">
        <v>264289</v>
      </c>
      <c r="F88">
        <v>93491</v>
      </c>
      <c r="G88">
        <v>243384</v>
      </c>
      <c r="H88">
        <v>4.5</v>
      </c>
      <c r="I88">
        <v>0</v>
      </c>
      <c r="J88">
        <v>170798</v>
      </c>
      <c r="K88">
        <v>1.085893074318772</v>
      </c>
      <c r="L88">
        <v>0.64625466818520638</v>
      </c>
    </row>
    <row r="89" spans="1:12" x14ac:dyDescent="0.3">
      <c r="A89" s="1">
        <v>45811</v>
      </c>
      <c r="B89" t="s">
        <v>9</v>
      </c>
      <c r="C89" t="s">
        <v>16</v>
      </c>
      <c r="D89" t="s">
        <v>14</v>
      </c>
      <c r="E89">
        <v>24963</v>
      </c>
      <c r="F89">
        <v>13774</v>
      </c>
      <c r="G89">
        <v>23015</v>
      </c>
      <c r="H89">
        <v>3.6</v>
      </c>
      <c r="I89">
        <v>12</v>
      </c>
      <c r="J89">
        <v>11189</v>
      </c>
      <c r="K89">
        <v>1.0846404518792092</v>
      </c>
      <c r="L89">
        <v>0.44822337058847095</v>
      </c>
    </row>
    <row r="90" spans="1:12" x14ac:dyDescent="0.3">
      <c r="A90" s="1">
        <v>45953</v>
      </c>
      <c r="B90" t="s">
        <v>9</v>
      </c>
      <c r="C90" t="s">
        <v>10</v>
      </c>
      <c r="D90" t="s">
        <v>14</v>
      </c>
      <c r="E90">
        <v>89944</v>
      </c>
      <c r="F90">
        <v>41394</v>
      </c>
      <c r="G90">
        <v>100127</v>
      </c>
      <c r="H90">
        <v>3.6</v>
      </c>
      <c r="I90">
        <v>1</v>
      </c>
      <c r="J90">
        <v>48550</v>
      </c>
      <c r="K90">
        <v>0.89829916006671529</v>
      </c>
      <c r="L90">
        <v>0.53978030774704255</v>
      </c>
    </row>
    <row r="91" spans="1:12" x14ac:dyDescent="0.3">
      <c r="A91" s="1">
        <v>46008</v>
      </c>
      <c r="B91" t="s">
        <v>15</v>
      </c>
      <c r="C91" t="s">
        <v>10</v>
      </c>
      <c r="D91" t="s">
        <v>14</v>
      </c>
      <c r="E91">
        <v>454537</v>
      </c>
      <c r="F91">
        <v>265578</v>
      </c>
      <c r="G91">
        <v>425951</v>
      </c>
      <c r="H91">
        <v>4.8</v>
      </c>
      <c r="I91">
        <v>3</v>
      </c>
      <c r="J91">
        <v>188959</v>
      </c>
      <c r="K91">
        <v>1.0671110057260107</v>
      </c>
      <c r="L91">
        <v>0.41571753234610165</v>
      </c>
    </row>
    <row r="92" spans="1:12" x14ac:dyDescent="0.3">
      <c r="A92" s="1">
        <v>45692</v>
      </c>
      <c r="B92" t="s">
        <v>15</v>
      </c>
      <c r="C92" t="s">
        <v>10</v>
      </c>
      <c r="D92" t="s">
        <v>14</v>
      </c>
      <c r="E92">
        <v>233777</v>
      </c>
      <c r="F92">
        <v>117677</v>
      </c>
      <c r="G92">
        <v>243132</v>
      </c>
      <c r="H92">
        <v>3.9</v>
      </c>
      <c r="I92">
        <v>1</v>
      </c>
      <c r="J92">
        <v>116100</v>
      </c>
      <c r="K92">
        <v>0.9615229587220111</v>
      </c>
      <c r="L92">
        <v>0.49662712756173616</v>
      </c>
    </row>
    <row r="93" spans="1:12" x14ac:dyDescent="0.3">
      <c r="A93" s="1">
        <v>45364</v>
      </c>
      <c r="B93" t="s">
        <v>9</v>
      </c>
      <c r="C93" t="s">
        <v>13</v>
      </c>
      <c r="D93" t="s">
        <v>14</v>
      </c>
      <c r="E93">
        <v>321372</v>
      </c>
      <c r="F93">
        <v>140940</v>
      </c>
      <c r="G93">
        <v>304072</v>
      </c>
      <c r="H93">
        <v>3.6</v>
      </c>
      <c r="I93">
        <v>15</v>
      </c>
      <c r="J93">
        <v>180432</v>
      </c>
      <c r="K93">
        <v>1.0568944197426926</v>
      </c>
      <c r="L93">
        <v>0.56144281393525264</v>
      </c>
    </row>
    <row r="94" spans="1:12" x14ac:dyDescent="0.3">
      <c r="A94" s="1">
        <v>45530</v>
      </c>
      <c r="B94" t="s">
        <v>15</v>
      </c>
      <c r="C94" t="s">
        <v>16</v>
      </c>
      <c r="D94" t="s">
        <v>14</v>
      </c>
      <c r="E94">
        <v>283438</v>
      </c>
      <c r="F94">
        <v>107008</v>
      </c>
      <c r="G94">
        <v>285937</v>
      </c>
      <c r="H94">
        <v>4.2</v>
      </c>
      <c r="I94">
        <v>9</v>
      </c>
      <c r="J94">
        <v>176430</v>
      </c>
      <c r="K94">
        <v>0.99126031258633895</v>
      </c>
      <c r="L94">
        <v>0.62246417205879245</v>
      </c>
    </row>
    <row r="95" spans="1:12" x14ac:dyDescent="0.3">
      <c r="A95" s="1">
        <v>45997</v>
      </c>
      <c r="B95" t="s">
        <v>9</v>
      </c>
      <c r="C95" t="s">
        <v>10</v>
      </c>
      <c r="D95" t="s">
        <v>14</v>
      </c>
      <c r="E95">
        <v>119407</v>
      </c>
      <c r="F95">
        <v>70584</v>
      </c>
      <c r="G95">
        <v>123705</v>
      </c>
      <c r="H95">
        <v>4</v>
      </c>
      <c r="I95">
        <v>8</v>
      </c>
      <c r="J95">
        <v>48823</v>
      </c>
      <c r="K95">
        <v>0.96525605270603454</v>
      </c>
      <c r="L95">
        <v>0.40887887644777943</v>
      </c>
    </row>
    <row r="96" spans="1:12" x14ac:dyDescent="0.3">
      <c r="A96" s="1">
        <v>45811</v>
      </c>
      <c r="B96" t="s">
        <v>15</v>
      </c>
      <c r="C96" t="s">
        <v>16</v>
      </c>
      <c r="D96" t="s">
        <v>14</v>
      </c>
      <c r="E96">
        <v>160641</v>
      </c>
      <c r="F96">
        <v>68154</v>
      </c>
      <c r="G96">
        <v>144226</v>
      </c>
      <c r="H96">
        <v>5</v>
      </c>
      <c r="I96">
        <v>5</v>
      </c>
      <c r="J96">
        <v>92487</v>
      </c>
      <c r="K96">
        <v>1.1138144301304898</v>
      </c>
      <c r="L96">
        <v>0.5757372028311577</v>
      </c>
    </row>
    <row r="97" spans="1:12" x14ac:dyDescent="0.3">
      <c r="A97" s="1">
        <v>45912</v>
      </c>
      <c r="B97" t="s">
        <v>12</v>
      </c>
      <c r="C97" t="s">
        <v>10</v>
      </c>
      <c r="D97" t="s">
        <v>14</v>
      </c>
      <c r="E97">
        <v>235121</v>
      </c>
      <c r="F97">
        <v>105818</v>
      </c>
      <c r="G97">
        <v>244140</v>
      </c>
      <c r="H97">
        <v>4</v>
      </c>
      <c r="I97">
        <v>12</v>
      </c>
      <c r="J97">
        <v>129303</v>
      </c>
      <c r="K97">
        <v>0.96305808142868843</v>
      </c>
      <c r="L97">
        <v>0.5499423700988002</v>
      </c>
    </row>
    <row r="98" spans="1:12" x14ac:dyDescent="0.3">
      <c r="A98" s="1">
        <v>45608</v>
      </c>
      <c r="B98" t="s">
        <v>15</v>
      </c>
      <c r="C98" t="s">
        <v>16</v>
      </c>
      <c r="D98" t="s">
        <v>14</v>
      </c>
      <c r="E98">
        <v>464988</v>
      </c>
      <c r="F98">
        <v>256702</v>
      </c>
      <c r="G98">
        <v>430764</v>
      </c>
      <c r="H98">
        <v>5</v>
      </c>
      <c r="I98">
        <v>15</v>
      </c>
      <c r="J98">
        <v>208286</v>
      </c>
      <c r="K98">
        <v>1.0794495361729393</v>
      </c>
      <c r="L98">
        <v>0.44793844142214423</v>
      </c>
    </row>
    <row r="99" spans="1:12" x14ac:dyDescent="0.3">
      <c r="A99" s="1">
        <v>45300</v>
      </c>
      <c r="B99" t="s">
        <v>9</v>
      </c>
      <c r="C99" t="s">
        <v>10</v>
      </c>
      <c r="D99" t="s">
        <v>14</v>
      </c>
      <c r="E99">
        <v>194544</v>
      </c>
      <c r="F99">
        <v>82380</v>
      </c>
      <c r="G99">
        <v>169126</v>
      </c>
      <c r="H99">
        <v>5</v>
      </c>
      <c r="I99">
        <v>2</v>
      </c>
      <c r="J99">
        <v>112164</v>
      </c>
      <c r="K99">
        <v>1.1502903160956919</v>
      </c>
      <c r="L99">
        <v>0.57654823587466075</v>
      </c>
    </row>
    <row r="100" spans="1:12" x14ac:dyDescent="0.3">
      <c r="A100" s="1">
        <v>45493</v>
      </c>
      <c r="B100" t="s">
        <v>9</v>
      </c>
      <c r="C100" t="s">
        <v>13</v>
      </c>
      <c r="D100" t="s">
        <v>14</v>
      </c>
      <c r="E100">
        <v>242067</v>
      </c>
      <c r="F100">
        <v>82512</v>
      </c>
      <c r="G100">
        <v>206035</v>
      </c>
      <c r="H100">
        <v>3.9</v>
      </c>
      <c r="I100">
        <v>12</v>
      </c>
      <c r="J100">
        <v>159555</v>
      </c>
      <c r="K100">
        <v>1.1748829082437451</v>
      </c>
      <c r="L100">
        <v>0.65913569383683035</v>
      </c>
    </row>
    <row r="101" spans="1:12" x14ac:dyDescent="0.3">
      <c r="A101" s="1">
        <v>45619</v>
      </c>
      <c r="B101" t="s">
        <v>19</v>
      </c>
      <c r="C101" t="s">
        <v>10</v>
      </c>
      <c r="D101" t="s">
        <v>14</v>
      </c>
      <c r="E101">
        <v>431441</v>
      </c>
      <c r="F101">
        <v>208717</v>
      </c>
      <c r="G101">
        <v>367256</v>
      </c>
      <c r="H101">
        <v>3.5</v>
      </c>
      <c r="I101">
        <v>13</v>
      </c>
      <c r="J101">
        <v>222724</v>
      </c>
      <c r="K101">
        <v>1.1747690983945804</v>
      </c>
      <c r="L101">
        <v>0.51623281051175018</v>
      </c>
    </row>
    <row r="102" spans="1:12" x14ac:dyDescent="0.3">
      <c r="A102" s="1">
        <v>45856</v>
      </c>
      <c r="B102" t="s">
        <v>12</v>
      </c>
      <c r="C102" t="s">
        <v>13</v>
      </c>
      <c r="D102" t="s">
        <v>14</v>
      </c>
      <c r="E102">
        <v>165075</v>
      </c>
      <c r="F102">
        <v>90193</v>
      </c>
      <c r="G102">
        <v>175420</v>
      </c>
      <c r="H102">
        <v>4.7</v>
      </c>
      <c r="I102">
        <v>8</v>
      </c>
      <c r="J102">
        <v>74882</v>
      </c>
      <c r="K102">
        <v>0.94102724888838218</v>
      </c>
      <c r="L102">
        <v>0.45362411025291532</v>
      </c>
    </row>
    <row r="103" spans="1:12" x14ac:dyDescent="0.3">
      <c r="A103" s="1">
        <v>45454</v>
      </c>
      <c r="B103" t="s">
        <v>12</v>
      </c>
      <c r="C103" t="s">
        <v>10</v>
      </c>
      <c r="D103" t="s">
        <v>14</v>
      </c>
      <c r="E103">
        <v>146016</v>
      </c>
      <c r="F103">
        <v>72677</v>
      </c>
      <c r="G103">
        <v>137140</v>
      </c>
      <c r="H103">
        <v>4.5</v>
      </c>
      <c r="I103">
        <v>9</v>
      </c>
      <c r="J103">
        <v>73339</v>
      </c>
      <c r="K103">
        <v>1.0647221817121191</v>
      </c>
      <c r="L103">
        <v>0.50226687486302868</v>
      </c>
    </row>
    <row r="104" spans="1:12" x14ac:dyDescent="0.3">
      <c r="A104" s="1">
        <v>45932</v>
      </c>
      <c r="B104" t="s">
        <v>15</v>
      </c>
      <c r="C104" t="s">
        <v>16</v>
      </c>
      <c r="D104" t="s">
        <v>14</v>
      </c>
      <c r="E104">
        <v>22055</v>
      </c>
      <c r="F104">
        <v>13133</v>
      </c>
      <c r="G104">
        <v>24242</v>
      </c>
      <c r="H104">
        <v>4.4000000000000004</v>
      </c>
      <c r="I104">
        <v>4</v>
      </c>
      <c r="J104">
        <v>8922</v>
      </c>
      <c r="K104">
        <v>0.90978467123174656</v>
      </c>
      <c r="L104">
        <v>0.40453411924733623</v>
      </c>
    </row>
    <row r="105" spans="1:12" x14ac:dyDescent="0.3">
      <c r="A105" s="1">
        <v>46021</v>
      </c>
      <c r="B105" t="s">
        <v>19</v>
      </c>
      <c r="C105" t="s">
        <v>18</v>
      </c>
      <c r="D105" t="s">
        <v>14</v>
      </c>
      <c r="E105">
        <v>534699</v>
      </c>
      <c r="F105">
        <v>286332</v>
      </c>
      <c r="G105">
        <v>516094</v>
      </c>
      <c r="H105">
        <v>4.8</v>
      </c>
      <c r="I105">
        <v>13</v>
      </c>
      <c r="J105">
        <v>248367</v>
      </c>
      <c r="K105">
        <v>1.0360496343689327</v>
      </c>
      <c r="L105">
        <v>0.46449871797029729</v>
      </c>
    </row>
    <row r="106" spans="1:12" x14ac:dyDescent="0.3">
      <c r="A106" s="1">
        <v>45409</v>
      </c>
      <c r="B106" t="s">
        <v>19</v>
      </c>
      <c r="C106" t="s">
        <v>18</v>
      </c>
      <c r="D106" t="s">
        <v>14</v>
      </c>
      <c r="E106">
        <v>338345</v>
      </c>
      <c r="F106">
        <v>151264</v>
      </c>
      <c r="G106">
        <v>333508</v>
      </c>
      <c r="H106">
        <v>3.8</v>
      </c>
      <c r="I106">
        <v>6</v>
      </c>
      <c r="J106">
        <v>187081</v>
      </c>
      <c r="K106">
        <v>1.0145034002182856</v>
      </c>
      <c r="L106">
        <v>0.55292970193146052</v>
      </c>
    </row>
    <row r="107" spans="1:12" x14ac:dyDescent="0.3">
      <c r="A107" s="1">
        <v>45948</v>
      </c>
      <c r="B107" t="s">
        <v>15</v>
      </c>
      <c r="C107" t="s">
        <v>10</v>
      </c>
      <c r="D107" t="s">
        <v>14</v>
      </c>
      <c r="E107">
        <v>198929</v>
      </c>
      <c r="F107">
        <v>109613</v>
      </c>
      <c r="G107">
        <v>217951</v>
      </c>
      <c r="H107">
        <v>3.7</v>
      </c>
      <c r="I107">
        <v>4</v>
      </c>
      <c r="J107">
        <v>89316</v>
      </c>
      <c r="K107">
        <v>0.91272350207156649</v>
      </c>
      <c r="L107">
        <v>0.44898431098532643</v>
      </c>
    </row>
    <row r="108" spans="1:12" x14ac:dyDescent="0.3">
      <c r="A108" s="1">
        <v>45343</v>
      </c>
      <c r="B108" t="s">
        <v>12</v>
      </c>
      <c r="C108" t="s">
        <v>16</v>
      </c>
      <c r="D108" t="s">
        <v>14</v>
      </c>
      <c r="E108">
        <v>16861</v>
      </c>
      <c r="F108">
        <v>8735</v>
      </c>
      <c r="G108">
        <v>14599</v>
      </c>
      <c r="H108">
        <v>4.5999999999999996</v>
      </c>
      <c r="I108">
        <v>14</v>
      </c>
      <c r="J108">
        <v>8126</v>
      </c>
      <c r="K108">
        <v>1.1549421193232414</v>
      </c>
      <c r="L108">
        <v>0.48194057291975567</v>
      </c>
    </row>
    <row r="109" spans="1:12" x14ac:dyDescent="0.3">
      <c r="A109" s="1">
        <v>45617</v>
      </c>
      <c r="B109" t="s">
        <v>19</v>
      </c>
      <c r="C109" t="s">
        <v>10</v>
      </c>
      <c r="D109" t="s">
        <v>14</v>
      </c>
      <c r="E109">
        <v>396620</v>
      </c>
      <c r="F109">
        <v>184941</v>
      </c>
      <c r="G109">
        <v>453645</v>
      </c>
      <c r="H109">
        <v>4.5</v>
      </c>
      <c r="I109">
        <v>11</v>
      </c>
      <c r="J109">
        <v>211679</v>
      </c>
      <c r="K109">
        <v>0.8742959803370477</v>
      </c>
      <c r="L109">
        <v>0.53370732691240985</v>
      </c>
    </row>
    <row r="110" spans="1:12" x14ac:dyDescent="0.3">
      <c r="A110" s="1">
        <v>45864</v>
      </c>
      <c r="B110" t="s">
        <v>15</v>
      </c>
      <c r="C110" t="s">
        <v>18</v>
      </c>
      <c r="D110" t="s">
        <v>14</v>
      </c>
      <c r="E110">
        <v>210658</v>
      </c>
      <c r="F110">
        <v>127573</v>
      </c>
      <c r="G110">
        <v>224217</v>
      </c>
      <c r="H110">
        <v>4.4000000000000004</v>
      </c>
      <c r="I110">
        <v>12</v>
      </c>
      <c r="J110">
        <v>83085</v>
      </c>
      <c r="K110">
        <v>0.93952733289625678</v>
      </c>
      <c r="L110">
        <v>0.39440704839123131</v>
      </c>
    </row>
    <row r="111" spans="1:12" x14ac:dyDescent="0.3">
      <c r="A111" s="1">
        <v>45904</v>
      </c>
      <c r="B111" t="s">
        <v>19</v>
      </c>
      <c r="C111" t="s">
        <v>10</v>
      </c>
      <c r="D111" t="s">
        <v>14</v>
      </c>
      <c r="E111">
        <v>257754</v>
      </c>
      <c r="F111">
        <v>125404</v>
      </c>
      <c r="G111">
        <v>250936</v>
      </c>
      <c r="H111">
        <v>4</v>
      </c>
      <c r="I111">
        <v>14</v>
      </c>
      <c r="J111">
        <v>132350</v>
      </c>
      <c r="K111">
        <v>1.0271702744923008</v>
      </c>
      <c r="L111">
        <v>0.51347408769602021</v>
      </c>
    </row>
    <row r="112" spans="1:12" x14ac:dyDescent="0.3">
      <c r="A112" s="1">
        <v>45586</v>
      </c>
      <c r="B112" t="s">
        <v>9</v>
      </c>
      <c r="C112" t="s">
        <v>10</v>
      </c>
      <c r="D112" t="s">
        <v>14</v>
      </c>
      <c r="E112">
        <v>151707</v>
      </c>
      <c r="F112">
        <v>81060</v>
      </c>
      <c r="G112">
        <v>147648</v>
      </c>
      <c r="H112">
        <v>3.8</v>
      </c>
      <c r="I112">
        <v>12</v>
      </c>
      <c r="J112">
        <v>70647</v>
      </c>
      <c r="K112">
        <v>1.0274910598179454</v>
      </c>
      <c r="L112">
        <v>0.4656805552809033</v>
      </c>
    </row>
    <row r="113" spans="1:12" x14ac:dyDescent="0.3">
      <c r="A113" s="1">
        <v>45587</v>
      </c>
      <c r="B113" t="s">
        <v>9</v>
      </c>
      <c r="C113" t="s">
        <v>16</v>
      </c>
      <c r="D113" t="s">
        <v>14</v>
      </c>
      <c r="E113">
        <v>18007</v>
      </c>
      <c r="F113">
        <v>6868</v>
      </c>
      <c r="G113">
        <v>16395</v>
      </c>
      <c r="H113">
        <v>3.7</v>
      </c>
      <c r="I113">
        <v>10</v>
      </c>
      <c r="J113">
        <v>11139</v>
      </c>
      <c r="K113">
        <v>1.0983226593473621</v>
      </c>
      <c r="L113">
        <v>0.61859276947853614</v>
      </c>
    </row>
    <row r="114" spans="1:12" x14ac:dyDescent="0.3">
      <c r="A114" s="1">
        <v>45993</v>
      </c>
      <c r="B114" t="s">
        <v>12</v>
      </c>
      <c r="C114" t="s">
        <v>16</v>
      </c>
      <c r="D114" t="s">
        <v>14</v>
      </c>
      <c r="E114">
        <v>326131</v>
      </c>
      <c r="F114">
        <v>147403</v>
      </c>
      <c r="G114">
        <v>350553</v>
      </c>
      <c r="H114">
        <v>4.5999999999999996</v>
      </c>
      <c r="I114">
        <v>7</v>
      </c>
      <c r="J114">
        <v>178728</v>
      </c>
      <c r="K114">
        <v>0.93033293111170068</v>
      </c>
      <c r="L114">
        <v>0.54802518006567913</v>
      </c>
    </row>
    <row r="115" spans="1:12" x14ac:dyDescent="0.3">
      <c r="A115" s="1">
        <v>45979</v>
      </c>
      <c r="B115" t="s">
        <v>9</v>
      </c>
      <c r="C115" t="s">
        <v>13</v>
      </c>
      <c r="D115" t="s">
        <v>14</v>
      </c>
      <c r="E115">
        <v>103286</v>
      </c>
      <c r="F115">
        <v>37472</v>
      </c>
      <c r="G115">
        <v>96141</v>
      </c>
      <c r="H115">
        <v>4.8</v>
      </c>
      <c r="I115">
        <v>1</v>
      </c>
      <c r="J115">
        <v>65814</v>
      </c>
      <c r="K115">
        <v>1.0743179288752978</v>
      </c>
      <c r="L115">
        <v>0.63720155684216639</v>
      </c>
    </row>
    <row r="116" spans="1:12" x14ac:dyDescent="0.3">
      <c r="A116" s="1">
        <v>45561</v>
      </c>
      <c r="B116" t="s">
        <v>12</v>
      </c>
      <c r="C116" t="s">
        <v>10</v>
      </c>
      <c r="D116" t="s">
        <v>14</v>
      </c>
      <c r="E116">
        <v>371462</v>
      </c>
      <c r="F116">
        <v>161052</v>
      </c>
      <c r="G116">
        <v>421360</v>
      </c>
      <c r="H116">
        <v>3.6</v>
      </c>
      <c r="I116">
        <v>4</v>
      </c>
      <c r="J116">
        <v>210410</v>
      </c>
      <c r="K116">
        <v>0.88157869755078788</v>
      </c>
      <c r="L116">
        <v>0.56643748216506673</v>
      </c>
    </row>
    <row r="117" spans="1:12" x14ac:dyDescent="0.3">
      <c r="A117" s="1">
        <v>45514</v>
      </c>
      <c r="B117" t="s">
        <v>9</v>
      </c>
      <c r="C117" t="s">
        <v>18</v>
      </c>
      <c r="D117" t="s">
        <v>14</v>
      </c>
      <c r="E117">
        <v>21539</v>
      </c>
      <c r="F117">
        <v>9020</v>
      </c>
      <c r="G117">
        <v>20494</v>
      </c>
      <c r="H117">
        <v>4.9000000000000004</v>
      </c>
      <c r="I117">
        <v>9</v>
      </c>
      <c r="J117">
        <v>12519</v>
      </c>
      <c r="K117">
        <v>1.0509905338147751</v>
      </c>
      <c r="L117">
        <v>0.58122475509540827</v>
      </c>
    </row>
    <row r="118" spans="1:12" x14ac:dyDescent="0.3">
      <c r="A118" s="1">
        <v>45769</v>
      </c>
      <c r="B118" t="s">
        <v>12</v>
      </c>
      <c r="C118" t="s">
        <v>18</v>
      </c>
      <c r="D118" t="s">
        <v>14</v>
      </c>
      <c r="E118">
        <v>282933</v>
      </c>
      <c r="F118">
        <v>147827</v>
      </c>
      <c r="G118">
        <v>261584</v>
      </c>
      <c r="H118">
        <v>4.5999999999999996</v>
      </c>
      <c r="I118">
        <v>8</v>
      </c>
      <c r="J118">
        <v>135106</v>
      </c>
      <c r="K118">
        <v>1.0816143189185883</v>
      </c>
      <c r="L118">
        <v>0.47751941272315351</v>
      </c>
    </row>
    <row r="119" spans="1:12" x14ac:dyDescent="0.3">
      <c r="A119" s="1">
        <v>45731</v>
      </c>
      <c r="B119" t="s">
        <v>19</v>
      </c>
      <c r="C119" t="s">
        <v>16</v>
      </c>
      <c r="D119" t="s">
        <v>14</v>
      </c>
      <c r="E119">
        <v>305103</v>
      </c>
      <c r="F119">
        <v>173115</v>
      </c>
      <c r="G119">
        <v>260263</v>
      </c>
      <c r="H119">
        <v>3.7</v>
      </c>
      <c r="I119">
        <v>10</v>
      </c>
      <c r="J119">
        <v>131988</v>
      </c>
      <c r="K119">
        <v>1.1722872632683095</v>
      </c>
      <c r="L119">
        <v>0.4326014493466141</v>
      </c>
    </row>
    <row r="120" spans="1:12" x14ac:dyDescent="0.3">
      <c r="A120" s="1">
        <v>45450</v>
      </c>
      <c r="B120" t="s">
        <v>12</v>
      </c>
      <c r="C120" t="s">
        <v>13</v>
      </c>
      <c r="D120" t="s">
        <v>14</v>
      </c>
      <c r="E120">
        <v>212967</v>
      </c>
      <c r="F120">
        <v>103675</v>
      </c>
      <c r="G120">
        <v>231961</v>
      </c>
      <c r="H120">
        <v>3.7</v>
      </c>
      <c r="I120">
        <v>3</v>
      </c>
      <c r="J120">
        <v>109292</v>
      </c>
      <c r="K120">
        <v>0.91811554528562989</v>
      </c>
      <c r="L120">
        <v>0.51318748914151013</v>
      </c>
    </row>
    <row r="121" spans="1:12" x14ac:dyDescent="0.3">
      <c r="A121" s="1">
        <v>45338</v>
      </c>
      <c r="B121" t="s">
        <v>9</v>
      </c>
      <c r="C121" t="s">
        <v>13</v>
      </c>
      <c r="D121" t="s">
        <v>14</v>
      </c>
      <c r="E121">
        <v>292753</v>
      </c>
      <c r="F121">
        <v>125197</v>
      </c>
      <c r="G121">
        <v>309786</v>
      </c>
      <c r="H121">
        <v>4.3</v>
      </c>
      <c r="I121">
        <v>10</v>
      </c>
      <c r="J121">
        <v>167556</v>
      </c>
      <c r="K121">
        <v>0.9450168826221973</v>
      </c>
      <c r="L121">
        <v>0.57234597083548244</v>
      </c>
    </row>
    <row r="122" spans="1:12" x14ac:dyDescent="0.3">
      <c r="A122" s="1">
        <v>45406</v>
      </c>
      <c r="B122" t="s">
        <v>19</v>
      </c>
      <c r="C122" t="s">
        <v>10</v>
      </c>
      <c r="D122" t="s">
        <v>14</v>
      </c>
      <c r="E122">
        <v>281635</v>
      </c>
      <c r="F122">
        <v>137469</v>
      </c>
      <c r="G122">
        <v>276762</v>
      </c>
      <c r="H122">
        <v>4.5</v>
      </c>
      <c r="I122">
        <v>8</v>
      </c>
      <c r="J122">
        <v>144166</v>
      </c>
      <c r="K122">
        <v>1.0176071859576097</v>
      </c>
      <c r="L122">
        <v>0.5118895023700889</v>
      </c>
    </row>
    <row r="123" spans="1:12" x14ac:dyDescent="0.3">
      <c r="A123" s="1">
        <v>45300</v>
      </c>
      <c r="B123" t="s">
        <v>19</v>
      </c>
      <c r="C123" t="s">
        <v>13</v>
      </c>
      <c r="D123" t="s">
        <v>14</v>
      </c>
      <c r="E123">
        <v>112364</v>
      </c>
      <c r="F123">
        <v>50658</v>
      </c>
      <c r="G123">
        <v>117343</v>
      </c>
      <c r="H123">
        <v>3.5</v>
      </c>
      <c r="I123">
        <v>12</v>
      </c>
      <c r="J123">
        <v>61706</v>
      </c>
      <c r="K123">
        <v>0.95756883665834347</v>
      </c>
      <c r="L123">
        <v>0.54916165319853338</v>
      </c>
    </row>
    <row r="124" spans="1:12" x14ac:dyDescent="0.3">
      <c r="A124" s="1">
        <v>45751</v>
      </c>
      <c r="B124" t="s">
        <v>9</v>
      </c>
      <c r="C124" t="s">
        <v>13</v>
      </c>
      <c r="D124" t="s">
        <v>14</v>
      </c>
      <c r="E124">
        <v>70279</v>
      </c>
      <c r="F124">
        <v>27818</v>
      </c>
      <c r="G124">
        <v>62953</v>
      </c>
      <c r="H124">
        <v>4.4000000000000004</v>
      </c>
      <c r="I124">
        <v>4</v>
      </c>
      <c r="J124">
        <v>42461</v>
      </c>
      <c r="K124">
        <v>1.1163725318888695</v>
      </c>
      <c r="L124">
        <v>0.60417763485536224</v>
      </c>
    </row>
    <row r="125" spans="1:12" x14ac:dyDescent="0.3">
      <c r="A125" s="1">
        <v>45860</v>
      </c>
      <c r="B125" t="s">
        <v>15</v>
      </c>
      <c r="C125" t="s">
        <v>16</v>
      </c>
      <c r="D125" t="s">
        <v>14</v>
      </c>
      <c r="E125">
        <v>376967</v>
      </c>
      <c r="F125">
        <v>119306</v>
      </c>
      <c r="G125">
        <v>356579</v>
      </c>
      <c r="H125">
        <v>4.8</v>
      </c>
      <c r="I125">
        <v>1</v>
      </c>
      <c r="J125">
        <v>257661</v>
      </c>
      <c r="K125">
        <v>1.0571766705274288</v>
      </c>
      <c r="L125">
        <v>0.68351075823613205</v>
      </c>
    </row>
    <row r="126" spans="1:12" x14ac:dyDescent="0.3">
      <c r="A126" s="1">
        <v>45406</v>
      </c>
      <c r="B126" t="s">
        <v>15</v>
      </c>
      <c r="C126" t="s">
        <v>10</v>
      </c>
      <c r="D126" t="s">
        <v>14</v>
      </c>
      <c r="E126">
        <v>465131</v>
      </c>
      <c r="F126">
        <v>221800</v>
      </c>
      <c r="G126">
        <v>419638</v>
      </c>
      <c r="H126">
        <v>4</v>
      </c>
      <c r="I126">
        <v>8</v>
      </c>
      <c r="J126">
        <v>243331</v>
      </c>
      <c r="K126">
        <v>1.1084101058531401</v>
      </c>
      <c r="L126">
        <v>0.5231450924578237</v>
      </c>
    </row>
    <row r="127" spans="1:12" x14ac:dyDescent="0.3">
      <c r="A127" s="1">
        <v>45722</v>
      </c>
      <c r="B127" t="s">
        <v>19</v>
      </c>
      <c r="C127" t="s">
        <v>10</v>
      </c>
      <c r="D127" t="s">
        <v>14</v>
      </c>
      <c r="E127">
        <v>67545</v>
      </c>
      <c r="F127">
        <v>24968</v>
      </c>
      <c r="G127">
        <v>69646</v>
      </c>
      <c r="H127">
        <v>3.7</v>
      </c>
      <c r="I127">
        <v>3</v>
      </c>
      <c r="J127">
        <v>42577</v>
      </c>
      <c r="K127">
        <v>0.96983315624730781</v>
      </c>
      <c r="L127">
        <v>0.63035013694573983</v>
      </c>
    </row>
    <row r="128" spans="1:12" x14ac:dyDescent="0.3">
      <c r="A128" s="1">
        <v>45762</v>
      </c>
      <c r="B128" t="s">
        <v>12</v>
      </c>
      <c r="C128" t="s">
        <v>18</v>
      </c>
      <c r="D128" t="s">
        <v>14</v>
      </c>
      <c r="E128">
        <v>262358</v>
      </c>
      <c r="F128">
        <v>146836</v>
      </c>
      <c r="G128">
        <v>280398</v>
      </c>
      <c r="H128">
        <v>4.3</v>
      </c>
      <c r="I128">
        <v>13</v>
      </c>
      <c r="J128">
        <v>115522</v>
      </c>
      <c r="K128">
        <v>0.93566287919314683</v>
      </c>
      <c r="L128">
        <v>0.44032200275958805</v>
      </c>
    </row>
    <row r="129" spans="1:12" x14ac:dyDescent="0.3">
      <c r="A129" s="1">
        <v>45747</v>
      </c>
      <c r="B129" t="s">
        <v>9</v>
      </c>
      <c r="C129" t="s">
        <v>18</v>
      </c>
      <c r="D129" t="s">
        <v>14</v>
      </c>
      <c r="E129">
        <v>436976</v>
      </c>
      <c r="F129">
        <v>227060</v>
      </c>
      <c r="G129">
        <v>439623</v>
      </c>
      <c r="H129">
        <v>4.3</v>
      </c>
      <c r="I129">
        <v>0</v>
      </c>
      <c r="J129">
        <v>209916</v>
      </c>
      <c r="K129">
        <v>0.99397893194851039</v>
      </c>
      <c r="L129">
        <v>0.48038336201530518</v>
      </c>
    </row>
    <row r="130" spans="1:12" x14ac:dyDescent="0.3">
      <c r="A130" s="1">
        <v>46009</v>
      </c>
      <c r="B130" t="s">
        <v>12</v>
      </c>
      <c r="C130" t="s">
        <v>13</v>
      </c>
      <c r="D130" t="s">
        <v>14</v>
      </c>
      <c r="E130">
        <v>484782</v>
      </c>
      <c r="F130">
        <v>218128</v>
      </c>
      <c r="G130">
        <v>442623</v>
      </c>
      <c r="H130">
        <v>3.7</v>
      </c>
      <c r="I130">
        <v>14</v>
      </c>
      <c r="J130">
        <v>266654</v>
      </c>
      <c r="K130">
        <v>1.0952481005279888</v>
      </c>
      <c r="L130">
        <v>0.55004930051033252</v>
      </c>
    </row>
    <row r="131" spans="1:12" x14ac:dyDescent="0.3">
      <c r="A131" s="1">
        <v>45733</v>
      </c>
      <c r="B131" t="s">
        <v>9</v>
      </c>
      <c r="C131" t="s">
        <v>13</v>
      </c>
      <c r="D131" t="s">
        <v>14</v>
      </c>
      <c r="E131">
        <v>114126</v>
      </c>
      <c r="F131">
        <v>44460</v>
      </c>
      <c r="G131">
        <v>108015</v>
      </c>
      <c r="H131">
        <v>3.6</v>
      </c>
      <c r="I131">
        <v>5</v>
      </c>
      <c r="J131">
        <v>69666</v>
      </c>
      <c r="K131">
        <v>1.0565754756283849</v>
      </c>
      <c r="L131">
        <v>0.61043057673098156</v>
      </c>
    </row>
    <row r="132" spans="1:12" x14ac:dyDescent="0.3">
      <c r="A132" s="1">
        <v>45517</v>
      </c>
      <c r="B132" t="s">
        <v>12</v>
      </c>
      <c r="C132" t="s">
        <v>18</v>
      </c>
      <c r="D132" t="s">
        <v>14</v>
      </c>
      <c r="E132">
        <v>25385</v>
      </c>
      <c r="F132">
        <v>14127</v>
      </c>
      <c r="G132">
        <v>28236</v>
      </c>
      <c r="H132">
        <v>4</v>
      </c>
      <c r="I132">
        <v>8</v>
      </c>
      <c r="J132">
        <v>11258</v>
      </c>
      <c r="K132">
        <v>0.89902960759314354</v>
      </c>
      <c r="L132">
        <v>0.44349025014772503</v>
      </c>
    </row>
    <row r="133" spans="1:12" x14ac:dyDescent="0.3">
      <c r="A133" s="1">
        <v>45312</v>
      </c>
      <c r="B133" t="s">
        <v>15</v>
      </c>
      <c r="C133" t="s">
        <v>18</v>
      </c>
      <c r="D133" t="s">
        <v>14</v>
      </c>
      <c r="E133">
        <v>478255</v>
      </c>
      <c r="F133">
        <v>254056</v>
      </c>
      <c r="G133">
        <v>511399</v>
      </c>
      <c r="H133">
        <v>3.6</v>
      </c>
      <c r="I133">
        <v>7</v>
      </c>
      <c r="J133">
        <v>224199</v>
      </c>
      <c r="K133">
        <v>0.93518954866943427</v>
      </c>
      <c r="L133">
        <v>0.46878548054907948</v>
      </c>
    </row>
    <row r="134" spans="1:12" x14ac:dyDescent="0.3">
      <c r="A134" s="1">
        <v>45779</v>
      </c>
      <c r="B134" t="s">
        <v>15</v>
      </c>
      <c r="C134" t="s">
        <v>10</v>
      </c>
      <c r="D134" t="s">
        <v>14</v>
      </c>
      <c r="E134">
        <v>405167</v>
      </c>
      <c r="F134">
        <v>131544</v>
      </c>
      <c r="G134">
        <v>454801</v>
      </c>
      <c r="H134">
        <v>4.4000000000000004</v>
      </c>
      <c r="I134">
        <v>0</v>
      </c>
      <c r="J134">
        <v>273623</v>
      </c>
      <c r="K134">
        <v>0.89086655482287858</v>
      </c>
      <c r="L134">
        <v>0.67533387467389994</v>
      </c>
    </row>
    <row r="135" spans="1:12" x14ac:dyDescent="0.3">
      <c r="A135" s="1">
        <v>45724</v>
      </c>
      <c r="B135" t="s">
        <v>19</v>
      </c>
      <c r="C135" t="s">
        <v>10</v>
      </c>
      <c r="D135" t="s">
        <v>14</v>
      </c>
      <c r="E135">
        <v>34976</v>
      </c>
      <c r="F135">
        <v>16017</v>
      </c>
      <c r="G135">
        <v>39700</v>
      </c>
      <c r="H135">
        <v>4.3</v>
      </c>
      <c r="I135">
        <v>6</v>
      </c>
      <c r="J135">
        <v>18959</v>
      </c>
      <c r="K135">
        <v>0.88100755667506292</v>
      </c>
      <c r="L135">
        <v>0.54205741079597436</v>
      </c>
    </row>
    <row r="136" spans="1:12" x14ac:dyDescent="0.3">
      <c r="A136" s="1">
        <v>45640</v>
      </c>
      <c r="B136" t="s">
        <v>9</v>
      </c>
      <c r="C136" t="s">
        <v>10</v>
      </c>
      <c r="D136" t="s">
        <v>14</v>
      </c>
      <c r="E136">
        <v>261127</v>
      </c>
      <c r="F136">
        <v>139618</v>
      </c>
      <c r="G136">
        <v>274592</v>
      </c>
      <c r="H136">
        <v>3.5</v>
      </c>
      <c r="I136">
        <v>2</v>
      </c>
      <c r="J136">
        <v>121509</v>
      </c>
      <c r="K136">
        <v>0.95096361146719499</v>
      </c>
      <c r="L136">
        <v>0.46532530148165452</v>
      </c>
    </row>
    <row r="137" spans="1:12" x14ac:dyDescent="0.3">
      <c r="A137" s="1">
        <v>45345</v>
      </c>
      <c r="B137" t="s">
        <v>19</v>
      </c>
      <c r="C137" t="s">
        <v>18</v>
      </c>
      <c r="D137" t="s">
        <v>14</v>
      </c>
      <c r="E137">
        <v>344402</v>
      </c>
      <c r="F137">
        <v>140576</v>
      </c>
      <c r="G137">
        <v>317350</v>
      </c>
      <c r="H137">
        <v>3.6</v>
      </c>
      <c r="I137">
        <v>2</v>
      </c>
      <c r="J137">
        <v>203826</v>
      </c>
      <c r="K137">
        <v>1.085243422089176</v>
      </c>
      <c r="L137">
        <v>0.59182583144116474</v>
      </c>
    </row>
    <row r="138" spans="1:12" x14ac:dyDescent="0.3">
      <c r="A138" s="1">
        <v>45804</v>
      </c>
      <c r="B138" t="s">
        <v>12</v>
      </c>
      <c r="C138" t="s">
        <v>10</v>
      </c>
      <c r="D138" t="s">
        <v>14</v>
      </c>
      <c r="E138">
        <v>107170</v>
      </c>
      <c r="F138">
        <v>47119</v>
      </c>
      <c r="G138">
        <v>93788</v>
      </c>
      <c r="H138">
        <v>4.5</v>
      </c>
      <c r="I138">
        <v>11</v>
      </c>
      <c r="J138">
        <v>60051</v>
      </c>
      <c r="K138">
        <v>1.1426834989550902</v>
      </c>
      <c r="L138">
        <v>0.56033404870766068</v>
      </c>
    </row>
    <row r="139" spans="1:12" x14ac:dyDescent="0.3">
      <c r="A139" s="1">
        <v>45298</v>
      </c>
      <c r="B139" t="s">
        <v>15</v>
      </c>
      <c r="C139" t="s">
        <v>18</v>
      </c>
      <c r="D139" t="s">
        <v>14</v>
      </c>
      <c r="E139">
        <v>12198</v>
      </c>
      <c r="F139">
        <v>7020</v>
      </c>
      <c r="G139">
        <v>12501</v>
      </c>
      <c r="H139">
        <v>4.0999999999999996</v>
      </c>
      <c r="I139">
        <v>15</v>
      </c>
      <c r="J139">
        <v>5178</v>
      </c>
      <c r="K139">
        <v>0.9757619390448764</v>
      </c>
      <c r="L139">
        <v>0.42449581898671912</v>
      </c>
    </row>
    <row r="140" spans="1:12" x14ac:dyDescent="0.3">
      <c r="A140" s="1">
        <v>45805</v>
      </c>
      <c r="B140" t="s">
        <v>19</v>
      </c>
      <c r="C140" t="s">
        <v>18</v>
      </c>
      <c r="D140" t="s">
        <v>14</v>
      </c>
      <c r="E140">
        <v>97955</v>
      </c>
      <c r="F140">
        <v>53108</v>
      </c>
      <c r="G140">
        <v>94419</v>
      </c>
      <c r="H140">
        <v>4.4000000000000004</v>
      </c>
      <c r="I140">
        <v>10</v>
      </c>
      <c r="J140">
        <v>44847</v>
      </c>
      <c r="K140">
        <v>1.0374500894946992</v>
      </c>
      <c r="L140">
        <v>0.45783267827063445</v>
      </c>
    </row>
    <row r="141" spans="1:12" x14ac:dyDescent="0.3">
      <c r="A141" s="1">
        <v>45687</v>
      </c>
      <c r="B141" t="s">
        <v>9</v>
      </c>
      <c r="C141" t="s">
        <v>10</v>
      </c>
      <c r="D141" t="s">
        <v>14</v>
      </c>
      <c r="E141">
        <v>481973</v>
      </c>
      <c r="F141">
        <v>223821</v>
      </c>
      <c r="G141">
        <v>472737</v>
      </c>
      <c r="H141">
        <v>3.9</v>
      </c>
      <c r="I141">
        <v>15</v>
      </c>
      <c r="J141">
        <v>258152</v>
      </c>
      <c r="K141">
        <v>1.0195372902903728</v>
      </c>
      <c r="L141">
        <v>0.53561506557421268</v>
      </c>
    </row>
    <row r="142" spans="1:12" x14ac:dyDescent="0.3">
      <c r="A142" s="1">
        <v>45791</v>
      </c>
      <c r="B142" t="s">
        <v>15</v>
      </c>
      <c r="C142" t="s">
        <v>16</v>
      </c>
      <c r="D142" t="s">
        <v>14</v>
      </c>
      <c r="E142">
        <v>266713</v>
      </c>
      <c r="F142">
        <v>93785</v>
      </c>
      <c r="G142">
        <v>290705</v>
      </c>
      <c r="H142">
        <v>4.0999999999999996</v>
      </c>
      <c r="I142">
        <v>10</v>
      </c>
      <c r="J142">
        <v>172928</v>
      </c>
      <c r="K142">
        <v>0.91746959976608589</v>
      </c>
      <c r="L142">
        <v>0.64836734617360237</v>
      </c>
    </row>
    <row r="143" spans="1:12" x14ac:dyDescent="0.3">
      <c r="A143" s="1">
        <v>45406</v>
      </c>
      <c r="B143" t="s">
        <v>19</v>
      </c>
      <c r="C143" t="s">
        <v>16</v>
      </c>
      <c r="D143" t="s">
        <v>14</v>
      </c>
      <c r="E143">
        <v>45367</v>
      </c>
      <c r="F143">
        <v>18689</v>
      </c>
      <c r="G143">
        <v>42071</v>
      </c>
      <c r="H143">
        <v>3.7</v>
      </c>
      <c r="I143">
        <v>1</v>
      </c>
      <c r="J143">
        <v>26678</v>
      </c>
      <c r="K143">
        <v>1.0783437522283759</v>
      </c>
      <c r="L143">
        <v>0.58804858156810014</v>
      </c>
    </row>
    <row r="144" spans="1:12" x14ac:dyDescent="0.3">
      <c r="A144" s="1">
        <v>45329</v>
      </c>
      <c r="B144" t="s">
        <v>9</v>
      </c>
      <c r="C144" t="s">
        <v>16</v>
      </c>
      <c r="D144" t="s">
        <v>14</v>
      </c>
      <c r="E144">
        <v>210065</v>
      </c>
      <c r="F144">
        <v>81180</v>
      </c>
      <c r="G144">
        <v>209138</v>
      </c>
      <c r="H144">
        <v>3.7</v>
      </c>
      <c r="I144">
        <v>8</v>
      </c>
      <c r="J144">
        <v>128885</v>
      </c>
      <c r="K144">
        <v>1.0044324799892894</v>
      </c>
      <c r="L144">
        <v>0.61354818746578443</v>
      </c>
    </row>
    <row r="145" spans="1:12" x14ac:dyDescent="0.3">
      <c r="A145" s="1">
        <v>45293</v>
      </c>
      <c r="B145" t="s">
        <v>12</v>
      </c>
      <c r="C145" t="s">
        <v>10</v>
      </c>
      <c r="D145" t="s">
        <v>14</v>
      </c>
      <c r="E145">
        <v>429204</v>
      </c>
      <c r="F145">
        <v>190307</v>
      </c>
      <c r="G145">
        <v>423997</v>
      </c>
      <c r="H145">
        <v>4.2</v>
      </c>
      <c r="I145">
        <v>3</v>
      </c>
      <c r="J145">
        <v>238897</v>
      </c>
      <c r="K145">
        <v>1.0122807472694382</v>
      </c>
      <c r="L145">
        <v>0.5566047846711587</v>
      </c>
    </row>
    <row r="146" spans="1:12" x14ac:dyDescent="0.3">
      <c r="A146" s="1">
        <v>45920</v>
      </c>
      <c r="B146" t="s">
        <v>15</v>
      </c>
      <c r="C146" t="s">
        <v>16</v>
      </c>
      <c r="D146" t="s">
        <v>14</v>
      </c>
      <c r="E146">
        <v>61226</v>
      </c>
      <c r="F146">
        <v>23899</v>
      </c>
      <c r="G146">
        <v>56647</v>
      </c>
      <c r="H146">
        <v>4.4000000000000004</v>
      </c>
      <c r="I146">
        <v>5</v>
      </c>
      <c r="J146">
        <v>37327</v>
      </c>
      <c r="K146">
        <v>1.0808339364838384</v>
      </c>
      <c r="L146">
        <v>0.60965929507072159</v>
      </c>
    </row>
    <row r="147" spans="1:12" x14ac:dyDescent="0.3">
      <c r="A147" s="1">
        <v>45746</v>
      </c>
      <c r="B147" t="s">
        <v>15</v>
      </c>
      <c r="C147" t="s">
        <v>10</v>
      </c>
      <c r="D147" t="s">
        <v>14</v>
      </c>
      <c r="E147">
        <v>307881</v>
      </c>
      <c r="F147">
        <v>144804</v>
      </c>
      <c r="G147">
        <v>266036</v>
      </c>
      <c r="H147">
        <v>3.7</v>
      </c>
      <c r="I147">
        <v>13</v>
      </c>
      <c r="J147">
        <v>163077</v>
      </c>
      <c r="K147">
        <v>1.1572907426062637</v>
      </c>
      <c r="L147">
        <v>0.52967542654467148</v>
      </c>
    </row>
    <row r="148" spans="1:12" x14ac:dyDescent="0.3">
      <c r="A148" s="1">
        <v>45654</v>
      </c>
      <c r="B148" t="s">
        <v>19</v>
      </c>
      <c r="C148" t="s">
        <v>18</v>
      </c>
      <c r="D148" t="s">
        <v>14</v>
      </c>
      <c r="E148">
        <v>25866</v>
      </c>
      <c r="F148">
        <v>13719</v>
      </c>
      <c r="G148">
        <v>25006</v>
      </c>
      <c r="H148">
        <v>3.9</v>
      </c>
      <c r="I148">
        <v>2</v>
      </c>
      <c r="J148">
        <v>12147</v>
      </c>
      <c r="K148">
        <v>1.0343917459809646</v>
      </c>
      <c r="L148">
        <v>0.46961261888192996</v>
      </c>
    </row>
    <row r="149" spans="1:12" x14ac:dyDescent="0.3">
      <c r="A149" s="1">
        <v>45684</v>
      </c>
      <c r="B149" t="s">
        <v>19</v>
      </c>
      <c r="C149" t="s">
        <v>18</v>
      </c>
      <c r="D149" t="s">
        <v>14</v>
      </c>
      <c r="E149">
        <v>248178</v>
      </c>
      <c r="F149">
        <v>142709</v>
      </c>
      <c r="G149">
        <v>250976</v>
      </c>
      <c r="H149">
        <v>4.4000000000000004</v>
      </c>
      <c r="I149">
        <v>10</v>
      </c>
      <c r="J149">
        <v>105469</v>
      </c>
      <c r="K149">
        <v>0.98885152365166396</v>
      </c>
      <c r="L149">
        <v>0.42497320471597</v>
      </c>
    </row>
    <row r="150" spans="1:12" x14ac:dyDescent="0.3">
      <c r="A150" s="1">
        <v>45697</v>
      </c>
      <c r="B150" t="s">
        <v>19</v>
      </c>
      <c r="C150" t="s">
        <v>13</v>
      </c>
      <c r="D150" t="s">
        <v>14</v>
      </c>
      <c r="E150">
        <v>69129</v>
      </c>
      <c r="F150">
        <v>30696</v>
      </c>
      <c r="G150">
        <v>62119</v>
      </c>
      <c r="H150">
        <v>4.8</v>
      </c>
      <c r="I150">
        <v>3</v>
      </c>
      <c r="J150">
        <v>38433</v>
      </c>
      <c r="K150">
        <v>1.1128479209259647</v>
      </c>
      <c r="L150">
        <v>0.555960595408584</v>
      </c>
    </row>
    <row r="151" spans="1:12" x14ac:dyDescent="0.3">
      <c r="A151" s="1">
        <v>45866</v>
      </c>
      <c r="B151" t="s">
        <v>19</v>
      </c>
      <c r="C151" t="s">
        <v>16</v>
      </c>
      <c r="D151" t="s">
        <v>14</v>
      </c>
      <c r="E151">
        <v>21560</v>
      </c>
      <c r="F151">
        <v>12819</v>
      </c>
      <c r="G151">
        <v>20957</v>
      </c>
      <c r="H151">
        <v>3.8</v>
      </c>
      <c r="I151">
        <v>1</v>
      </c>
      <c r="J151">
        <v>8741</v>
      </c>
      <c r="K151">
        <v>1.0287732022713174</v>
      </c>
      <c r="L151">
        <v>0.40542671614100184</v>
      </c>
    </row>
    <row r="152" spans="1:12" x14ac:dyDescent="0.3">
      <c r="A152" s="1">
        <v>45370</v>
      </c>
      <c r="B152" t="s">
        <v>9</v>
      </c>
      <c r="C152" t="s">
        <v>16</v>
      </c>
      <c r="D152" t="s">
        <v>14</v>
      </c>
      <c r="E152">
        <v>317980</v>
      </c>
      <c r="F152">
        <v>123653</v>
      </c>
      <c r="G152">
        <v>310245</v>
      </c>
      <c r="H152">
        <v>4.3</v>
      </c>
      <c r="I152">
        <v>1</v>
      </c>
      <c r="J152">
        <v>194327</v>
      </c>
      <c r="K152">
        <v>1.0249319086528388</v>
      </c>
      <c r="L152">
        <v>0.61112963079438953</v>
      </c>
    </row>
    <row r="153" spans="1:12" x14ac:dyDescent="0.3">
      <c r="A153" s="1">
        <v>45746</v>
      </c>
      <c r="B153" t="s">
        <v>9</v>
      </c>
      <c r="C153" t="s">
        <v>16</v>
      </c>
      <c r="D153" t="s">
        <v>14</v>
      </c>
      <c r="E153">
        <v>135580</v>
      </c>
      <c r="F153">
        <v>64256</v>
      </c>
      <c r="G153">
        <v>146886</v>
      </c>
      <c r="H153">
        <v>3.8</v>
      </c>
      <c r="I153">
        <v>4</v>
      </c>
      <c r="J153">
        <v>71324</v>
      </c>
      <c r="K153">
        <v>0.92302874337921925</v>
      </c>
      <c r="L153">
        <v>0.52606579141466292</v>
      </c>
    </row>
    <row r="154" spans="1:12" x14ac:dyDescent="0.3">
      <c r="A154" s="1">
        <v>45435</v>
      </c>
      <c r="B154" t="s">
        <v>19</v>
      </c>
      <c r="C154" t="s">
        <v>18</v>
      </c>
      <c r="D154" t="s">
        <v>14</v>
      </c>
      <c r="E154">
        <v>357801</v>
      </c>
      <c r="F154">
        <v>173259</v>
      </c>
      <c r="G154">
        <v>364869</v>
      </c>
      <c r="H154">
        <v>4.9000000000000004</v>
      </c>
      <c r="I154">
        <v>15</v>
      </c>
      <c r="J154">
        <v>184542</v>
      </c>
      <c r="K154">
        <v>0.98062866398625259</v>
      </c>
      <c r="L154">
        <v>0.51576714430647208</v>
      </c>
    </row>
    <row r="155" spans="1:12" x14ac:dyDescent="0.3">
      <c r="A155" s="1">
        <v>45460</v>
      </c>
      <c r="B155" t="s">
        <v>19</v>
      </c>
      <c r="C155" t="s">
        <v>18</v>
      </c>
      <c r="D155" t="s">
        <v>14</v>
      </c>
      <c r="E155">
        <v>188130</v>
      </c>
      <c r="F155">
        <v>99726</v>
      </c>
      <c r="G155">
        <v>205803</v>
      </c>
      <c r="H155">
        <v>4.4000000000000004</v>
      </c>
      <c r="I155">
        <v>0</v>
      </c>
      <c r="J155">
        <v>88404</v>
      </c>
      <c r="K155">
        <v>0.91412661623008407</v>
      </c>
      <c r="L155">
        <v>0.46990910540583641</v>
      </c>
    </row>
    <row r="156" spans="1:12" x14ac:dyDescent="0.3">
      <c r="A156" s="1">
        <v>45862</v>
      </c>
      <c r="B156" t="s">
        <v>15</v>
      </c>
      <c r="C156" t="s">
        <v>10</v>
      </c>
      <c r="D156" t="s">
        <v>14</v>
      </c>
      <c r="E156">
        <v>431151</v>
      </c>
      <c r="F156">
        <v>134602</v>
      </c>
      <c r="G156">
        <v>438369</v>
      </c>
      <c r="H156">
        <v>4.2</v>
      </c>
      <c r="I156">
        <v>6</v>
      </c>
      <c r="J156">
        <v>296549</v>
      </c>
      <c r="K156">
        <v>0.9835344196327751</v>
      </c>
      <c r="L156">
        <v>0.68780775180853115</v>
      </c>
    </row>
    <row r="157" spans="1:12" x14ac:dyDescent="0.3">
      <c r="A157" s="1">
        <v>45682</v>
      </c>
      <c r="B157" t="s">
        <v>15</v>
      </c>
      <c r="C157" t="s">
        <v>18</v>
      </c>
      <c r="D157" t="s">
        <v>14</v>
      </c>
      <c r="E157">
        <v>296214</v>
      </c>
      <c r="F157">
        <v>176370</v>
      </c>
      <c r="G157">
        <v>289261</v>
      </c>
      <c r="H157">
        <v>4.7</v>
      </c>
      <c r="I157">
        <v>15</v>
      </c>
      <c r="J157">
        <v>119844</v>
      </c>
      <c r="K157">
        <v>1.0240371152696008</v>
      </c>
      <c r="L157">
        <v>0.40458587372642751</v>
      </c>
    </row>
    <row r="158" spans="1:12" x14ac:dyDescent="0.3">
      <c r="A158" s="1">
        <v>45933</v>
      </c>
      <c r="B158" t="s">
        <v>19</v>
      </c>
      <c r="C158" t="s">
        <v>16</v>
      </c>
      <c r="D158" t="s">
        <v>14</v>
      </c>
      <c r="E158">
        <v>493499</v>
      </c>
      <c r="F158">
        <v>203201</v>
      </c>
      <c r="G158">
        <v>535916</v>
      </c>
      <c r="H158">
        <v>3.9</v>
      </c>
      <c r="I158">
        <v>15</v>
      </c>
      <c r="J158">
        <v>290298</v>
      </c>
      <c r="K158">
        <v>0.92085140208540139</v>
      </c>
      <c r="L158">
        <v>0.58824435307872969</v>
      </c>
    </row>
    <row r="159" spans="1:12" x14ac:dyDescent="0.3">
      <c r="A159" s="1">
        <v>45479</v>
      </c>
      <c r="B159" t="s">
        <v>12</v>
      </c>
      <c r="C159" t="s">
        <v>18</v>
      </c>
      <c r="D159" t="s">
        <v>14</v>
      </c>
      <c r="E159">
        <v>442606</v>
      </c>
      <c r="F159">
        <v>231693</v>
      </c>
      <c r="G159">
        <v>400570</v>
      </c>
      <c r="H159">
        <v>3.5</v>
      </c>
      <c r="I159">
        <v>13</v>
      </c>
      <c r="J159">
        <v>210913</v>
      </c>
      <c r="K159">
        <v>1.1049404598447212</v>
      </c>
      <c r="L159">
        <v>0.47652539730595611</v>
      </c>
    </row>
    <row r="160" spans="1:12" x14ac:dyDescent="0.3">
      <c r="A160" s="1">
        <v>45330</v>
      </c>
      <c r="B160" t="s">
        <v>12</v>
      </c>
      <c r="C160" t="s">
        <v>13</v>
      </c>
      <c r="D160" t="s">
        <v>14</v>
      </c>
      <c r="E160">
        <v>316691</v>
      </c>
      <c r="F160">
        <v>134753</v>
      </c>
      <c r="G160">
        <v>339289</v>
      </c>
      <c r="H160">
        <v>4.3</v>
      </c>
      <c r="I160">
        <v>12</v>
      </c>
      <c r="J160">
        <v>181938</v>
      </c>
      <c r="K160">
        <v>0.93339601342808054</v>
      </c>
      <c r="L160">
        <v>0.57449690707977175</v>
      </c>
    </row>
    <row r="161" spans="1:12" x14ac:dyDescent="0.3">
      <c r="A161" s="1">
        <v>45359</v>
      </c>
      <c r="B161" t="s">
        <v>9</v>
      </c>
      <c r="C161" t="s">
        <v>13</v>
      </c>
      <c r="D161" t="s">
        <v>14</v>
      </c>
      <c r="E161">
        <v>83169</v>
      </c>
      <c r="F161">
        <v>46958</v>
      </c>
      <c r="G161">
        <v>79823</v>
      </c>
      <c r="H161">
        <v>3.8</v>
      </c>
      <c r="I161">
        <v>1</v>
      </c>
      <c r="J161">
        <v>36211</v>
      </c>
      <c r="K161">
        <v>1.0419177430064017</v>
      </c>
      <c r="L161">
        <v>0.4353905902439611</v>
      </c>
    </row>
    <row r="162" spans="1:12" x14ac:dyDescent="0.3">
      <c r="A162" s="1">
        <v>45695</v>
      </c>
      <c r="B162" t="s">
        <v>12</v>
      </c>
      <c r="C162" t="s">
        <v>13</v>
      </c>
      <c r="D162" t="s">
        <v>14</v>
      </c>
      <c r="E162">
        <v>22224</v>
      </c>
      <c r="F162">
        <v>10454</v>
      </c>
      <c r="G162">
        <v>19110</v>
      </c>
      <c r="H162">
        <v>4.9000000000000004</v>
      </c>
      <c r="I162">
        <v>0</v>
      </c>
      <c r="J162">
        <v>11770</v>
      </c>
      <c r="K162">
        <v>1.1629513343799058</v>
      </c>
      <c r="L162">
        <v>0.52960763138948885</v>
      </c>
    </row>
    <row r="163" spans="1:12" x14ac:dyDescent="0.3">
      <c r="A163" s="1">
        <v>45511</v>
      </c>
      <c r="B163" t="s">
        <v>9</v>
      </c>
      <c r="C163" t="s">
        <v>18</v>
      </c>
      <c r="D163" t="s">
        <v>14</v>
      </c>
      <c r="E163">
        <v>267412</v>
      </c>
      <c r="F163">
        <v>148744</v>
      </c>
      <c r="G163">
        <v>255577</v>
      </c>
      <c r="H163">
        <v>3.7</v>
      </c>
      <c r="I163">
        <v>9</v>
      </c>
      <c r="J163">
        <v>118668</v>
      </c>
      <c r="K163">
        <v>1.0463069838052721</v>
      </c>
      <c r="L163">
        <v>0.44376467772575651</v>
      </c>
    </row>
    <row r="164" spans="1:12" x14ac:dyDescent="0.3">
      <c r="A164" s="1">
        <v>45897</v>
      </c>
      <c r="B164" t="s">
        <v>15</v>
      </c>
      <c r="C164" t="s">
        <v>16</v>
      </c>
      <c r="D164" t="s">
        <v>14</v>
      </c>
      <c r="E164">
        <v>162053</v>
      </c>
      <c r="F164">
        <v>88994</v>
      </c>
      <c r="G164">
        <v>157247</v>
      </c>
      <c r="H164">
        <v>4.9000000000000004</v>
      </c>
      <c r="I164">
        <v>3</v>
      </c>
      <c r="J164">
        <v>73059</v>
      </c>
      <c r="K164">
        <v>1.0305633811773833</v>
      </c>
      <c r="L164">
        <v>0.45083398641185291</v>
      </c>
    </row>
    <row r="165" spans="1:12" x14ac:dyDescent="0.3">
      <c r="A165" s="1">
        <v>45527</v>
      </c>
      <c r="B165" t="s">
        <v>15</v>
      </c>
      <c r="C165" t="s">
        <v>13</v>
      </c>
      <c r="D165" t="s">
        <v>14</v>
      </c>
      <c r="E165">
        <v>40461</v>
      </c>
      <c r="F165">
        <v>25007</v>
      </c>
      <c r="G165">
        <v>41646</v>
      </c>
      <c r="H165">
        <v>4.8</v>
      </c>
      <c r="I165">
        <v>15</v>
      </c>
      <c r="J165">
        <v>15454</v>
      </c>
      <c r="K165">
        <v>0.97154588675983289</v>
      </c>
      <c r="L165">
        <v>0.38194804873829119</v>
      </c>
    </row>
    <row r="166" spans="1:12" x14ac:dyDescent="0.3">
      <c r="A166" s="1">
        <v>45478</v>
      </c>
      <c r="B166" t="s">
        <v>15</v>
      </c>
      <c r="C166" t="s">
        <v>10</v>
      </c>
      <c r="D166" t="s">
        <v>14</v>
      </c>
      <c r="E166">
        <v>317172</v>
      </c>
      <c r="F166">
        <v>100004</v>
      </c>
      <c r="G166">
        <v>353729</v>
      </c>
      <c r="H166">
        <v>4.4000000000000004</v>
      </c>
      <c r="I166">
        <v>5</v>
      </c>
      <c r="J166">
        <v>217168</v>
      </c>
      <c r="K166">
        <v>0.89665252212852209</v>
      </c>
      <c r="L166">
        <v>0.6847010454895136</v>
      </c>
    </row>
    <row r="167" spans="1:12" x14ac:dyDescent="0.3">
      <c r="A167" s="1">
        <v>45353</v>
      </c>
      <c r="B167" t="s">
        <v>19</v>
      </c>
      <c r="C167" t="s">
        <v>16</v>
      </c>
      <c r="D167" t="s">
        <v>14</v>
      </c>
      <c r="E167">
        <v>296406</v>
      </c>
      <c r="F167">
        <v>173843</v>
      </c>
      <c r="G167">
        <v>287654</v>
      </c>
      <c r="H167">
        <v>4.8</v>
      </c>
      <c r="I167">
        <v>3</v>
      </c>
      <c r="J167">
        <v>122563</v>
      </c>
      <c r="K167">
        <v>1.0304254416764584</v>
      </c>
      <c r="L167">
        <v>0.41349702772548463</v>
      </c>
    </row>
    <row r="168" spans="1:12" x14ac:dyDescent="0.3">
      <c r="A168" s="1">
        <v>45601</v>
      </c>
      <c r="B168" t="s">
        <v>19</v>
      </c>
      <c r="C168" t="s">
        <v>18</v>
      </c>
      <c r="D168" t="s">
        <v>14</v>
      </c>
      <c r="E168">
        <v>437373</v>
      </c>
      <c r="F168">
        <v>264136</v>
      </c>
      <c r="G168">
        <v>422164</v>
      </c>
      <c r="H168">
        <v>3.6</v>
      </c>
      <c r="I168">
        <v>9</v>
      </c>
      <c r="J168">
        <v>173237</v>
      </c>
      <c r="K168">
        <v>1.0360262836243734</v>
      </c>
      <c r="L168">
        <v>0.39608526360795021</v>
      </c>
    </row>
    <row r="169" spans="1:12" x14ac:dyDescent="0.3">
      <c r="A169" s="1">
        <v>45980</v>
      </c>
      <c r="B169" t="s">
        <v>12</v>
      </c>
      <c r="C169" t="s">
        <v>16</v>
      </c>
      <c r="D169" t="s">
        <v>14</v>
      </c>
      <c r="E169">
        <v>264957</v>
      </c>
      <c r="F169">
        <v>109492</v>
      </c>
      <c r="G169">
        <v>277852</v>
      </c>
      <c r="H169">
        <v>4.5999999999999996</v>
      </c>
      <c r="I169">
        <v>9</v>
      </c>
      <c r="J169">
        <v>155465</v>
      </c>
      <c r="K169">
        <v>0.95359040064494771</v>
      </c>
      <c r="L169">
        <v>0.58675558675558681</v>
      </c>
    </row>
    <row r="170" spans="1:12" x14ac:dyDescent="0.3">
      <c r="A170" s="1">
        <v>45311</v>
      </c>
      <c r="B170" t="s">
        <v>15</v>
      </c>
      <c r="C170" t="s">
        <v>10</v>
      </c>
      <c r="D170" t="s">
        <v>14</v>
      </c>
      <c r="E170">
        <v>446090</v>
      </c>
      <c r="F170">
        <v>202812</v>
      </c>
      <c r="G170">
        <v>512513</v>
      </c>
      <c r="H170">
        <v>4.8</v>
      </c>
      <c r="I170">
        <v>1</v>
      </c>
      <c r="J170">
        <v>243278</v>
      </c>
      <c r="K170">
        <v>0.87039743382119084</v>
      </c>
      <c r="L170">
        <v>0.54535631823174691</v>
      </c>
    </row>
    <row r="171" spans="1:12" x14ac:dyDescent="0.3">
      <c r="A171" s="1">
        <v>45411</v>
      </c>
      <c r="B171" t="s">
        <v>19</v>
      </c>
      <c r="C171" t="s">
        <v>18</v>
      </c>
      <c r="D171" t="s">
        <v>14</v>
      </c>
      <c r="E171">
        <v>200792</v>
      </c>
      <c r="F171">
        <v>86736</v>
      </c>
      <c r="G171">
        <v>176184</v>
      </c>
      <c r="H171">
        <v>4.8</v>
      </c>
      <c r="I171">
        <v>3</v>
      </c>
      <c r="J171">
        <v>114056</v>
      </c>
      <c r="K171">
        <v>1.1396721609226717</v>
      </c>
      <c r="L171">
        <v>0.5680305988286386</v>
      </c>
    </row>
    <row r="172" spans="1:12" x14ac:dyDescent="0.3">
      <c r="A172" s="1">
        <v>45614</v>
      </c>
      <c r="B172" t="s">
        <v>12</v>
      </c>
      <c r="C172" t="s">
        <v>13</v>
      </c>
      <c r="D172" t="s">
        <v>14</v>
      </c>
      <c r="E172">
        <v>337304</v>
      </c>
      <c r="F172">
        <v>107028</v>
      </c>
      <c r="G172">
        <v>373948</v>
      </c>
      <c r="H172">
        <v>4.7</v>
      </c>
      <c r="I172">
        <v>2</v>
      </c>
      <c r="J172">
        <v>230276</v>
      </c>
      <c r="K172">
        <v>0.90200776578561725</v>
      </c>
      <c r="L172">
        <v>0.68269572848231863</v>
      </c>
    </row>
    <row r="173" spans="1:12" x14ac:dyDescent="0.3">
      <c r="A173" s="1">
        <v>45402</v>
      </c>
      <c r="B173" t="s">
        <v>15</v>
      </c>
      <c r="C173" t="s">
        <v>18</v>
      </c>
      <c r="D173" t="s">
        <v>14</v>
      </c>
      <c r="E173">
        <v>297166</v>
      </c>
      <c r="F173">
        <v>163878</v>
      </c>
      <c r="G173">
        <v>321047</v>
      </c>
      <c r="H173">
        <v>4.5999999999999996</v>
      </c>
      <c r="I173">
        <v>14</v>
      </c>
      <c r="J173">
        <v>133288</v>
      </c>
      <c r="K173">
        <v>0.92561525259541433</v>
      </c>
      <c r="L173">
        <v>0.44853045099372069</v>
      </c>
    </row>
    <row r="174" spans="1:12" x14ac:dyDescent="0.3">
      <c r="A174" s="1">
        <v>45762</v>
      </c>
      <c r="B174" t="s">
        <v>9</v>
      </c>
      <c r="C174" t="s">
        <v>16</v>
      </c>
      <c r="D174" t="s">
        <v>14</v>
      </c>
      <c r="E174">
        <v>65182</v>
      </c>
      <c r="F174">
        <v>27174</v>
      </c>
      <c r="G174">
        <v>57604</v>
      </c>
      <c r="H174">
        <v>4.5999999999999996</v>
      </c>
      <c r="I174">
        <v>15</v>
      </c>
      <c r="J174">
        <v>38008</v>
      </c>
      <c r="K174">
        <v>1.131553364349698</v>
      </c>
      <c r="L174">
        <v>0.58310576539535453</v>
      </c>
    </row>
    <row r="175" spans="1:12" x14ac:dyDescent="0.3">
      <c r="A175" s="1">
        <v>45592</v>
      </c>
      <c r="B175" t="s">
        <v>9</v>
      </c>
      <c r="C175" t="s">
        <v>16</v>
      </c>
      <c r="D175" t="s">
        <v>14</v>
      </c>
      <c r="E175">
        <v>94082</v>
      </c>
      <c r="F175">
        <v>42017</v>
      </c>
      <c r="G175">
        <v>98657</v>
      </c>
      <c r="H175">
        <v>4.3</v>
      </c>
      <c r="I175">
        <v>9</v>
      </c>
      <c r="J175">
        <v>52065</v>
      </c>
      <c r="K175">
        <v>0.95362721347699608</v>
      </c>
      <c r="L175">
        <v>0.55340022533534572</v>
      </c>
    </row>
    <row r="176" spans="1:12" x14ac:dyDescent="0.3">
      <c r="A176" s="1">
        <v>45972</v>
      </c>
      <c r="B176" t="s">
        <v>9</v>
      </c>
      <c r="C176" t="s">
        <v>18</v>
      </c>
      <c r="D176" t="s">
        <v>14</v>
      </c>
      <c r="E176">
        <v>95366</v>
      </c>
      <c r="F176">
        <v>34484</v>
      </c>
      <c r="G176">
        <v>104755</v>
      </c>
      <c r="H176">
        <v>4.4000000000000004</v>
      </c>
      <c r="I176">
        <v>11</v>
      </c>
      <c r="J176">
        <v>60882</v>
      </c>
      <c r="K176">
        <v>0.91037181996086103</v>
      </c>
      <c r="L176">
        <v>0.63840362393305794</v>
      </c>
    </row>
    <row r="177" spans="1:12" x14ac:dyDescent="0.3">
      <c r="A177" s="1">
        <v>45732</v>
      </c>
      <c r="B177" t="s">
        <v>15</v>
      </c>
      <c r="C177" t="s">
        <v>16</v>
      </c>
      <c r="D177" t="s">
        <v>14</v>
      </c>
      <c r="E177">
        <v>114843</v>
      </c>
      <c r="F177">
        <v>53227</v>
      </c>
      <c r="G177">
        <v>103251</v>
      </c>
      <c r="H177">
        <v>4</v>
      </c>
      <c r="I177">
        <v>0</v>
      </c>
      <c r="J177">
        <v>61616</v>
      </c>
      <c r="K177">
        <v>1.1122700990789436</v>
      </c>
      <c r="L177">
        <v>0.53652377593758438</v>
      </c>
    </row>
    <row r="178" spans="1:12" x14ac:dyDescent="0.3">
      <c r="A178" s="1">
        <v>45331</v>
      </c>
      <c r="B178" t="s">
        <v>15</v>
      </c>
      <c r="C178" t="s">
        <v>13</v>
      </c>
      <c r="D178" t="s">
        <v>14</v>
      </c>
      <c r="E178">
        <v>15666</v>
      </c>
      <c r="F178">
        <v>7089</v>
      </c>
      <c r="G178">
        <v>16710</v>
      </c>
      <c r="H178">
        <v>3.8</v>
      </c>
      <c r="I178">
        <v>4</v>
      </c>
      <c r="J178">
        <v>8577</v>
      </c>
      <c r="K178">
        <v>0.93752244165170562</v>
      </c>
      <c r="L178">
        <v>0.54749138261202601</v>
      </c>
    </row>
    <row r="179" spans="1:12" x14ac:dyDescent="0.3">
      <c r="A179" s="1">
        <v>45549</v>
      </c>
      <c r="B179" t="s">
        <v>15</v>
      </c>
      <c r="C179" t="s">
        <v>10</v>
      </c>
      <c r="D179" t="s">
        <v>14</v>
      </c>
      <c r="E179">
        <v>591533</v>
      </c>
      <c r="F179">
        <v>192629</v>
      </c>
      <c r="G179">
        <v>614924</v>
      </c>
      <c r="H179">
        <v>3.9</v>
      </c>
      <c r="I179">
        <v>10</v>
      </c>
      <c r="J179">
        <v>398904</v>
      </c>
      <c r="K179">
        <v>0.9619611529229628</v>
      </c>
      <c r="L179">
        <v>0.67435629119592655</v>
      </c>
    </row>
    <row r="180" spans="1:12" x14ac:dyDescent="0.3">
      <c r="A180" s="1">
        <v>45991</v>
      </c>
      <c r="B180" t="s">
        <v>9</v>
      </c>
      <c r="C180" t="s">
        <v>13</v>
      </c>
      <c r="D180" t="s">
        <v>14</v>
      </c>
      <c r="E180">
        <v>268722</v>
      </c>
      <c r="F180">
        <v>160670</v>
      </c>
      <c r="G180">
        <v>289765</v>
      </c>
      <c r="H180">
        <v>4.3</v>
      </c>
      <c r="I180">
        <v>15</v>
      </c>
      <c r="J180">
        <v>108052</v>
      </c>
      <c r="K180">
        <v>0.92737908305005778</v>
      </c>
      <c r="L180">
        <v>0.40209584626491318</v>
      </c>
    </row>
    <row r="181" spans="1:12" x14ac:dyDescent="0.3">
      <c r="A181" s="1">
        <v>45842</v>
      </c>
      <c r="B181" t="s">
        <v>19</v>
      </c>
      <c r="C181" t="s">
        <v>10</v>
      </c>
      <c r="D181" t="s">
        <v>14</v>
      </c>
      <c r="E181">
        <v>381380</v>
      </c>
      <c r="F181">
        <v>168224</v>
      </c>
      <c r="G181">
        <v>428873</v>
      </c>
      <c r="H181">
        <v>3.7</v>
      </c>
      <c r="I181">
        <v>12</v>
      </c>
      <c r="J181">
        <v>213156</v>
      </c>
      <c r="K181">
        <v>0.88926092339690299</v>
      </c>
      <c r="L181">
        <v>0.55890712675022292</v>
      </c>
    </row>
    <row r="182" spans="1:12" x14ac:dyDescent="0.3">
      <c r="A182" s="1">
        <v>45774</v>
      </c>
      <c r="B182" t="s">
        <v>12</v>
      </c>
      <c r="C182" t="s">
        <v>13</v>
      </c>
      <c r="D182" t="s">
        <v>14</v>
      </c>
      <c r="E182">
        <v>268916</v>
      </c>
      <c r="F182">
        <v>107302</v>
      </c>
      <c r="G182">
        <v>257513</v>
      </c>
      <c r="H182">
        <v>3.9</v>
      </c>
      <c r="I182">
        <v>7</v>
      </c>
      <c r="J182">
        <v>161614</v>
      </c>
      <c r="K182">
        <v>1.0442812595868947</v>
      </c>
      <c r="L182">
        <v>0.60098320665189131</v>
      </c>
    </row>
    <row r="183" spans="1:12" x14ac:dyDescent="0.3">
      <c r="A183" s="1">
        <v>45616</v>
      </c>
      <c r="B183" t="s">
        <v>9</v>
      </c>
      <c r="C183" t="s">
        <v>16</v>
      </c>
      <c r="D183" t="s">
        <v>14</v>
      </c>
      <c r="E183">
        <v>206314</v>
      </c>
      <c r="F183">
        <v>106044</v>
      </c>
      <c r="G183">
        <v>199562</v>
      </c>
      <c r="H183">
        <v>5</v>
      </c>
      <c r="I183">
        <v>12</v>
      </c>
      <c r="J183">
        <v>100270</v>
      </c>
      <c r="K183">
        <v>1.033834096671711</v>
      </c>
      <c r="L183">
        <v>0.48600676638521867</v>
      </c>
    </row>
    <row r="184" spans="1:12" x14ac:dyDescent="0.3">
      <c r="A184" s="1">
        <v>46016</v>
      </c>
      <c r="B184" t="s">
        <v>19</v>
      </c>
      <c r="C184" t="s">
        <v>10</v>
      </c>
      <c r="D184" t="s">
        <v>14</v>
      </c>
      <c r="E184">
        <v>190801</v>
      </c>
      <c r="F184">
        <v>111606</v>
      </c>
      <c r="G184">
        <v>172793</v>
      </c>
      <c r="H184">
        <v>3.8</v>
      </c>
      <c r="I184">
        <v>14</v>
      </c>
      <c r="J184">
        <v>79195</v>
      </c>
      <c r="K184">
        <v>1.1042171847239182</v>
      </c>
      <c r="L184">
        <v>0.41506595877380098</v>
      </c>
    </row>
    <row r="185" spans="1:12" x14ac:dyDescent="0.3">
      <c r="A185" s="1">
        <v>45807</v>
      </c>
      <c r="B185" t="s">
        <v>19</v>
      </c>
      <c r="C185" t="s">
        <v>18</v>
      </c>
      <c r="D185" t="s">
        <v>14</v>
      </c>
      <c r="E185">
        <v>369912</v>
      </c>
      <c r="F185">
        <v>167900</v>
      </c>
      <c r="G185">
        <v>406080</v>
      </c>
      <c r="H185">
        <v>3.9</v>
      </c>
      <c r="I185">
        <v>6</v>
      </c>
      <c r="J185">
        <v>202012</v>
      </c>
      <c r="K185">
        <v>0.91093380614657216</v>
      </c>
      <c r="L185">
        <v>0.54610826358701525</v>
      </c>
    </row>
    <row r="186" spans="1:12" x14ac:dyDescent="0.3">
      <c r="A186" s="1">
        <v>45562</v>
      </c>
      <c r="B186" t="s">
        <v>9</v>
      </c>
      <c r="C186" t="s">
        <v>13</v>
      </c>
      <c r="D186" t="s">
        <v>14</v>
      </c>
      <c r="E186">
        <v>321714</v>
      </c>
      <c r="F186">
        <v>119357</v>
      </c>
      <c r="G186">
        <v>306076</v>
      </c>
      <c r="H186">
        <v>4.5999999999999996</v>
      </c>
      <c r="I186">
        <v>5</v>
      </c>
      <c r="J186">
        <v>202357</v>
      </c>
      <c r="K186">
        <v>1.0510918856754532</v>
      </c>
      <c r="L186">
        <v>0.62899656216390953</v>
      </c>
    </row>
    <row r="187" spans="1:12" x14ac:dyDescent="0.3">
      <c r="A187" s="1">
        <v>45312</v>
      </c>
      <c r="B187" t="s">
        <v>12</v>
      </c>
      <c r="C187" t="s">
        <v>13</v>
      </c>
      <c r="D187" t="s">
        <v>14</v>
      </c>
      <c r="E187">
        <v>431818</v>
      </c>
      <c r="F187">
        <v>210175</v>
      </c>
      <c r="G187">
        <v>402568</v>
      </c>
      <c r="H187">
        <v>5</v>
      </c>
      <c r="I187">
        <v>3</v>
      </c>
      <c r="J187">
        <v>221643</v>
      </c>
      <c r="K187">
        <v>1.0726585322231275</v>
      </c>
      <c r="L187">
        <v>0.51327874243315474</v>
      </c>
    </row>
    <row r="188" spans="1:12" x14ac:dyDescent="0.3">
      <c r="A188" s="1">
        <v>46000</v>
      </c>
      <c r="B188" t="s">
        <v>15</v>
      </c>
      <c r="C188" t="s">
        <v>13</v>
      </c>
      <c r="D188" t="s">
        <v>14</v>
      </c>
      <c r="E188">
        <v>466588</v>
      </c>
      <c r="F188">
        <v>189205</v>
      </c>
      <c r="G188">
        <v>468711</v>
      </c>
      <c r="H188">
        <v>5</v>
      </c>
      <c r="I188">
        <v>7</v>
      </c>
      <c r="J188">
        <v>277383</v>
      </c>
      <c r="K188">
        <v>0.99547055648363281</v>
      </c>
      <c r="L188">
        <v>0.59449235728308492</v>
      </c>
    </row>
    <row r="189" spans="1:12" x14ac:dyDescent="0.3">
      <c r="A189" s="1">
        <v>45845</v>
      </c>
      <c r="B189" t="s">
        <v>15</v>
      </c>
      <c r="C189" t="s">
        <v>18</v>
      </c>
      <c r="D189" t="s">
        <v>14</v>
      </c>
      <c r="E189">
        <v>490369</v>
      </c>
      <c r="F189">
        <v>206689</v>
      </c>
      <c r="G189">
        <v>526955</v>
      </c>
      <c r="H189">
        <v>3.8</v>
      </c>
      <c r="I189">
        <v>14</v>
      </c>
      <c r="J189">
        <v>283680</v>
      </c>
      <c r="K189">
        <v>0.93057092161569777</v>
      </c>
      <c r="L189">
        <v>0.57850312723683595</v>
      </c>
    </row>
    <row r="190" spans="1:12" x14ac:dyDescent="0.3">
      <c r="A190" s="1">
        <v>45788</v>
      </c>
      <c r="B190" t="s">
        <v>12</v>
      </c>
      <c r="C190" t="s">
        <v>10</v>
      </c>
      <c r="D190" t="s">
        <v>14</v>
      </c>
      <c r="E190">
        <v>413964</v>
      </c>
      <c r="F190">
        <v>132761</v>
      </c>
      <c r="G190">
        <v>436281</v>
      </c>
      <c r="H190">
        <v>4.4000000000000004</v>
      </c>
      <c r="I190">
        <v>1</v>
      </c>
      <c r="J190">
        <v>281203</v>
      </c>
      <c r="K190">
        <v>0.94884718793621547</v>
      </c>
      <c r="L190">
        <v>0.67929336850547395</v>
      </c>
    </row>
    <row r="191" spans="1:12" x14ac:dyDescent="0.3">
      <c r="A191" s="1">
        <v>45438</v>
      </c>
      <c r="B191" t="s">
        <v>9</v>
      </c>
      <c r="C191" t="s">
        <v>16</v>
      </c>
      <c r="D191" t="s">
        <v>14</v>
      </c>
      <c r="E191">
        <v>220765</v>
      </c>
      <c r="F191">
        <v>76386</v>
      </c>
      <c r="G191">
        <v>216317</v>
      </c>
      <c r="H191">
        <v>4.3</v>
      </c>
      <c r="I191">
        <v>7</v>
      </c>
      <c r="J191">
        <v>144379</v>
      </c>
      <c r="K191">
        <v>1.0205624153441477</v>
      </c>
      <c r="L191">
        <v>0.65399406608837451</v>
      </c>
    </row>
    <row r="192" spans="1:12" x14ac:dyDescent="0.3">
      <c r="A192" s="1">
        <v>45812</v>
      </c>
      <c r="B192" t="s">
        <v>15</v>
      </c>
      <c r="C192" t="s">
        <v>13</v>
      </c>
      <c r="D192" t="s">
        <v>14</v>
      </c>
      <c r="E192">
        <v>262859</v>
      </c>
      <c r="F192">
        <v>134642</v>
      </c>
      <c r="G192">
        <v>269977</v>
      </c>
      <c r="H192">
        <v>4.0999999999999996</v>
      </c>
      <c r="I192">
        <v>5</v>
      </c>
      <c r="J192">
        <v>128217</v>
      </c>
      <c r="K192">
        <v>0.97363479111183548</v>
      </c>
      <c r="L192">
        <v>0.48777861895540953</v>
      </c>
    </row>
    <row r="193" spans="1:12" x14ac:dyDescent="0.3">
      <c r="A193" s="1">
        <v>45355</v>
      </c>
      <c r="B193" t="s">
        <v>19</v>
      </c>
      <c r="C193" t="s">
        <v>10</v>
      </c>
      <c r="D193" t="s">
        <v>14</v>
      </c>
      <c r="E193">
        <v>264225</v>
      </c>
      <c r="F193">
        <v>134292</v>
      </c>
      <c r="G193">
        <v>262634</v>
      </c>
      <c r="H193">
        <v>4.4000000000000004</v>
      </c>
      <c r="I193">
        <v>13</v>
      </c>
      <c r="J193">
        <v>129933</v>
      </c>
      <c r="K193">
        <v>1.0060578599876635</v>
      </c>
      <c r="L193">
        <v>0.49175134828271361</v>
      </c>
    </row>
    <row r="194" spans="1:12" x14ac:dyDescent="0.3">
      <c r="A194" s="1">
        <v>45835</v>
      </c>
      <c r="B194" t="s">
        <v>12</v>
      </c>
      <c r="C194" t="s">
        <v>10</v>
      </c>
      <c r="D194" t="s">
        <v>14</v>
      </c>
      <c r="E194">
        <v>74288</v>
      </c>
      <c r="F194">
        <v>28827</v>
      </c>
      <c r="G194">
        <v>64027</v>
      </c>
      <c r="H194">
        <v>4.2</v>
      </c>
      <c r="I194">
        <v>11</v>
      </c>
      <c r="J194">
        <v>45461</v>
      </c>
      <c r="K194">
        <v>1.1602605150951941</v>
      </c>
      <c r="L194">
        <v>0.6119561705793668</v>
      </c>
    </row>
    <row r="195" spans="1:12" x14ac:dyDescent="0.3">
      <c r="A195" s="1">
        <v>45379</v>
      </c>
      <c r="B195" t="s">
        <v>19</v>
      </c>
      <c r="C195" t="s">
        <v>10</v>
      </c>
      <c r="D195" t="s">
        <v>14</v>
      </c>
      <c r="E195">
        <v>455485</v>
      </c>
      <c r="F195">
        <v>284445</v>
      </c>
      <c r="G195">
        <v>453074</v>
      </c>
      <c r="H195">
        <v>3.8</v>
      </c>
      <c r="I195">
        <v>15</v>
      </c>
      <c r="J195">
        <v>171040</v>
      </c>
      <c r="K195">
        <v>1.0053214265219368</v>
      </c>
      <c r="L195">
        <v>0.3755118170741078</v>
      </c>
    </row>
    <row r="196" spans="1:12" x14ac:dyDescent="0.3">
      <c r="A196" s="1">
        <v>45436</v>
      </c>
      <c r="B196" t="s">
        <v>19</v>
      </c>
      <c r="C196" t="s">
        <v>16</v>
      </c>
      <c r="D196" t="s">
        <v>14</v>
      </c>
      <c r="E196">
        <v>324941</v>
      </c>
      <c r="F196">
        <v>163665</v>
      </c>
      <c r="G196">
        <v>367426</v>
      </c>
      <c r="H196">
        <v>4.2</v>
      </c>
      <c r="I196">
        <v>14</v>
      </c>
      <c r="J196">
        <v>161276</v>
      </c>
      <c r="K196">
        <v>0.8843712747600877</v>
      </c>
      <c r="L196">
        <v>0.49632394803979801</v>
      </c>
    </row>
    <row r="197" spans="1:12" x14ac:dyDescent="0.3">
      <c r="A197" s="1">
        <v>45419</v>
      </c>
      <c r="B197" t="s">
        <v>12</v>
      </c>
      <c r="C197" t="s">
        <v>10</v>
      </c>
      <c r="D197" t="s">
        <v>14</v>
      </c>
      <c r="E197">
        <v>486016</v>
      </c>
      <c r="F197">
        <v>204722</v>
      </c>
      <c r="G197">
        <v>524780</v>
      </c>
      <c r="H197">
        <v>3.6</v>
      </c>
      <c r="I197">
        <v>6</v>
      </c>
      <c r="J197">
        <v>281294</v>
      </c>
      <c r="K197">
        <v>0.92613285567285342</v>
      </c>
      <c r="L197">
        <v>0.57877518435607056</v>
      </c>
    </row>
    <row r="198" spans="1:12" x14ac:dyDescent="0.3">
      <c r="A198" s="1">
        <v>45901</v>
      </c>
      <c r="B198" t="s">
        <v>12</v>
      </c>
      <c r="C198" t="s">
        <v>13</v>
      </c>
      <c r="D198" t="s">
        <v>14</v>
      </c>
      <c r="E198">
        <v>434315</v>
      </c>
      <c r="F198">
        <v>192566</v>
      </c>
      <c r="G198">
        <v>473117</v>
      </c>
      <c r="H198">
        <v>4.8</v>
      </c>
      <c r="I198">
        <v>9</v>
      </c>
      <c r="J198">
        <v>241749</v>
      </c>
      <c r="K198">
        <v>0.91798646000883499</v>
      </c>
      <c r="L198">
        <v>0.55662134625790038</v>
      </c>
    </row>
    <row r="199" spans="1:12" x14ac:dyDescent="0.3">
      <c r="A199" s="1">
        <v>45969</v>
      </c>
      <c r="B199" t="s">
        <v>12</v>
      </c>
      <c r="C199" t="s">
        <v>10</v>
      </c>
      <c r="D199" t="s">
        <v>14</v>
      </c>
      <c r="E199">
        <v>79202</v>
      </c>
      <c r="F199">
        <v>41594</v>
      </c>
      <c r="G199">
        <v>74556</v>
      </c>
      <c r="H199">
        <v>5</v>
      </c>
      <c r="I199">
        <v>5</v>
      </c>
      <c r="J199">
        <v>37608</v>
      </c>
      <c r="K199">
        <v>1.0623155748698965</v>
      </c>
      <c r="L199">
        <v>0.4748364940279286</v>
      </c>
    </row>
    <row r="200" spans="1:12" x14ac:dyDescent="0.3">
      <c r="A200" s="1">
        <v>45472</v>
      </c>
      <c r="B200" t="s">
        <v>19</v>
      </c>
      <c r="C200" t="s">
        <v>18</v>
      </c>
      <c r="D200" t="s">
        <v>14</v>
      </c>
      <c r="E200">
        <v>256983</v>
      </c>
      <c r="F200">
        <v>84593</v>
      </c>
      <c r="G200">
        <v>234224</v>
      </c>
      <c r="H200">
        <v>4.7</v>
      </c>
      <c r="I200">
        <v>4</v>
      </c>
      <c r="J200">
        <v>172390</v>
      </c>
      <c r="K200">
        <v>1.0971676685565954</v>
      </c>
      <c r="L200">
        <v>0.67082258359502378</v>
      </c>
    </row>
    <row r="201" spans="1:12" x14ac:dyDescent="0.3">
      <c r="A201" s="1">
        <v>45510</v>
      </c>
      <c r="B201" t="s">
        <v>12</v>
      </c>
      <c r="C201" t="s">
        <v>13</v>
      </c>
      <c r="D201" t="s">
        <v>14</v>
      </c>
      <c r="E201">
        <v>457126</v>
      </c>
      <c r="F201">
        <v>255505</v>
      </c>
      <c r="G201">
        <v>494024</v>
      </c>
      <c r="H201">
        <v>4.0999999999999996</v>
      </c>
      <c r="I201">
        <v>10</v>
      </c>
      <c r="J201">
        <v>201621</v>
      </c>
      <c r="K201">
        <v>0.92531132090748625</v>
      </c>
      <c r="L201">
        <v>0.44106220166868654</v>
      </c>
    </row>
    <row r="202" spans="1:12" x14ac:dyDescent="0.3">
      <c r="A202" s="1">
        <v>45302</v>
      </c>
      <c r="B202" t="s">
        <v>9</v>
      </c>
      <c r="C202" t="s">
        <v>16</v>
      </c>
      <c r="D202" t="s">
        <v>14</v>
      </c>
      <c r="E202">
        <v>227508</v>
      </c>
      <c r="F202">
        <v>116972</v>
      </c>
      <c r="G202">
        <v>225361</v>
      </c>
      <c r="H202">
        <v>3.7</v>
      </c>
      <c r="I202">
        <v>6</v>
      </c>
      <c r="J202">
        <v>110536</v>
      </c>
      <c r="K202">
        <v>1.0095269367814306</v>
      </c>
      <c r="L202">
        <v>0.48585544244597995</v>
      </c>
    </row>
    <row r="203" spans="1:12" x14ac:dyDescent="0.3">
      <c r="A203" s="1">
        <v>45808</v>
      </c>
      <c r="B203" t="s">
        <v>12</v>
      </c>
      <c r="C203" t="s">
        <v>16</v>
      </c>
      <c r="D203" t="s">
        <v>14</v>
      </c>
      <c r="E203">
        <v>293816</v>
      </c>
      <c r="F203">
        <v>150767</v>
      </c>
      <c r="G203">
        <v>324223</v>
      </c>
      <c r="H203">
        <v>4.2</v>
      </c>
      <c r="I203">
        <v>4</v>
      </c>
      <c r="J203">
        <v>143049</v>
      </c>
      <c r="K203">
        <v>0.90621578358105381</v>
      </c>
      <c r="L203">
        <v>0.48686592969749776</v>
      </c>
    </row>
    <row r="204" spans="1:12" x14ac:dyDescent="0.3">
      <c r="A204" s="1">
        <v>45399</v>
      </c>
      <c r="B204" t="s">
        <v>9</v>
      </c>
      <c r="C204" t="s">
        <v>16</v>
      </c>
      <c r="D204" t="s">
        <v>14</v>
      </c>
      <c r="E204">
        <v>319732</v>
      </c>
      <c r="F204">
        <v>128380</v>
      </c>
      <c r="G204">
        <v>272784</v>
      </c>
      <c r="H204">
        <v>4.0999999999999996</v>
      </c>
      <c r="I204">
        <v>5</v>
      </c>
      <c r="J204">
        <v>191352</v>
      </c>
      <c r="K204">
        <v>1.1721068684380316</v>
      </c>
      <c r="L204">
        <v>0.59847622383746391</v>
      </c>
    </row>
    <row r="205" spans="1:12" x14ac:dyDescent="0.3">
      <c r="A205" s="1">
        <v>45498</v>
      </c>
      <c r="B205" t="s">
        <v>19</v>
      </c>
      <c r="C205" t="s">
        <v>18</v>
      </c>
      <c r="D205" t="s">
        <v>14</v>
      </c>
      <c r="E205">
        <v>475757</v>
      </c>
      <c r="F205">
        <v>185473</v>
      </c>
      <c r="G205">
        <v>510397</v>
      </c>
      <c r="H205">
        <v>4.0999999999999996</v>
      </c>
      <c r="I205">
        <v>4</v>
      </c>
      <c r="J205">
        <v>290284</v>
      </c>
      <c r="K205">
        <v>0.93213126252701328</v>
      </c>
      <c r="L205">
        <v>0.61015182120284095</v>
      </c>
    </row>
    <row r="206" spans="1:12" x14ac:dyDescent="0.3">
      <c r="A206" s="1">
        <v>45473</v>
      </c>
      <c r="B206" t="s">
        <v>19</v>
      </c>
      <c r="C206" t="s">
        <v>18</v>
      </c>
      <c r="D206" t="s">
        <v>14</v>
      </c>
      <c r="E206">
        <v>457746</v>
      </c>
      <c r="F206">
        <v>212123</v>
      </c>
      <c r="G206">
        <v>403141</v>
      </c>
      <c r="H206">
        <v>4.5999999999999996</v>
      </c>
      <c r="I206">
        <v>9</v>
      </c>
      <c r="J206">
        <v>245623</v>
      </c>
      <c r="K206">
        <v>1.1354488876100421</v>
      </c>
      <c r="L206">
        <v>0.53659234597353123</v>
      </c>
    </row>
    <row r="207" spans="1:12" x14ac:dyDescent="0.3">
      <c r="A207" s="1">
        <v>45431</v>
      </c>
      <c r="B207" t="s">
        <v>9</v>
      </c>
      <c r="C207" t="s">
        <v>16</v>
      </c>
      <c r="D207" t="s">
        <v>14</v>
      </c>
      <c r="E207">
        <v>88840</v>
      </c>
      <c r="F207">
        <v>49965</v>
      </c>
      <c r="G207">
        <v>90101</v>
      </c>
      <c r="H207">
        <v>3.7</v>
      </c>
      <c r="I207">
        <v>7</v>
      </c>
      <c r="J207">
        <v>38875</v>
      </c>
      <c r="K207">
        <v>0.9860045948435644</v>
      </c>
      <c r="L207">
        <v>0.4375844214317875</v>
      </c>
    </row>
    <row r="208" spans="1:12" x14ac:dyDescent="0.3">
      <c r="A208" s="1">
        <v>45662</v>
      </c>
      <c r="B208" t="s">
        <v>15</v>
      </c>
      <c r="C208" t="s">
        <v>16</v>
      </c>
      <c r="D208" t="s">
        <v>14</v>
      </c>
      <c r="E208">
        <v>400411</v>
      </c>
      <c r="F208">
        <v>165182</v>
      </c>
      <c r="G208">
        <v>428413</v>
      </c>
      <c r="H208">
        <v>3.7</v>
      </c>
      <c r="I208">
        <v>1</v>
      </c>
      <c r="J208">
        <v>235229</v>
      </c>
      <c r="K208">
        <v>0.93463783778736875</v>
      </c>
      <c r="L208">
        <v>0.58746887573018725</v>
      </c>
    </row>
    <row r="209" spans="1:12" x14ac:dyDescent="0.3">
      <c r="A209" s="1">
        <v>45746</v>
      </c>
      <c r="B209" t="s">
        <v>9</v>
      </c>
      <c r="C209" t="s">
        <v>10</v>
      </c>
      <c r="D209" t="s">
        <v>14</v>
      </c>
      <c r="E209">
        <v>163857</v>
      </c>
      <c r="F209">
        <v>93698</v>
      </c>
      <c r="G209">
        <v>158610</v>
      </c>
      <c r="H209">
        <v>4.4000000000000004</v>
      </c>
      <c r="I209">
        <v>1</v>
      </c>
      <c r="J209">
        <v>70159</v>
      </c>
      <c r="K209">
        <v>1.0330811424248156</v>
      </c>
      <c r="L209">
        <v>0.42817212569496571</v>
      </c>
    </row>
    <row r="210" spans="1:12" x14ac:dyDescent="0.3">
      <c r="A210" s="1">
        <v>45844</v>
      </c>
      <c r="B210" t="s">
        <v>15</v>
      </c>
      <c r="C210" t="s">
        <v>16</v>
      </c>
      <c r="D210" t="s">
        <v>14</v>
      </c>
      <c r="E210">
        <v>108317</v>
      </c>
      <c r="F210">
        <v>45191</v>
      </c>
      <c r="G210">
        <v>95164</v>
      </c>
      <c r="H210">
        <v>4.5</v>
      </c>
      <c r="I210">
        <v>8</v>
      </c>
      <c r="J210">
        <v>63126</v>
      </c>
      <c r="K210">
        <v>1.1382140305157413</v>
      </c>
      <c r="L210">
        <v>0.58278940517185673</v>
      </c>
    </row>
    <row r="211" spans="1:12" x14ac:dyDescent="0.3">
      <c r="A211" s="1">
        <v>45319</v>
      </c>
      <c r="B211" t="s">
        <v>15</v>
      </c>
      <c r="C211" t="s">
        <v>18</v>
      </c>
      <c r="D211" t="s">
        <v>14</v>
      </c>
      <c r="E211">
        <v>154832</v>
      </c>
      <c r="F211">
        <v>76642</v>
      </c>
      <c r="G211">
        <v>142617</v>
      </c>
      <c r="H211">
        <v>3.9</v>
      </c>
      <c r="I211">
        <v>7</v>
      </c>
      <c r="J211">
        <v>78190</v>
      </c>
      <c r="K211">
        <v>1.0856489759285359</v>
      </c>
      <c r="L211">
        <v>0.50499896662188692</v>
      </c>
    </row>
    <row r="212" spans="1:12" x14ac:dyDescent="0.3">
      <c r="A212" s="1">
        <v>45539</v>
      </c>
      <c r="B212" t="s">
        <v>15</v>
      </c>
      <c r="C212" t="s">
        <v>10</v>
      </c>
      <c r="D212" t="s">
        <v>14</v>
      </c>
      <c r="E212">
        <v>171149</v>
      </c>
      <c r="F212">
        <v>80654</v>
      </c>
      <c r="G212">
        <v>149322</v>
      </c>
      <c r="H212">
        <v>3.7</v>
      </c>
      <c r="I212">
        <v>0</v>
      </c>
      <c r="J212">
        <v>90495</v>
      </c>
      <c r="K212">
        <v>1.1461740399941067</v>
      </c>
      <c r="L212">
        <v>0.52874980280340522</v>
      </c>
    </row>
    <row r="213" spans="1:12" x14ac:dyDescent="0.3">
      <c r="A213" s="1">
        <v>45811</v>
      </c>
      <c r="B213" t="s">
        <v>15</v>
      </c>
      <c r="C213" t="s">
        <v>18</v>
      </c>
      <c r="D213" t="s">
        <v>14</v>
      </c>
      <c r="E213">
        <v>469491</v>
      </c>
      <c r="F213">
        <v>248246</v>
      </c>
      <c r="G213">
        <v>508142</v>
      </c>
      <c r="H213">
        <v>4.0999999999999996</v>
      </c>
      <c r="I213">
        <v>3</v>
      </c>
      <c r="J213">
        <v>221245</v>
      </c>
      <c r="K213">
        <v>0.9239366161427317</v>
      </c>
      <c r="L213">
        <v>0.4712443902013031</v>
      </c>
    </row>
    <row r="214" spans="1:12" x14ac:dyDescent="0.3">
      <c r="A214" s="1">
        <v>45398</v>
      </c>
      <c r="B214" t="s">
        <v>19</v>
      </c>
      <c r="C214" t="s">
        <v>18</v>
      </c>
      <c r="D214" t="s">
        <v>14</v>
      </c>
      <c r="E214">
        <v>287707</v>
      </c>
      <c r="F214">
        <v>107447</v>
      </c>
      <c r="G214">
        <v>305434</v>
      </c>
      <c r="H214">
        <v>4.2</v>
      </c>
      <c r="I214">
        <v>4</v>
      </c>
      <c r="J214">
        <v>180260</v>
      </c>
      <c r="K214">
        <v>0.94196127477622005</v>
      </c>
      <c r="L214">
        <v>0.6265401954071329</v>
      </c>
    </row>
    <row r="215" spans="1:12" x14ac:dyDescent="0.3">
      <c r="A215" s="1">
        <v>45800</v>
      </c>
      <c r="B215" t="s">
        <v>15</v>
      </c>
      <c r="C215" t="s">
        <v>16</v>
      </c>
      <c r="D215" t="s">
        <v>14</v>
      </c>
      <c r="E215">
        <v>261071</v>
      </c>
      <c r="F215">
        <v>131487</v>
      </c>
      <c r="G215">
        <v>285800</v>
      </c>
      <c r="H215">
        <v>4.4000000000000004</v>
      </c>
      <c r="I215">
        <v>1</v>
      </c>
      <c r="J215">
        <v>129584</v>
      </c>
      <c r="K215">
        <v>0.91347445766270119</v>
      </c>
      <c r="L215">
        <v>0.49635539757384006</v>
      </c>
    </row>
    <row r="216" spans="1:12" x14ac:dyDescent="0.3">
      <c r="A216" s="1">
        <v>45311</v>
      </c>
      <c r="B216" t="s">
        <v>15</v>
      </c>
      <c r="C216" t="s">
        <v>10</v>
      </c>
      <c r="D216" t="s">
        <v>14</v>
      </c>
      <c r="E216">
        <v>180102</v>
      </c>
      <c r="F216">
        <v>59044</v>
      </c>
      <c r="G216">
        <v>170168</v>
      </c>
      <c r="H216">
        <v>4.3</v>
      </c>
      <c r="I216">
        <v>4</v>
      </c>
      <c r="J216">
        <v>121058</v>
      </c>
      <c r="K216">
        <v>1.0583776033096703</v>
      </c>
      <c r="L216">
        <v>0.67216355176511089</v>
      </c>
    </row>
    <row r="217" spans="1:12" x14ac:dyDescent="0.3">
      <c r="A217" s="1">
        <v>45497</v>
      </c>
      <c r="B217" t="s">
        <v>9</v>
      </c>
      <c r="C217" t="s">
        <v>16</v>
      </c>
      <c r="D217" t="s">
        <v>14</v>
      </c>
      <c r="E217">
        <v>176129</v>
      </c>
      <c r="F217">
        <v>71897</v>
      </c>
      <c r="G217">
        <v>150627</v>
      </c>
      <c r="H217">
        <v>4</v>
      </c>
      <c r="I217">
        <v>7</v>
      </c>
      <c r="J217">
        <v>104232</v>
      </c>
      <c r="K217">
        <v>1.1693056357757905</v>
      </c>
      <c r="L217">
        <v>0.59179351498049726</v>
      </c>
    </row>
    <row r="218" spans="1:12" x14ac:dyDescent="0.3">
      <c r="A218" s="1">
        <v>46003</v>
      </c>
      <c r="B218" t="s">
        <v>9</v>
      </c>
      <c r="C218" t="s">
        <v>13</v>
      </c>
      <c r="D218" t="s">
        <v>14</v>
      </c>
      <c r="E218">
        <v>350674</v>
      </c>
      <c r="F218">
        <v>178925</v>
      </c>
      <c r="G218">
        <v>355365</v>
      </c>
      <c r="H218">
        <v>3.6</v>
      </c>
      <c r="I218">
        <v>6</v>
      </c>
      <c r="J218">
        <v>171749</v>
      </c>
      <c r="K218">
        <v>0.98679948785051985</v>
      </c>
      <c r="L218">
        <v>0.48976827480794127</v>
      </c>
    </row>
    <row r="219" spans="1:12" x14ac:dyDescent="0.3">
      <c r="A219" s="1">
        <v>45564</v>
      </c>
      <c r="B219" t="s">
        <v>9</v>
      </c>
      <c r="C219" t="s">
        <v>10</v>
      </c>
      <c r="D219" t="s">
        <v>14</v>
      </c>
      <c r="E219">
        <v>259527</v>
      </c>
      <c r="F219">
        <v>106527</v>
      </c>
      <c r="G219">
        <v>282596</v>
      </c>
      <c r="H219">
        <v>4.7</v>
      </c>
      <c r="I219">
        <v>14</v>
      </c>
      <c r="J219">
        <v>153000</v>
      </c>
      <c r="K219">
        <v>0.9183675635890105</v>
      </c>
      <c r="L219">
        <v>0.58953403692101403</v>
      </c>
    </row>
    <row r="220" spans="1:12" x14ac:dyDescent="0.3">
      <c r="A220" s="1">
        <v>45960</v>
      </c>
      <c r="B220" t="s">
        <v>9</v>
      </c>
      <c r="C220" t="s">
        <v>16</v>
      </c>
      <c r="D220" t="s">
        <v>14</v>
      </c>
      <c r="E220">
        <v>396542</v>
      </c>
      <c r="F220">
        <v>211518</v>
      </c>
      <c r="G220">
        <v>415770</v>
      </c>
      <c r="H220">
        <v>5</v>
      </c>
      <c r="I220">
        <v>5</v>
      </c>
      <c r="J220">
        <v>185024</v>
      </c>
      <c r="K220">
        <v>0.95375327705221635</v>
      </c>
      <c r="L220">
        <v>0.46659370255861926</v>
      </c>
    </row>
    <row r="221" spans="1:12" x14ac:dyDescent="0.3">
      <c r="A221" s="1">
        <v>45850</v>
      </c>
      <c r="B221" t="s">
        <v>12</v>
      </c>
      <c r="C221" t="s">
        <v>13</v>
      </c>
      <c r="D221" t="s">
        <v>14</v>
      </c>
      <c r="E221">
        <v>349148</v>
      </c>
      <c r="F221">
        <v>166976</v>
      </c>
      <c r="G221">
        <v>319461</v>
      </c>
      <c r="H221">
        <v>4.8</v>
      </c>
      <c r="I221">
        <v>14</v>
      </c>
      <c r="J221">
        <v>182172</v>
      </c>
      <c r="K221">
        <v>1.0929284012758991</v>
      </c>
      <c r="L221">
        <v>0.52176154524728768</v>
      </c>
    </row>
    <row r="222" spans="1:12" x14ac:dyDescent="0.3">
      <c r="A222" s="1">
        <v>45636</v>
      </c>
      <c r="B222" t="s">
        <v>15</v>
      </c>
      <c r="C222" t="s">
        <v>13</v>
      </c>
      <c r="D222" t="s">
        <v>14</v>
      </c>
      <c r="E222">
        <v>133651</v>
      </c>
      <c r="F222">
        <v>51047</v>
      </c>
      <c r="G222">
        <v>140345</v>
      </c>
      <c r="H222">
        <v>4.4000000000000004</v>
      </c>
      <c r="I222">
        <v>15</v>
      </c>
      <c r="J222">
        <v>82604</v>
      </c>
      <c r="K222">
        <v>0.95230325269870675</v>
      </c>
      <c r="L222">
        <v>0.61805747805852551</v>
      </c>
    </row>
    <row r="223" spans="1:12" x14ac:dyDescent="0.3">
      <c r="A223" s="1">
        <v>45952</v>
      </c>
      <c r="B223" t="s">
        <v>15</v>
      </c>
      <c r="C223" t="s">
        <v>18</v>
      </c>
      <c r="D223" t="s">
        <v>14</v>
      </c>
      <c r="E223">
        <v>173991</v>
      </c>
      <c r="F223">
        <v>94192</v>
      </c>
      <c r="G223">
        <v>156569</v>
      </c>
      <c r="H223">
        <v>4.9000000000000004</v>
      </c>
      <c r="I223">
        <v>0</v>
      </c>
      <c r="J223">
        <v>79799</v>
      </c>
      <c r="K223">
        <v>1.1112736237697118</v>
      </c>
      <c r="L223">
        <v>0.45863866521831587</v>
      </c>
    </row>
    <row r="224" spans="1:12" x14ac:dyDescent="0.3">
      <c r="A224" s="1">
        <v>45940</v>
      </c>
      <c r="B224" t="s">
        <v>9</v>
      </c>
      <c r="C224" t="s">
        <v>10</v>
      </c>
      <c r="D224" t="s">
        <v>14</v>
      </c>
      <c r="E224">
        <v>325508</v>
      </c>
      <c r="F224">
        <v>101639</v>
      </c>
      <c r="G224">
        <v>296778</v>
      </c>
      <c r="H224">
        <v>4.5999999999999996</v>
      </c>
      <c r="I224">
        <v>1</v>
      </c>
      <c r="J224">
        <v>223869</v>
      </c>
      <c r="K224">
        <v>1.0968063670487704</v>
      </c>
      <c r="L224">
        <v>0.68775268196173367</v>
      </c>
    </row>
    <row r="225" spans="1:12" x14ac:dyDescent="0.3">
      <c r="A225" s="1">
        <v>45715</v>
      </c>
      <c r="B225" t="s">
        <v>15</v>
      </c>
      <c r="C225" t="s">
        <v>13</v>
      </c>
      <c r="D225" t="s">
        <v>14</v>
      </c>
      <c r="E225">
        <v>172448</v>
      </c>
      <c r="F225">
        <v>105915</v>
      </c>
      <c r="G225">
        <v>171613</v>
      </c>
      <c r="H225">
        <v>3.7</v>
      </c>
      <c r="I225">
        <v>8</v>
      </c>
      <c r="J225">
        <v>66533</v>
      </c>
      <c r="K225">
        <v>1.0048655987600006</v>
      </c>
      <c r="L225">
        <v>0.38581485433290036</v>
      </c>
    </row>
    <row r="226" spans="1:12" x14ac:dyDescent="0.3">
      <c r="A226" s="1">
        <v>45892</v>
      </c>
      <c r="B226" t="s">
        <v>19</v>
      </c>
      <c r="C226" t="s">
        <v>18</v>
      </c>
      <c r="D226" t="s">
        <v>14</v>
      </c>
      <c r="E226">
        <v>37723</v>
      </c>
      <c r="F226">
        <v>18829</v>
      </c>
      <c r="G226">
        <v>39935</v>
      </c>
      <c r="H226">
        <v>4.0999999999999996</v>
      </c>
      <c r="I226">
        <v>9</v>
      </c>
      <c r="J226">
        <v>18894</v>
      </c>
      <c r="K226">
        <v>0.94460999123575806</v>
      </c>
      <c r="L226">
        <v>0.50086154335551258</v>
      </c>
    </row>
    <row r="227" spans="1:12" x14ac:dyDescent="0.3">
      <c r="A227" s="1">
        <v>45764</v>
      </c>
      <c r="B227" t="s">
        <v>19</v>
      </c>
      <c r="C227" t="s">
        <v>10</v>
      </c>
      <c r="D227" t="s">
        <v>14</v>
      </c>
      <c r="E227">
        <v>368690</v>
      </c>
      <c r="F227">
        <v>227702</v>
      </c>
      <c r="G227">
        <v>378319</v>
      </c>
      <c r="H227">
        <v>3.8</v>
      </c>
      <c r="I227">
        <v>11</v>
      </c>
      <c r="J227">
        <v>140988</v>
      </c>
      <c r="K227">
        <v>0.97454793441513643</v>
      </c>
      <c r="L227">
        <v>0.38240256041661014</v>
      </c>
    </row>
    <row r="228" spans="1:12" x14ac:dyDescent="0.3">
      <c r="A228" s="1">
        <v>45943</v>
      </c>
      <c r="B228" t="s">
        <v>15</v>
      </c>
      <c r="C228" t="s">
        <v>16</v>
      </c>
      <c r="D228" t="s">
        <v>14</v>
      </c>
      <c r="E228">
        <v>124003</v>
      </c>
      <c r="F228">
        <v>57523</v>
      </c>
      <c r="G228">
        <v>108655</v>
      </c>
      <c r="H228">
        <v>4.0999999999999996</v>
      </c>
      <c r="I228">
        <v>14</v>
      </c>
      <c r="J228">
        <v>66480</v>
      </c>
      <c r="K228">
        <v>1.1412544291565045</v>
      </c>
      <c r="L228">
        <v>0.53611606170818449</v>
      </c>
    </row>
    <row r="229" spans="1:12" x14ac:dyDescent="0.3">
      <c r="A229" s="1">
        <v>45877</v>
      </c>
      <c r="B229" t="s">
        <v>9</v>
      </c>
      <c r="C229" t="s">
        <v>18</v>
      </c>
      <c r="D229" t="s">
        <v>14</v>
      </c>
      <c r="E229">
        <v>202376</v>
      </c>
      <c r="F229">
        <v>71548</v>
      </c>
      <c r="G229">
        <v>184114</v>
      </c>
      <c r="H229">
        <v>3.9</v>
      </c>
      <c r="I229">
        <v>10</v>
      </c>
      <c r="J229">
        <v>130828</v>
      </c>
      <c r="K229">
        <v>1.0991885462267943</v>
      </c>
      <c r="L229">
        <v>0.64646005455192312</v>
      </c>
    </row>
    <row r="230" spans="1:12" x14ac:dyDescent="0.3">
      <c r="A230" s="1">
        <v>45773</v>
      </c>
      <c r="B230" t="s">
        <v>12</v>
      </c>
      <c r="C230" t="s">
        <v>16</v>
      </c>
      <c r="D230" t="s">
        <v>14</v>
      </c>
      <c r="E230">
        <v>74384</v>
      </c>
      <c r="F230">
        <v>25781</v>
      </c>
      <c r="G230">
        <v>65874</v>
      </c>
      <c r="H230">
        <v>3.8</v>
      </c>
      <c r="I230">
        <v>3</v>
      </c>
      <c r="J230">
        <v>48603</v>
      </c>
      <c r="K230">
        <v>1.1291860217991925</v>
      </c>
      <c r="L230">
        <v>0.65340664659066461</v>
      </c>
    </row>
    <row r="231" spans="1:12" x14ac:dyDescent="0.3">
      <c r="A231" s="1">
        <v>46006</v>
      </c>
      <c r="B231" t="s">
        <v>12</v>
      </c>
      <c r="C231" t="s">
        <v>18</v>
      </c>
      <c r="D231" t="s">
        <v>14</v>
      </c>
      <c r="E231">
        <v>307080</v>
      </c>
      <c r="F231">
        <v>169395</v>
      </c>
      <c r="G231">
        <v>276341</v>
      </c>
      <c r="H231">
        <v>4.4000000000000004</v>
      </c>
      <c r="I231">
        <v>5</v>
      </c>
      <c r="J231">
        <v>137685</v>
      </c>
      <c r="K231">
        <v>1.1112357558234212</v>
      </c>
      <c r="L231">
        <v>0.44836850332160999</v>
      </c>
    </row>
    <row r="232" spans="1:12" x14ac:dyDescent="0.3">
      <c r="A232" s="1">
        <v>45374</v>
      </c>
      <c r="B232" t="s">
        <v>15</v>
      </c>
      <c r="C232" t="s">
        <v>18</v>
      </c>
      <c r="D232" t="s">
        <v>14</v>
      </c>
      <c r="E232">
        <v>445126</v>
      </c>
      <c r="F232">
        <v>228322</v>
      </c>
      <c r="G232">
        <v>495323</v>
      </c>
      <c r="H232">
        <v>4.9000000000000004</v>
      </c>
      <c r="I232">
        <v>13</v>
      </c>
      <c r="J232">
        <v>216804</v>
      </c>
      <c r="K232">
        <v>0.8986580473751471</v>
      </c>
      <c r="L232">
        <v>0.48706209028454867</v>
      </c>
    </row>
    <row r="233" spans="1:12" x14ac:dyDescent="0.3">
      <c r="A233" s="1">
        <v>45961</v>
      </c>
      <c r="B233" t="s">
        <v>15</v>
      </c>
      <c r="C233" t="s">
        <v>16</v>
      </c>
      <c r="D233" t="s">
        <v>14</v>
      </c>
      <c r="E233">
        <v>184668</v>
      </c>
      <c r="F233">
        <v>84809</v>
      </c>
      <c r="G233">
        <v>163794</v>
      </c>
      <c r="H233">
        <v>4.8</v>
      </c>
      <c r="I233">
        <v>8</v>
      </c>
      <c r="J233">
        <v>99859</v>
      </c>
      <c r="K233">
        <v>1.1274405655884832</v>
      </c>
      <c r="L233">
        <v>0.54074880325773822</v>
      </c>
    </row>
    <row r="234" spans="1:12" x14ac:dyDescent="0.3">
      <c r="A234" s="1">
        <v>45343</v>
      </c>
      <c r="B234" t="s">
        <v>15</v>
      </c>
      <c r="C234" t="s">
        <v>18</v>
      </c>
      <c r="D234" t="s">
        <v>14</v>
      </c>
      <c r="E234">
        <v>324260</v>
      </c>
      <c r="F234">
        <v>199064</v>
      </c>
      <c r="G234">
        <v>314870</v>
      </c>
      <c r="H234">
        <v>3.9</v>
      </c>
      <c r="I234">
        <v>8</v>
      </c>
      <c r="J234">
        <v>125196</v>
      </c>
      <c r="K234">
        <v>1.0298218312319369</v>
      </c>
      <c r="L234">
        <v>0.38609757601924383</v>
      </c>
    </row>
    <row r="235" spans="1:12" x14ac:dyDescent="0.3">
      <c r="A235" s="1">
        <v>45890</v>
      </c>
      <c r="B235" t="s">
        <v>15</v>
      </c>
      <c r="C235" t="s">
        <v>16</v>
      </c>
      <c r="D235" t="s">
        <v>14</v>
      </c>
      <c r="E235">
        <v>384796</v>
      </c>
      <c r="F235">
        <v>195332</v>
      </c>
      <c r="G235">
        <v>378352</v>
      </c>
      <c r="H235">
        <v>4.5</v>
      </c>
      <c r="I235">
        <v>5</v>
      </c>
      <c r="J235">
        <v>189464</v>
      </c>
      <c r="K235">
        <v>1.0170317587854696</v>
      </c>
      <c r="L235">
        <v>0.49237518061518309</v>
      </c>
    </row>
    <row r="236" spans="1:12" x14ac:dyDescent="0.3">
      <c r="A236" s="1">
        <v>45900</v>
      </c>
      <c r="B236" t="s">
        <v>15</v>
      </c>
      <c r="C236" t="s">
        <v>18</v>
      </c>
      <c r="D236" t="s">
        <v>14</v>
      </c>
      <c r="E236">
        <v>137870</v>
      </c>
      <c r="F236">
        <v>71925</v>
      </c>
      <c r="G236">
        <v>127206</v>
      </c>
      <c r="H236">
        <v>3.6</v>
      </c>
      <c r="I236">
        <v>7</v>
      </c>
      <c r="J236">
        <v>65945</v>
      </c>
      <c r="K236">
        <v>1.0838325236230995</v>
      </c>
      <c r="L236">
        <v>0.47831290345978095</v>
      </c>
    </row>
    <row r="237" spans="1:12" x14ac:dyDescent="0.3">
      <c r="A237" s="1">
        <v>45369</v>
      </c>
      <c r="B237" t="s">
        <v>12</v>
      </c>
      <c r="C237" t="s">
        <v>16</v>
      </c>
      <c r="D237" t="s">
        <v>14</v>
      </c>
      <c r="E237">
        <v>162117</v>
      </c>
      <c r="F237">
        <v>88080</v>
      </c>
      <c r="G237">
        <v>183690</v>
      </c>
      <c r="H237">
        <v>4.8</v>
      </c>
      <c r="I237">
        <v>7</v>
      </c>
      <c r="J237">
        <v>74037</v>
      </c>
      <c r="K237">
        <v>0.88255756981871636</v>
      </c>
      <c r="L237">
        <v>0.45668868779955218</v>
      </c>
    </row>
    <row r="238" spans="1:12" x14ac:dyDescent="0.3">
      <c r="A238" s="1">
        <v>45833</v>
      </c>
      <c r="B238" t="s">
        <v>12</v>
      </c>
      <c r="C238" t="s">
        <v>10</v>
      </c>
      <c r="D238" t="s">
        <v>14</v>
      </c>
      <c r="E238">
        <v>224159</v>
      </c>
      <c r="F238">
        <v>122788</v>
      </c>
      <c r="G238">
        <v>245166</v>
      </c>
      <c r="H238">
        <v>3.6</v>
      </c>
      <c r="I238">
        <v>14</v>
      </c>
      <c r="J238">
        <v>101371</v>
      </c>
      <c r="K238">
        <v>0.91431519868170952</v>
      </c>
      <c r="L238">
        <v>0.45222810594265678</v>
      </c>
    </row>
    <row r="239" spans="1:12" x14ac:dyDescent="0.3">
      <c r="A239" s="1">
        <v>45533</v>
      </c>
      <c r="B239" t="s">
        <v>19</v>
      </c>
      <c r="C239" t="s">
        <v>18</v>
      </c>
      <c r="D239" t="s">
        <v>14</v>
      </c>
      <c r="E239">
        <v>256242</v>
      </c>
      <c r="F239">
        <v>93057</v>
      </c>
      <c r="G239">
        <v>234467</v>
      </c>
      <c r="H239">
        <v>3.6</v>
      </c>
      <c r="I239">
        <v>11</v>
      </c>
      <c r="J239">
        <v>163185</v>
      </c>
      <c r="K239">
        <v>1.092870212012778</v>
      </c>
      <c r="L239">
        <v>0.63683939401034961</v>
      </c>
    </row>
    <row r="240" spans="1:12" x14ac:dyDescent="0.3">
      <c r="A240" s="1">
        <v>45667</v>
      </c>
      <c r="B240" t="s">
        <v>19</v>
      </c>
      <c r="C240" t="s">
        <v>13</v>
      </c>
      <c r="D240" t="s">
        <v>14</v>
      </c>
      <c r="E240">
        <v>236377</v>
      </c>
      <c r="F240">
        <v>93271</v>
      </c>
      <c r="G240">
        <v>254814</v>
      </c>
      <c r="H240">
        <v>4</v>
      </c>
      <c r="I240">
        <v>11</v>
      </c>
      <c r="J240">
        <v>143106</v>
      </c>
      <c r="K240">
        <v>0.92764526281915438</v>
      </c>
      <c r="L240">
        <v>0.60541423234917102</v>
      </c>
    </row>
    <row r="241" spans="1:12" x14ac:dyDescent="0.3">
      <c r="A241" s="1">
        <v>45800</v>
      </c>
      <c r="B241" t="s">
        <v>19</v>
      </c>
      <c r="C241" t="s">
        <v>16</v>
      </c>
      <c r="D241" t="s">
        <v>14</v>
      </c>
      <c r="E241">
        <v>27727</v>
      </c>
      <c r="F241">
        <v>11780</v>
      </c>
      <c r="G241">
        <v>29189</v>
      </c>
      <c r="H241">
        <v>4.2</v>
      </c>
      <c r="I241">
        <v>2</v>
      </c>
      <c r="J241">
        <v>15947</v>
      </c>
      <c r="K241">
        <v>0.94991263832265582</v>
      </c>
      <c r="L241">
        <v>0.57514336206585637</v>
      </c>
    </row>
    <row r="242" spans="1:12" x14ac:dyDescent="0.3">
      <c r="A242" s="1">
        <v>45928</v>
      </c>
      <c r="B242" t="s">
        <v>12</v>
      </c>
      <c r="C242" t="s">
        <v>10</v>
      </c>
      <c r="D242" t="s">
        <v>14</v>
      </c>
      <c r="E242">
        <v>327898</v>
      </c>
      <c r="F242">
        <v>167120</v>
      </c>
      <c r="G242">
        <v>359249</v>
      </c>
      <c r="H242">
        <v>4.4000000000000004</v>
      </c>
      <c r="I242">
        <v>6</v>
      </c>
      <c r="J242">
        <v>160778</v>
      </c>
      <c r="K242">
        <v>0.91273183780608991</v>
      </c>
      <c r="L242">
        <v>0.4903293097243655</v>
      </c>
    </row>
    <row r="243" spans="1:12" x14ac:dyDescent="0.3">
      <c r="A243" s="1">
        <v>45816</v>
      </c>
      <c r="B243" t="s">
        <v>9</v>
      </c>
      <c r="C243" t="s">
        <v>16</v>
      </c>
      <c r="D243" t="s">
        <v>14</v>
      </c>
      <c r="E243">
        <v>287833</v>
      </c>
      <c r="F243">
        <v>154806</v>
      </c>
      <c r="G243">
        <v>320624</v>
      </c>
      <c r="H243">
        <v>3.6</v>
      </c>
      <c r="I243">
        <v>12</v>
      </c>
      <c r="J243">
        <v>133027</v>
      </c>
      <c r="K243">
        <v>0.89772755626528267</v>
      </c>
      <c r="L243">
        <v>0.46216729839872428</v>
      </c>
    </row>
    <row r="244" spans="1:12" x14ac:dyDescent="0.3">
      <c r="A244" s="1">
        <v>45644</v>
      </c>
      <c r="B244" t="s">
        <v>12</v>
      </c>
      <c r="C244" t="s">
        <v>16</v>
      </c>
      <c r="D244" t="s">
        <v>14</v>
      </c>
      <c r="E244">
        <v>477684</v>
      </c>
      <c r="F244">
        <v>226076</v>
      </c>
      <c r="G244">
        <v>525241</v>
      </c>
      <c r="H244">
        <v>4.5</v>
      </c>
      <c r="I244">
        <v>3</v>
      </c>
      <c r="J244">
        <v>251608</v>
      </c>
      <c r="K244">
        <v>0.90945680173482268</v>
      </c>
      <c r="L244">
        <v>0.52672478039875736</v>
      </c>
    </row>
    <row r="245" spans="1:12" x14ac:dyDescent="0.3">
      <c r="A245" s="1">
        <v>45719</v>
      </c>
      <c r="B245" t="s">
        <v>12</v>
      </c>
      <c r="C245" t="s">
        <v>13</v>
      </c>
      <c r="D245" t="s">
        <v>14</v>
      </c>
      <c r="E245">
        <v>135703</v>
      </c>
      <c r="F245">
        <v>58644</v>
      </c>
      <c r="G245">
        <v>143036</v>
      </c>
      <c r="H245">
        <v>3.8</v>
      </c>
      <c r="I245">
        <v>5</v>
      </c>
      <c r="J245">
        <v>77059</v>
      </c>
      <c r="K245">
        <v>0.94873318605106405</v>
      </c>
      <c r="L245">
        <v>0.56785037913679137</v>
      </c>
    </row>
    <row r="246" spans="1:12" x14ac:dyDescent="0.3">
      <c r="A246" s="1">
        <v>45434</v>
      </c>
      <c r="B246" t="s">
        <v>12</v>
      </c>
      <c r="C246" t="s">
        <v>10</v>
      </c>
      <c r="D246" t="s">
        <v>14</v>
      </c>
      <c r="E246">
        <v>106502</v>
      </c>
      <c r="F246">
        <v>46714</v>
      </c>
      <c r="G246">
        <v>111710</v>
      </c>
      <c r="H246">
        <v>4.5</v>
      </c>
      <c r="I246">
        <v>4</v>
      </c>
      <c r="J246">
        <v>59788</v>
      </c>
      <c r="K246">
        <v>0.95337928565034469</v>
      </c>
      <c r="L246">
        <v>0.56137912903044074</v>
      </c>
    </row>
    <row r="247" spans="1:12" x14ac:dyDescent="0.3">
      <c r="A247" s="1">
        <v>45730</v>
      </c>
      <c r="B247" t="s">
        <v>15</v>
      </c>
      <c r="C247" t="s">
        <v>16</v>
      </c>
      <c r="D247" t="s">
        <v>14</v>
      </c>
      <c r="E247">
        <v>353932</v>
      </c>
      <c r="F247">
        <v>169905</v>
      </c>
      <c r="G247">
        <v>366187</v>
      </c>
      <c r="H247">
        <v>3.6</v>
      </c>
      <c r="I247">
        <v>4</v>
      </c>
      <c r="J247">
        <v>184027</v>
      </c>
      <c r="K247">
        <v>0.96653349245057851</v>
      </c>
      <c r="L247">
        <v>0.51995015991772431</v>
      </c>
    </row>
    <row r="248" spans="1:12" x14ac:dyDescent="0.3">
      <c r="A248" s="1">
        <v>45326</v>
      </c>
      <c r="B248" t="s">
        <v>15</v>
      </c>
      <c r="C248" t="s">
        <v>10</v>
      </c>
      <c r="D248" t="s">
        <v>14</v>
      </c>
      <c r="E248">
        <v>454844</v>
      </c>
      <c r="F248">
        <v>205982</v>
      </c>
      <c r="G248">
        <v>508150</v>
      </c>
      <c r="H248">
        <v>4.4000000000000004</v>
      </c>
      <c r="I248">
        <v>13</v>
      </c>
      <c r="J248">
        <v>248862</v>
      </c>
      <c r="K248">
        <v>0.89509790416215684</v>
      </c>
      <c r="L248">
        <v>0.54713704039187061</v>
      </c>
    </row>
    <row r="249" spans="1:12" x14ac:dyDescent="0.3">
      <c r="A249" s="1">
        <v>45794</v>
      </c>
      <c r="B249" t="s">
        <v>19</v>
      </c>
      <c r="C249" t="s">
        <v>18</v>
      </c>
      <c r="D249" t="s">
        <v>14</v>
      </c>
      <c r="E249">
        <v>497063</v>
      </c>
      <c r="F249">
        <v>206925</v>
      </c>
      <c r="G249">
        <v>504598</v>
      </c>
      <c r="H249">
        <v>4.0999999999999996</v>
      </c>
      <c r="I249">
        <v>2</v>
      </c>
      <c r="J249">
        <v>290138</v>
      </c>
      <c r="K249">
        <v>0.98506732091684868</v>
      </c>
      <c r="L249">
        <v>0.58370468129794417</v>
      </c>
    </row>
    <row r="250" spans="1:12" x14ac:dyDescent="0.3">
      <c r="A250" s="1">
        <v>45880</v>
      </c>
      <c r="B250" t="s">
        <v>19</v>
      </c>
      <c r="C250" t="s">
        <v>18</v>
      </c>
      <c r="D250" t="s">
        <v>14</v>
      </c>
      <c r="E250">
        <v>415237</v>
      </c>
      <c r="F250">
        <v>244874</v>
      </c>
      <c r="G250">
        <v>439405</v>
      </c>
      <c r="H250">
        <v>3.8</v>
      </c>
      <c r="I250">
        <v>4</v>
      </c>
      <c r="J250">
        <v>170363</v>
      </c>
      <c r="K250">
        <v>0.94499835004153343</v>
      </c>
      <c r="L250">
        <v>0.41027894913025575</v>
      </c>
    </row>
    <row r="251" spans="1:12" x14ac:dyDescent="0.3">
      <c r="A251" s="1">
        <v>45937</v>
      </c>
      <c r="B251" t="s">
        <v>12</v>
      </c>
      <c r="C251" t="s">
        <v>10</v>
      </c>
      <c r="D251" t="s">
        <v>14</v>
      </c>
      <c r="E251">
        <v>44924</v>
      </c>
      <c r="F251">
        <v>16942</v>
      </c>
      <c r="G251">
        <v>48091</v>
      </c>
      <c r="H251">
        <v>4.4000000000000004</v>
      </c>
      <c r="I251">
        <v>8</v>
      </c>
      <c r="J251">
        <v>27982</v>
      </c>
      <c r="K251">
        <v>0.93414568214426819</v>
      </c>
      <c r="L251">
        <v>0.62287418751669488</v>
      </c>
    </row>
    <row r="252" spans="1:12" x14ac:dyDescent="0.3">
      <c r="A252" s="1">
        <v>45376</v>
      </c>
      <c r="B252" t="s">
        <v>19</v>
      </c>
      <c r="C252" t="s">
        <v>10</v>
      </c>
      <c r="D252" t="s">
        <v>14</v>
      </c>
      <c r="E252">
        <v>40341</v>
      </c>
      <c r="F252">
        <v>21023</v>
      </c>
      <c r="G252">
        <v>43135</v>
      </c>
      <c r="H252">
        <v>4.5999999999999996</v>
      </c>
      <c r="I252">
        <v>6</v>
      </c>
      <c r="J252">
        <v>19318</v>
      </c>
      <c r="K252">
        <v>0.9352266141184653</v>
      </c>
      <c r="L252">
        <v>0.47886765325599268</v>
      </c>
    </row>
    <row r="253" spans="1:12" x14ac:dyDescent="0.3">
      <c r="A253" s="1">
        <v>45434</v>
      </c>
      <c r="B253" t="s">
        <v>15</v>
      </c>
      <c r="C253" t="s">
        <v>13</v>
      </c>
      <c r="D253" t="s">
        <v>14</v>
      </c>
      <c r="E253">
        <v>231427</v>
      </c>
      <c r="F253">
        <v>117760</v>
      </c>
      <c r="G253">
        <v>234185</v>
      </c>
      <c r="H253">
        <v>4.4000000000000004</v>
      </c>
      <c r="I253">
        <v>14</v>
      </c>
      <c r="J253">
        <v>113667</v>
      </c>
      <c r="K253">
        <v>0.98822298610073234</v>
      </c>
      <c r="L253">
        <v>0.49115703872063327</v>
      </c>
    </row>
    <row r="254" spans="1:12" x14ac:dyDescent="0.3">
      <c r="A254" s="1">
        <v>45459</v>
      </c>
      <c r="B254" t="s">
        <v>9</v>
      </c>
      <c r="C254" t="s">
        <v>16</v>
      </c>
      <c r="D254" t="s">
        <v>14</v>
      </c>
      <c r="E254">
        <v>353677</v>
      </c>
      <c r="F254">
        <v>156125</v>
      </c>
      <c r="G254">
        <v>306904</v>
      </c>
      <c r="H254">
        <v>4.4000000000000004</v>
      </c>
      <c r="I254">
        <v>6</v>
      </c>
      <c r="J254">
        <v>197552</v>
      </c>
      <c r="K254">
        <v>1.1524027057320856</v>
      </c>
      <c r="L254">
        <v>0.55856614933965176</v>
      </c>
    </row>
    <row r="255" spans="1:12" x14ac:dyDescent="0.3">
      <c r="A255" s="1">
        <v>45831</v>
      </c>
      <c r="B255" t="s">
        <v>12</v>
      </c>
      <c r="C255" t="s">
        <v>13</v>
      </c>
      <c r="D255" t="s">
        <v>14</v>
      </c>
      <c r="E255">
        <v>324493</v>
      </c>
      <c r="F255">
        <v>101514</v>
      </c>
      <c r="G255">
        <v>362472</v>
      </c>
      <c r="H255">
        <v>4.5</v>
      </c>
      <c r="I255">
        <v>0</v>
      </c>
      <c r="J255">
        <v>222979</v>
      </c>
      <c r="K255">
        <v>0.89522225164978264</v>
      </c>
      <c r="L255">
        <v>0.68716120224473254</v>
      </c>
    </row>
    <row r="256" spans="1:12" x14ac:dyDescent="0.3">
      <c r="A256" s="1">
        <v>45557</v>
      </c>
      <c r="B256" t="s">
        <v>19</v>
      </c>
      <c r="C256" t="s">
        <v>16</v>
      </c>
      <c r="D256" t="s">
        <v>14</v>
      </c>
      <c r="E256">
        <v>466956</v>
      </c>
      <c r="F256">
        <v>240894</v>
      </c>
      <c r="G256">
        <v>481857</v>
      </c>
      <c r="H256">
        <v>3.7</v>
      </c>
      <c r="I256">
        <v>5</v>
      </c>
      <c r="J256">
        <v>226062</v>
      </c>
      <c r="K256">
        <v>0.96907588765961683</v>
      </c>
      <c r="L256">
        <v>0.48411841800940558</v>
      </c>
    </row>
    <row r="257" spans="1:12" x14ac:dyDescent="0.3">
      <c r="A257" s="1">
        <v>45627</v>
      </c>
      <c r="B257" t="s">
        <v>15</v>
      </c>
      <c r="C257" t="s">
        <v>16</v>
      </c>
      <c r="D257" t="s">
        <v>14</v>
      </c>
      <c r="E257">
        <v>148918</v>
      </c>
      <c r="F257">
        <v>54867</v>
      </c>
      <c r="G257">
        <v>156347</v>
      </c>
      <c r="H257">
        <v>3.7</v>
      </c>
      <c r="I257">
        <v>8</v>
      </c>
      <c r="J257">
        <v>94051</v>
      </c>
      <c r="K257">
        <v>0.95248389799612398</v>
      </c>
      <c r="L257">
        <v>0.63156233631931669</v>
      </c>
    </row>
    <row r="258" spans="1:12" x14ac:dyDescent="0.3">
      <c r="A258" s="1">
        <v>45828</v>
      </c>
      <c r="B258" t="s">
        <v>12</v>
      </c>
      <c r="C258" t="s">
        <v>13</v>
      </c>
      <c r="D258" t="s">
        <v>14</v>
      </c>
      <c r="E258">
        <v>401099</v>
      </c>
      <c r="F258">
        <v>133266</v>
      </c>
      <c r="G258">
        <v>392976</v>
      </c>
      <c r="H258">
        <v>4</v>
      </c>
      <c r="I258">
        <v>11</v>
      </c>
      <c r="J258">
        <v>267833</v>
      </c>
      <c r="K258">
        <v>1.0206704735149221</v>
      </c>
      <c r="L258">
        <v>0.66774786274710229</v>
      </c>
    </row>
    <row r="259" spans="1:12" x14ac:dyDescent="0.3">
      <c r="A259" s="1">
        <v>45427</v>
      </c>
      <c r="B259" t="s">
        <v>12</v>
      </c>
      <c r="C259" t="s">
        <v>13</v>
      </c>
      <c r="D259" t="s">
        <v>14</v>
      </c>
      <c r="E259">
        <v>332754</v>
      </c>
      <c r="F259">
        <v>189485</v>
      </c>
      <c r="G259">
        <v>308606</v>
      </c>
      <c r="H259">
        <v>3.7</v>
      </c>
      <c r="I259">
        <v>15</v>
      </c>
      <c r="J259">
        <v>143269</v>
      </c>
      <c r="K259">
        <v>1.0782486406615555</v>
      </c>
      <c r="L259">
        <v>0.4305553051202991</v>
      </c>
    </row>
    <row r="260" spans="1:12" x14ac:dyDescent="0.3">
      <c r="A260" s="1">
        <v>45758</v>
      </c>
      <c r="B260" t="s">
        <v>15</v>
      </c>
      <c r="C260" t="s">
        <v>16</v>
      </c>
      <c r="D260" t="s">
        <v>14</v>
      </c>
      <c r="E260">
        <v>260497</v>
      </c>
      <c r="F260">
        <v>152303</v>
      </c>
      <c r="G260">
        <v>275738</v>
      </c>
      <c r="H260">
        <v>5</v>
      </c>
      <c r="I260">
        <v>1</v>
      </c>
      <c r="J260">
        <v>108194</v>
      </c>
      <c r="K260">
        <v>0.94472651575045874</v>
      </c>
      <c r="L260">
        <v>0.41533683689255541</v>
      </c>
    </row>
    <row r="261" spans="1:12" x14ac:dyDescent="0.3">
      <c r="A261" s="1">
        <v>45374</v>
      </c>
      <c r="B261" t="s">
        <v>19</v>
      </c>
      <c r="C261" t="s">
        <v>18</v>
      </c>
      <c r="D261" t="s">
        <v>14</v>
      </c>
      <c r="E261">
        <v>212056</v>
      </c>
      <c r="F261">
        <v>112605</v>
      </c>
      <c r="G261">
        <v>186675</v>
      </c>
      <c r="H261">
        <v>4.5</v>
      </c>
      <c r="I261">
        <v>11</v>
      </c>
      <c r="J261">
        <v>99451</v>
      </c>
      <c r="K261">
        <v>1.1359635730547744</v>
      </c>
      <c r="L261">
        <v>0.46898460783943863</v>
      </c>
    </row>
    <row r="262" spans="1:12" x14ac:dyDescent="0.3">
      <c r="A262" s="1">
        <v>45678</v>
      </c>
      <c r="B262" t="s">
        <v>12</v>
      </c>
      <c r="C262" t="s">
        <v>16</v>
      </c>
      <c r="D262" t="s">
        <v>14</v>
      </c>
      <c r="E262">
        <v>484062</v>
      </c>
      <c r="F262">
        <v>284945</v>
      </c>
      <c r="G262">
        <v>469219</v>
      </c>
      <c r="H262">
        <v>4.3</v>
      </c>
      <c r="I262">
        <v>2</v>
      </c>
      <c r="J262">
        <v>199117</v>
      </c>
      <c r="K262">
        <v>1.0316334163791321</v>
      </c>
      <c r="L262">
        <v>0.4113460672393206</v>
      </c>
    </row>
    <row r="263" spans="1:12" x14ac:dyDescent="0.3">
      <c r="A263" s="1">
        <v>45511</v>
      </c>
      <c r="B263" t="s">
        <v>12</v>
      </c>
      <c r="C263" t="s">
        <v>18</v>
      </c>
      <c r="D263" t="s">
        <v>14</v>
      </c>
      <c r="E263">
        <v>329752</v>
      </c>
      <c r="F263">
        <v>185501</v>
      </c>
      <c r="G263">
        <v>286183</v>
      </c>
      <c r="H263">
        <v>4.4000000000000004</v>
      </c>
      <c r="I263">
        <v>9</v>
      </c>
      <c r="J263">
        <v>144251</v>
      </c>
      <c r="K263">
        <v>1.1522417474133684</v>
      </c>
      <c r="L263">
        <v>0.43745299497804413</v>
      </c>
    </row>
    <row r="264" spans="1:12" x14ac:dyDescent="0.3">
      <c r="A264" s="1">
        <v>45316</v>
      </c>
      <c r="B264" t="s">
        <v>12</v>
      </c>
      <c r="C264" t="s">
        <v>10</v>
      </c>
      <c r="D264" t="s">
        <v>14</v>
      </c>
      <c r="E264">
        <v>347462</v>
      </c>
      <c r="F264">
        <v>115571</v>
      </c>
      <c r="G264">
        <v>351747</v>
      </c>
      <c r="H264">
        <v>4.4000000000000004</v>
      </c>
      <c r="I264">
        <v>10</v>
      </c>
      <c r="J264">
        <v>231891</v>
      </c>
      <c r="K264">
        <v>0.98781794869607986</v>
      </c>
      <c r="L264">
        <v>0.66738521046905852</v>
      </c>
    </row>
    <row r="265" spans="1:12" x14ac:dyDescent="0.3">
      <c r="A265" s="1">
        <v>45677</v>
      </c>
      <c r="B265" t="s">
        <v>15</v>
      </c>
      <c r="C265" t="s">
        <v>18</v>
      </c>
      <c r="D265" t="s">
        <v>14</v>
      </c>
      <c r="E265">
        <v>126981</v>
      </c>
      <c r="F265">
        <v>48241</v>
      </c>
      <c r="G265">
        <v>113156</v>
      </c>
      <c r="H265">
        <v>4.3</v>
      </c>
      <c r="I265">
        <v>4</v>
      </c>
      <c r="J265">
        <v>78740</v>
      </c>
      <c r="K265">
        <v>1.1221764643501007</v>
      </c>
      <c r="L265">
        <v>0.62009276978445593</v>
      </c>
    </row>
    <row r="266" spans="1:12" x14ac:dyDescent="0.3">
      <c r="A266" s="1">
        <v>45478</v>
      </c>
      <c r="B266" t="s">
        <v>12</v>
      </c>
      <c r="C266" t="s">
        <v>13</v>
      </c>
      <c r="D266" t="s">
        <v>14</v>
      </c>
      <c r="E266">
        <v>220448</v>
      </c>
      <c r="F266">
        <v>72776</v>
      </c>
      <c r="G266">
        <v>237321</v>
      </c>
      <c r="H266">
        <v>4.4000000000000004</v>
      </c>
      <c r="I266">
        <v>6</v>
      </c>
      <c r="J266">
        <v>147672</v>
      </c>
      <c r="K266">
        <v>0.92890220418757719</v>
      </c>
      <c r="L266">
        <v>0.66987226012483669</v>
      </c>
    </row>
    <row r="267" spans="1:12" x14ac:dyDescent="0.3">
      <c r="A267" s="1">
        <v>45455</v>
      </c>
      <c r="B267" t="s">
        <v>19</v>
      </c>
      <c r="C267" t="s">
        <v>18</v>
      </c>
      <c r="D267" t="s">
        <v>14</v>
      </c>
      <c r="E267">
        <v>473547</v>
      </c>
      <c r="F267">
        <v>229048</v>
      </c>
      <c r="G267">
        <v>522467</v>
      </c>
      <c r="H267">
        <v>3.6</v>
      </c>
      <c r="I267">
        <v>10</v>
      </c>
      <c r="J267">
        <v>244499</v>
      </c>
      <c r="K267">
        <v>0.90636729209691713</v>
      </c>
      <c r="L267">
        <v>0.5163141145440685</v>
      </c>
    </row>
    <row r="268" spans="1:12" x14ac:dyDescent="0.3">
      <c r="A268" s="1">
        <v>45964</v>
      </c>
      <c r="B268" t="s">
        <v>19</v>
      </c>
      <c r="C268" t="s">
        <v>13</v>
      </c>
      <c r="D268" t="s">
        <v>14</v>
      </c>
      <c r="E268">
        <v>371659</v>
      </c>
      <c r="F268">
        <v>219492</v>
      </c>
      <c r="G268">
        <v>385035</v>
      </c>
      <c r="H268">
        <v>4.5</v>
      </c>
      <c r="I268">
        <v>1</v>
      </c>
      <c r="J268">
        <v>152167</v>
      </c>
      <c r="K268">
        <v>0.96526030101159632</v>
      </c>
      <c r="L268">
        <v>0.40942638278637139</v>
      </c>
    </row>
    <row r="269" spans="1:12" x14ac:dyDescent="0.3">
      <c r="A269" s="1">
        <v>45312</v>
      </c>
      <c r="B269" t="s">
        <v>15</v>
      </c>
      <c r="C269" t="s">
        <v>10</v>
      </c>
      <c r="D269" t="s">
        <v>14</v>
      </c>
      <c r="E269">
        <v>63352</v>
      </c>
      <c r="F269">
        <v>32903</v>
      </c>
      <c r="G269">
        <v>66927</v>
      </c>
      <c r="H269">
        <v>4.2</v>
      </c>
      <c r="I269">
        <v>7</v>
      </c>
      <c r="J269">
        <v>30449</v>
      </c>
      <c r="K269">
        <v>0.94658359107684487</v>
      </c>
      <c r="L269">
        <v>0.48063202424548557</v>
      </c>
    </row>
    <row r="270" spans="1:12" x14ac:dyDescent="0.3">
      <c r="A270" s="1">
        <v>45569</v>
      </c>
      <c r="B270" t="s">
        <v>19</v>
      </c>
      <c r="C270" t="s">
        <v>16</v>
      </c>
      <c r="D270" t="s">
        <v>14</v>
      </c>
      <c r="E270">
        <v>289720</v>
      </c>
      <c r="F270">
        <v>137551</v>
      </c>
      <c r="G270">
        <v>298568</v>
      </c>
      <c r="H270">
        <v>4.4000000000000004</v>
      </c>
      <c r="I270">
        <v>9</v>
      </c>
      <c r="J270">
        <v>152169</v>
      </c>
      <c r="K270">
        <v>0.97036520993542508</v>
      </c>
      <c r="L270">
        <v>0.52522780615766951</v>
      </c>
    </row>
    <row r="271" spans="1:12" x14ac:dyDescent="0.3">
      <c r="A271" s="1">
        <v>45705</v>
      </c>
      <c r="B271" t="s">
        <v>9</v>
      </c>
      <c r="C271" t="s">
        <v>10</v>
      </c>
      <c r="D271" t="s">
        <v>14</v>
      </c>
      <c r="E271">
        <v>155486</v>
      </c>
      <c r="F271">
        <v>56133</v>
      </c>
      <c r="G271">
        <v>151512</v>
      </c>
      <c r="H271">
        <v>4.0999999999999996</v>
      </c>
      <c r="I271">
        <v>13</v>
      </c>
      <c r="J271">
        <v>99353</v>
      </c>
      <c r="K271">
        <v>1.0262289455620677</v>
      </c>
      <c r="L271">
        <v>0.63898357408384032</v>
      </c>
    </row>
    <row r="272" spans="1:12" x14ac:dyDescent="0.3">
      <c r="A272" s="1">
        <v>45740</v>
      </c>
      <c r="B272" t="s">
        <v>12</v>
      </c>
      <c r="C272" t="s">
        <v>10</v>
      </c>
      <c r="D272" t="s">
        <v>14</v>
      </c>
      <c r="E272">
        <v>259031</v>
      </c>
      <c r="F272">
        <v>101575</v>
      </c>
      <c r="G272">
        <v>271389</v>
      </c>
      <c r="H272">
        <v>4.7</v>
      </c>
      <c r="I272">
        <v>8</v>
      </c>
      <c r="J272">
        <v>157456</v>
      </c>
      <c r="K272">
        <v>0.95446388762993339</v>
      </c>
      <c r="L272">
        <v>0.60786546783975659</v>
      </c>
    </row>
    <row r="273" spans="1:12" x14ac:dyDescent="0.3">
      <c r="A273" s="1">
        <v>45774</v>
      </c>
      <c r="B273" t="s">
        <v>9</v>
      </c>
      <c r="C273" t="s">
        <v>10</v>
      </c>
      <c r="D273" t="s">
        <v>14</v>
      </c>
      <c r="E273">
        <v>157603</v>
      </c>
      <c r="F273">
        <v>77496</v>
      </c>
      <c r="G273">
        <v>155803</v>
      </c>
      <c r="H273">
        <v>5</v>
      </c>
      <c r="I273">
        <v>4</v>
      </c>
      <c r="J273">
        <v>80107</v>
      </c>
      <c r="K273">
        <v>1.0115530509682098</v>
      </c>
      <c r="L273">
        <v>0.50828347176132438</v>
      </c>
    </row>
    <row r="274" spans="1:12" x14ac:dyDescent="0.3">
      <c r="A274" s="1">
        <v>45349</v>
      </c>
      <c r="B274" t="s">
        <v>19</v>
      </c>
      <c r="C274" t="s">
        <v>18</v>
      </c>
      <c r="D274" t="s">
        <v>14</v>
      </c>
      <c r="E274">
        <v>104913</v>
      </c>
      <c r="F274">
        <v>38412</v>
      </c>
      <c r="G274">
        <v>107818</v>
      </c>
      <c r="H274">
        <v>4.5</v>
      </c>
      <c r="I274">
        <v>12</v>
      </c>
      <c r="J274">
        <v>66501</v>
      </c>
      <c r="K274">
        <v>0.97305644697545868</v>
      </c>
      <c r="L274">
        <v>0.63386806210860425</v>
      </c>
    </row>
    <row r="275" spans="1:12" x14ac:dyDescent="0.3">
      <c r="A275" s="1">
        <v>45857</v>
      </c>
      <c r="B275" t="s">
        <v>9</v>
      </c>
      <c r="C275" t="s">
        <v>18</v>
      </c>
      <c r="D275" t="s">
        <v>14</v>
      </c>
      <c r="E275">
        <v>24389</v>
      </c>
      <c r="F275">
        <v>14590</v>
      </c>
      <c r="G275">
        <v>27252</v>
      </c>
      <c r="H275">
        <v>4.2</v>
      </c>
      <c r="I275">
        <v>9</v>
      </c>
      <c r="J275">
        <v>9799</v>
      </c>
      <c r="K275">
        <v>0.89494349038602672</v>
      </c>
      <c r="L275">
        <v>0.40177949075402847</v>
      </c>
    </row>
    <row r="276" spans="1:12" x14ac:dyDescent="0.3">
      <c r="A276" s="1">
        <v>46015</v>
      </c>
      <c r="B276" t="s">
        <v>12</v>
      </c>
      <c r="C276" t="s">
        <v>10</v>
      </c>
      <c r="D276" t="s">
        <v>14</v>
      </c>
      <c r="E276">
        <v>70708</v>
      </c>
      <c r="F276">
        <v>25901</v>
      </c>
      <c r="G276">
        <v>68248</v>
      </c>
      <c r="H276">
        <v>4.5</v>
      </c>
      <c r="I276">
        <v>5</v>
      </c>
      <c r="J276">
        <v>44807</v>
      </c>
      <c r="K276">
        <v>1.0360450123080529</v>
      </c>
      <c r="L276">
        <v>0.6336906714940318</v>
      </c>
    </row>
    <row r="277" spans="1:12" x14ac:dyDescent="0.3">
      <c r="A277" s="1">
        <v>45665</v>
      </c>
      <c r="B277" t="s">
        <v>15</v>
      </c>
      <c r="C277" t="s">
        <v>18</v>
      </c>
      <c r="D277" t="s">
        <v>14</v>
      </c>
      <c r="E277">
        <v>158725</v>
      </c>
      <c r="F277">
        <v>91012</v>
      </c>
      <c r="G277">
        <v>168314</v>
      </c>
      <c r="H277">
        <v>3.7</v>
      </c>
      <c r="I277">
        <v>5</v>
      </c>
      <c r="J277">
        <v>67713</v>
      </c>
      <c r="K277">
        <v>0.94302910037192389</v>
      </c>
      <c r="L277">
        <v>0.42660576468735234</v>
      </c>
    </row>
    <row r="278" spans="1:12" x14ac:dyDescent="0.3">
      <c r="A278" s="1">
        <v>45779</v>
      </c>
      <c r="B278" t="s">
        <v>15</v>
      </c>
      <c r="C278" t="s">
        <v>16</v>
      </c>
      <c r="D278" t="s">
        <v>14</v>
      </c>
      <c r="E278">
        <v>118212</v>
      </c>
      <c r="F278">
        <v>45685</v>
      </c>
      <c r="G278">
        <v>123761</v>
      </c>
      <c r="H278">
        <v>3.7</v>
      </c>
      <c r="I278">
        <v>15</v>
      </c>
      <c r="J278">
        <v>72527</v>
      </c>
      <c r="K278">
        <v>0.95516358141902535</v>
      </c>
      <c r="L278">
        <v>0.61353331303082592</v>
      </c>
    </row>
    <row r="279" spans="1:12" x14ac:dyDescent="0.3">
      <c r="A279" s="1">
        <v>45969</v>
      </c>
      <c r="B279" t="s">
        <v>9</v>
      </c>
      <c r="C279" t="s">
        <v>10</v>
      </c>
      <c r="D279" t="s">
        <v>14</v>
      </c>
      <c r="E279">
        <v>342553</v>
      </c>
      <c r="F279">
        <v>116153</v>
      </c>
      <c r="G279">
        <v>324447</v>
      </c>
      <c r="H279">
        <v>4.5</v>
      </c>
      <c r="I279">
        <v>11</v>
      </c>
      <c r="J279">
        <v>226400</v>
      </c>
      <c r="K279">
        <v>1.0558057248179209</v>
      </c>
      <c r="L279">
        <v>0.66091962411656002</v>
      </c>
    </row>
    <row r="280" spans="1:12" x14ac:dyDescent="0.3">
      <c r="A280" s="1">
        <v>45718</v>
      </c>
      <c r="B280" t="s">
        <v>15</v>
      </c>
      <c r="C280" t="s">
        <v>16</v>
      </c>
      <c r="D280" t="s">
        <v>14</v>
      </c>
      <c r="E280">
        <v>401011</v>
      </c>
      <c r="F280">
        <v>205488</v>
      </c>
      <c r="G280">
        <v>355549</v>
      </c>
      <c r="H280">
        <v>3.7</v>
      </c>
      <c r="I280">
        <v>3</v>
      </c>
      <c r="J280">
        <v>195523</v>
      </c>
      <c r="K280">
        <v>1.1278642324967867</v>
      </c>
      <c r="L280">
        <v>0.48757515379877359</v>
      </c>
    </row>
    <row r="281" spans="1:12" x14ac:dyDescent="0.3">
      <c r="A281" s="1">
        <v>45515</v>
      </c>
      <c r="B281" t="s">
        <v>9</v>
      </c>
      <c r="C281" t="s">
        <v>16</v>
      </c>
      <c r="D281" t="s">
        <v>14</v>
      </c>
      <c r="E281">
        <v>379589</v>
      </c>
      <c r="F281">
        <v>163431</v>
      </c>
      <c r="G281">
        <v>361087</v>
      </c>
      <c r="H281">
        <v>4.7</v>
      </c>
      <c r="I281">
        <v>3</v>
      </c>
      <c r="J281">
        <v>216158</v>
      </c>
      <c r="K281">
        <v>1.0512397289295932</v>
      </c>
      <c r="L281">
        <v>0.56945275021141284</v>
      </c>
    </row>
    <row r="282" spans="1:12" x14ac:dyDescent="0.3">
      <c r="A282" s="1">
        <v>45752</v>
      </c>
      <c r="B282" t="s">
        <v>15</v>
      </c>
      <c r="C282" t="s">
        <v>10</v>
      </c>
      <c r="D282" t="s">
        <v>14</v>
      </c>
      <c r="E282">
        <v>134954</v>
      </c>
      <c r="F282">
        <v>78168</v>
      </c>
      <c r="G282">
        <v>125568</v>
      </c>
      <c r="H282">
        <v>4</v>
      </c>
      <c r="I282">
        <v>12</v>
      </c>
      <c r="J282">
        <v>56786</v>
      </c>
      <c r="K282">
        <v>1.0747483435270133</v>
      </c>
      <c r="L282">
        <v>0.42078041406701544</v>
      </c>
    </row>
    <row r="283" spans="1:12" x14ac:dyDescent="0.3">
      <c r="A283" s="1">
        <v>45526</v>
      </c>
      <c r="B283" t="s">
        <v>19</v>
      </c>
      <c r="C283" t="s">
        <v>16</v>
      </c>
      <c r="D283" t="s">
        <v>14</v>
      </c>
      <c r="E283">
        <v>189980</v>
      </c>
      <c r="F283">
        <v>108215</v>
      </c>
      <c r="G283">
        <v>200540</v>
      </c>
      <c r="H283">
        <v>3.6</v>
      </c>
      <c r="I283">
        <v>1</v>
      </c>
      <c r="J283">
        <v>81765</v>
      </c>
      <c r="K283">
        <v>0.94734217612446392</v>
      </c>
      <c r="L283">
        <v>0.43038740920096852</v>
      </c>
    </row>
    <row r="284" spans="1:12" x14ac:dyDescent="0.3">
      <c r="A284" s="1">
        <v>45362</v>
      </c>
      <c r="B284" t="s">
        <v>19</v>
      </c>
      <c r="C284" t="s">
        <v>13</v>
      </c>
      <c r="D284" t="s">
        <v>14</v>
      </c>
      <c r="E284">
        <v>398388</v>
      </c>
      <c r="F284">
        <v>208627</v>
      </c>
      <c r="G284">
        <v>385787</v>
      </c>
      <c r="H284">
        <v>4.3</v>
      </c>
      <c r="I284">
        <v>12</v>
      </c>
      <c r="J284">
        <v>189761</v>
      </c>
      <c r="K284">
        <v>1.0326631016597241</v>
      </c>
      <c r="L284">
        <v>0.47632207797423615</v>
      </c>
    </row>
    <row r="285" spans="1:12" x14ac:dyDescent="0.3">
      <c r="A285" s="1">
        <v>45666</v>
      </c>
      <c r="B285" t="s">
        <v>12</v>
      </c>
      <c r="C285" t="s">
        <v>10</v>
      </c>
      <c r="D285" t="s">
        <v>14</v>
      </c>
      <c r="E285">
        <v>429149</v>
      </c>
      <c r="F285">
        <v>181643</v>
      </c>
      <c r="G285">
        <v>385764</v>
      </c>
      <c r="H285">
        <v>3.9</v>
      </c>
      <c r="I285">
        <v>2</v>
      </c>
      <c r="J285">
        <v>247506</v>
      </c>
      <c r="K285">
        <v>1.1124651341234537</v>
      </c>
      <c r="L285">
        <v>0.57673675110509404</v>
      </c>
    </row>
    <row r="286" spans="1:12" x14ac:dyDescent="0.3">
      <c r="A286" s="1">
        <v>45745</v>
      </c>
      <c r="B286" t="s">
        <v>12</v>
      </c>
      <c r="C286" t="s">
        <v>16</v>
      </c>
      <c r="D286" t="s">
        <v>14</v>
      </c>
      <c r="E286">
        <v>292579</v>
      </c>
      <c r="F286">
        <v>109720</v>
      </c>
      <c r="G286">
        <v>272033</v>
      </c>
      <c r="H286">
        <v>5</v>
      </c>
      <c r="I286">
        <v>5</v>
      </c>
      <c r="J286">
        <v>182859</v>
      </c>
      <c r="K286">
        <v>1.0755276014307087</v>
      </c>
      <c r="L286">
        <v>0.62499017359414044</v>
      </c>
    </row>
    <row r="287" spans="1:12" x14ac:dyDescent="0.3">
      <c r="A287" s="1">
        <v>45925</v>
      </c>
      <c r="B287" t="s">
        <v>19</v>
      </c>
      <c r="C287" t="s">
        <v>16</v>
      </c>
      <c r="D287" t="s">
        <v>14</v>
      </c>
      <c r="E287">
        <v>103078</v>
      </c>
      <c r="F287">
        <v>55110</v>
      </c>
      <c r="G287">
        <v>113722</v>
      </c>
      <c r="H287">
        <v>4.2</v>
      </c>
      <c r="I287">
        <v>5</v>
      </c>
      <c r="J287">
        <v>47968</v>
      </c>
      <c r="K287">
        <v>0.90640333444716059</v>
      </c>
      <c r="L287">
        <v>0.46535633209802285</v>
      </c>
    </row>
    <row r="288" spans="1:12" x14ac:dyDescent="0.3">
      <c r="A288" s="1">
        <v>45662</v>
      </c>
      <c r="B288" t="s">
        <v>12</v>
      </c>
      <c r="C288" t="s">
        <v>16</v>
      </c>
      <c r="D288" t="s">
        <v>14</v>
      </c>
      <c r="E288">
        <v>267336</v>
      </c>
      <c r="F288">
        <v>136083</v>
      </c>
      <c r="G288">
        <v>287578</v>
      </c>
      <c r="H288">
        <v>4.3</v>
      </c>
      <c r="I288">
        <v>15</v>
      </c>
      <c r="J288">
        <v>131253</v>
      </c>
      <c r="K288">
        <v>0.92961214001071013</v>
      </c>
      <c r="L288">
        <v>0.49096642427506959</v>
      </c>
    </row>
    <row r="289" spans="1:12" x14ac:dyDescent="0.3">
      <c r="A289" s="1">
        <v>45723</v>
      </c>
      <c r="B289" t="s">
        <v>9</v>
      </c>
      <c r="C289" t="s">
        <v>13</v>
      </c>
      <c r="D289" t="s">
        <v>14</v>
      </c>
      <c r="E289">
        <v>295052</v>
      </c>
      <c r="F289">
        <v>97432</v>
      </c>
      <c r="G289">
        <v>335969</v>
      </c>
      <c r="H289">
        <v>4.2</v>
      </c>
      <c r="I289">
        <v>0</v>
      </c>
      <c r="J289">
        <v>197620</v>
      </c>
      <c r="K289">
        <v>0.87821197789081729</v>
      </c>
      <c r="L289">
        <v>0.66978024212681153</v>
      </c>
    </row>
    <row r="290" spans="1:12" x14ac:dyDescent="0.3">
      <c r="A290" s="1">
        <v>45361</v>
      </c>
      <c r="B290" t="s">
        <v>9</v>
      </c>
      <c r="C290" t="s">
        <v>18</v>
      </c>
      <c r="D290" t="s">
        <v>14</v>
      </c>
      <c r="E290">
        <v>354761</v>
      </c>
      <c r="F290">
        <v>173970</v>
      </c>
      <c r="G290">
        <v>370019</v>
      </c>
      <c r="H290">
        <v>4.7</v>
      </c>
      <c r="I290">
        <v>3</v>
      </c>
      <c r="J290">
        <v>180791</v>
      </c>
      <c r="K290">
        <v>0.95876427967212496</v>
      </c>
      <c r="L290">
        <v>0.50961351445057379</v>
      </c>
    </row>
    <row r="291" spans="1:12" x14ac:dyDescent="0.3">
      <c r="A291" s="1">
        <v>45739</v>
      </c>
      <c r="B291" t="s">
        <v>15</v>
      </c>
      <c r="C291" t="s">
        <v>16</v>
      </c>
      <c r="D291" t="s">
        <v>14</v>
      </c>
      <c r="E291">
        <v>15368</v>
      </c>
      <c r="F291">
        <v>8556</v>
      </c>
      <c r="G291">
        <v>14165</v>
      </c>
      <c r="H291">
        <v>4.3</v>
      </c>
      <c r="I291">
        <v>12</v>
      </c>
      <c r="J291">
        <v>6812</v>
      </c>
      <c r="K291">
        <v>1.0849276385457112</v>
      </c>
      <c r="L291">
        <v>0.44325871941697031</v>
      </c>
    </row>
    <row r="292" spans="1:12" x14ac:dyDescent="0.3">
      <c r="A292" s="1">
        <v>45861</v>
      </c>
      <c r="B292" t="s">
        <v>19</v>
      </c>
      <c r="C292" t="s">
        <v>18</v>
      </c>
      <c r="D292" t="s">
        <v>14</v>
      </c>
      <c r="E292">
        <v>294697</v>
      </c>
      <c r="F292">
        <v>143022</v>
      </c>
      <c r="G292">
        <v>286541</v>
      </c>
      <c r="H292">
        <v>3.7</v>
      </c>
      <c r="I292">
        <v>14</v>
      </c>
      <c r="J292">
        <v>151675</v>
      </c>
      <c r="K292">
        <v>1.0284636404563396</v>
      </c>
      <c r="L292">
        <v>0.51468118100964722</v>
      </c>
    </row>
    <row r="293" spans="1:12" x14ac:dyDescent="0.3">
      <c r="A293" s="1">
        <v>45800</v>
      </c>
      <c r="B293" t="s">
        <v>12</v>
      </c>
      <c r="C293" t="s">
        <v>10</v>
      </c>
      <c r="D293" t="s">
        <v>14</v>
      </c>
      <c r="E293">
        <v>12462</v>
      </c>
      <c r="F293">
        <v>6813</v>
      </c>
      <c r="G293">
        <v>10655</v>
      </c>
      <c r="H293">
        <v>4.5</v>
      </c>
      <c r="I293">
        <v>4</v>
      </c>
      <c r="J293">
        <v>5649</v>
      </c>
      <c r="K293">
        <v>1.1695917409666823</v>
      </c>
      <c r="L293">
        <v>0.45329802599903707</v>
      </c>
    </row>
    <row r="294" spans="1:12" x14ac:dyDescent="0.3">
      <c r="A294" s="1">
        <v>45730</v>
      </c>
      <c r="B294" t="s">
        <v>15</v>
      </c>
      <c r="C294" t="s">
        <v>13</v>
      </c>
      <c r="D294" t="s">
        <v>14</v>
      </c>
      <c r="E294">
        <v>348030</v>
      </c>
      <c r="F294">
        <v>154076</v>
      </c>
      <c r="G294">
        <v>333330</v>
      </c>
      <c r="H294">
        <v>4.7</v>
      </c>
      <c r="I294">
        <v>8</v>
      </c>
      <c r="J294">
        <v>193954</v>
      </c>
      <c r="K294">
        <v>1.0441004410044101</v>
      </c>
      <c r="L294">
        <v>0.55729103812889691</v>
      </c>
    </row>
    <row r="295" spans="1:12" x14ac:dyDescent="0.3">
      <c r="A295" s="1">
        <v>45906</v>
      </c>
      <c r="B295" t="s">
        <v>12</v>
      </c>
      <c r="C295" t="s">
        <v>16</v>
      </c>
      <c r="D295" t="s">
        <v>14</v>
      </c>
      <c r="E295">
        <v>355783</v>
      </c>
      <c r="F295">
        <v>208028</v>
      </c>
      <c r="G295">
        <v>314764</v>
      </c>
      <c r="H295">
        <v>3.5</v>
      </c>
      <c r="I295">
        <v>14</v>
      </c>
      <c r="J295">
        <v>147755</v>
      </c>
      <c r="K295">
        <v>1.1303166817043881</v>
      </c>
      <c r="L295">
        <v>0.41529527830166141</v>
      </c>
    </row>
    <row r="296" spans="1:12" x14ac:dyDescent="0.3">
      <c r="A296" s="1">
        <v>45483</v>
      </c>
      <c r="B296" t="s">
        <v>19</v>
      </c>
      <c r="C296" t="s">
        <v>16</v>
      </c>
      <c r="D296" t="s">
        <v>14</v>
      </c>
      <c r="E296">
        <v>437700</v>
      </c>
      <c r="F296">
        <v>220398</v>
      </c>
      <c r="G296">
        <v>384147</v>
      </c>
      <c r="H296">
        <v>4.4000000000000004</v>
      </c>
      <c r="I296">
        <v>6</v>
      </c>
      <c r="J296">
        <v>217302</v>
      </c>
      <c r="K296">
        <v>1.1394075705394029</v>
      </c>
      <c r="L296">
        <v>0.49646333104866347</v>
      </c>
    </row>
    <row r="297" spans="1:12" x14ac:dyDescent="0.3">
      <c r="A297" s="1">
        <v>45440</v>
      </c>
      <c r="B297" t="s">
        <v>19</v>
      </c>
      <c r="C297" t="s">
        <v>13</v>
      </c>
      <c r="D297" t="s">
        <v>14</v>
      </c>
      <c r="E297">
        <v>469379</v>
      </c>
      <c r="F297">
        <v>261912</v>
      </c>
      <c r="G297">
        <v>467381</v>
      </c>
      <c r="H297">
        <v>3.7</v>
      </c>
      <c r="I297">
        <v>5</v>
      </c>
      <c r="J297">
        <v>207467</v>
      </c>
      <c r="K297">
        <v>1.0042748849439751</v>
      </c>
      <c r="L297">
        <v>0.44200315736323953</v>
      </c>
    </row>
    <row r="298" spans="1:12" x14ac:dyDescent="0.3">
      <c r="A298" s="1">
        <v>45501</v>
      </c>
      <c r="B298" t="s">
        <v>9</v>
      </c>
      <c r="C298" t="s">
        <v>13</v>
      </c>
      <c r="D298" t="s">
        <v>14</v>
      </c>
      <c r="E298">
        <v>266446</v>
      </c>
      <c r="F298">
        <v>150883</v>
      </c>
      <c r="G298">
        <v>256255</v>
      </c>
      <c r="H298">
        <v>4.9000000000000004</v>
      </c>
      <c r="I298">
        <v>11</v>
      </c>
      <c r="J298">
        <v>115563</v>
      </c>
      <c r="K298">
        <v>1.0397689801174612</v>
      </c>
      <c r="L298">
        <v>0.4337201534269608</v>
      </c>
    </row>
    <row r="299" spans="1:12" x14ac:dyDescent="0.3">
      <c r="A299" s="1">
        <v>46001</v>
      </c>
      <c r="B299" t="s">
        <v>19</v>
      </c>
      <c r="C299" t="s">
        <v>18</v>
      </c>
      <c r="D299" t="s">
        <v>14</v>
      </c>
      <c r="E299">
        <v>585295</v>
      </c>
      <c r="F299">
        <v>346002</v>
      </c>
      <c r="G299">
        <v>647229</v>
      </c>
      <c r="H299">
        <v>3.8</v>
      </c>
      <c r="I299">
        <v>4</v>
      </c>
      <c r="J299">
        <v>239293</v>
      </c>
      <c r="K299">
        <v>0.90430898491878453</v>
      </c>
      <c r="L299">
        <v>0.40884169521352481</v>
      </c>
    </row>
    <row r="300" spans="1:12" x14ac:dyDescent="0.3">
      <c r="A300" s="1">
        <v>45872</v>
      </c>
      <c r="B300" t="s">
        <v>19</v>
      </c>
      <c r="C300" t="s">
        <v>13</v>
      </c>
      <c r="D300" t="s">
        <v>14</v>
      </c>
      <c r="E300">
        <v>315107</v>
      </c>
      <c r="F300">
        <v>147925</v>
      </c>
      <c r="G300">
        <v>356450</v>
      </c>
      <c r="H300">
        <v>4.5999999999999996</v>
      </c>
      <c r="I300">
        <v>0</v>
      </c>
      <c r="J300">
        <v>167182</v>
      </c>
      <c r="K300">
        <v>0.88401458830130453</v>
      </c>
      <c r="L300">
        <v>0.53055628722941728</v>
      </c>
    </row>
    <row r="301" spans="1:12" x14ac:dyDescent="0.3">
      <c r="A301" s="1">
        <v>45528</v>
      </c>
      <c r="B301" t="s">
        <v>15</v>
      </c>
      <c r="C301" t="s">
        <v>10</v>
      </c>
      <c r="D301" t="s">
        <v>14</v>
      </c>
      <c r="E301">
        <v>234135</v>
      </c>
      <c r="F301">
        <v>97707</v>
      </c>
      <c r="G301">
        <v>241915</v>
      </c>
      <c r="H301">
        <v>3.8</v>
      </c>
      <c r="I301">
        <v>13</v>
      </c>
      <c r="J301">
        <v>136428</v>
      </c>
      <c r="K301">
        <v>0.96783994378190685</v>
      </c>
      <c r="L301">
        <v>0.58268947402139792</v>
      </c>
    </row>
    <row r="302" spans="1:12" x14ac:dyDescent="0.3">
      <c r="A302" s="1">
        <v>45473</v>
      </c>
      <c r="B302" t="s">
        <v>15</v>
      </c>
      <c r="C302" t="s">
        <v>13</v>
      </c>
      <c r="D302" t="s">
        <v>14</v>
      </c>
      <c r="E302">
        <v>148782</v>
      </c>
      <c r="F302">
        <v>48951</v>
      </c>
      <c r="G302">
        <v>129542</v>
      </c>
      <c r="H302">
        <v>3.6</v>
      </c>
      <c r="I302">
        <v>8</v>
      </c>
      <c r="J302">
        <v>99831</v>
      </c>
      <c r="K302">
        <v>1.1485232588658505</v>
      </c>
      <c r="L302">
        <v>0.67098842601927655</v>
      </c>
    </row>
    <row r="303" spans="1:12" x14ac:dyDescent="0.3">
      <c r="A303" s="1">
        <v>45462</v>
      </c>
      <c r="B303" t="s">
        <v>19</v>
      </c>
      <c r="C303" t="s">
        <v>16</v>
      </c>
      <c r="D303" t="s">
        <v>14</v>
      </c>
      <c r="E303">
        <v>191871</v>
      </c>
      <c r="F303">
        <v>80205</v>
      </c>
      <c r="G303">
        <v>176141</v>
      </c>
      <c r="H303">
        <v>4.5</v>
      </c>
      <c r="I303">
        <v>6</v>
      </c>
      <c r="J303">
        <v>111666</v>
      </c>
      <c r="K303">
        <v>1.089303455754197</v>
      </c>
      <c r="L303">
        <v>0.5819847710180277</v>
      </c>
    </row>
    <row r="304" spans="1:12" x14ac:dyDescent="0.3">
      <c r="A304" s="1">
        <v>45678</v>
      </c>
      <c r="B304" t="s">
        <v>9</v>
      </c>
      <c r="C304" t="s">
        <v>18</v>
      </c>
      <c r="D304" t="s">
        <v>14</v>
      </c>
      <c r="E304">
        <v>412234</v>
      </c>
      <c r="F304">
        <v>187992</v>
      </c>
      <c r="G304">
        <v>392156</v>
      </c>
      <c r="H304">
        <v>5</v>
      </c>
      <c r="I304">
        <v>14</v>
      </c>
      <c r="J304">
        <v>224242</v>
      </c>
      <c r="K304">
        <v>1.0511990126378279</v>
      </c>
      <c r="L304">
        <v>0.54396774647408996</v>
      </c>
    </row>
    <row r="305" spans="1:12" x14ac:dyDescent="0.3">
      <c r="A305" s="1">
        <v>45541</v>
      </c>
      <c r="B305" t="s">
        <v>12</v>
      </c>
      <c r="C305" t="s">
        <v>10</v>
      </c>
      <c r="D305" t="s">
        <v>14</v>
      </c>
      <c r="E305">
        <v>319443</v>
      </c>
      <c r="F305">
        <v>152908</v>
      </c>
      <c r="G305">
        <v>304813</v>
      </c>
      <c r="H305">
        <v>4.8</v>
      </c>
      <c r="I305">
        <v>1</v>
      </c>
      <c r="J305">
        <v>166535</v>
      </c>
      <c r="K305">
        <v>1.0479966405632306</v>
      </c>
      <c r="L305">
        <v>0.5213293138368974</v>
      </c>
    </row>
    <row r="306" spans="1:12" x14ac:dyDescent="0.3">
      <c r="A306" s="1">
        <v>45515</v>
      </c>
      <c r="B306" t="s">
        <v>15</v>
      </c>
      <c r="C306" t="s">
        <v>13</v>
      </c>
      <c r="D306" t="s">
        <v>14</v>
      </c>
      <c r="E306">
        <v>496252</v>
      </c>
      <c r="F306">
        <v>225772</v>
      </c>
      <c r="G306">
        <v>531422</v>
      </c>
      <c r="H306">
        <v>4.3</v>
      </c>
      <c r="I306">
        <v>4</v>
      </c>
      <c r="J306">
        <v>270480</v>
      </c>
      <c r="K306">
        <v>0.9338190741068304</v>
      </c>
      <c r="L306">
        <v>0.54504566228448448</v>
      </c>
    </row>
    <row r="307" spans="1:12" x14ac:dyDescent="0.3">
      <c r="A307" s="1">
        <v>45821</v>
      </c>
      <c r="B307" t="s">
        <v>12</v>
      </c>
      <c r="C307" t="s">
        <v>13</v>
      </c>
      <c r="D307" t="s">
        <v>14</v>
      </c>
      <c r="E307">
        <v>97438</v>
      </c>
      <c r="F307">
        <v>51041</v>
      </c>
      <c r="G307">
        <v>98549</v>
      </c>
      <c r="H307">
        <v>4.8</v>
      </c>
      <c r="I307">
        <v>9</v>
      </c>
      <c r="J307">
        <v>46397</v>
      </c>
      <c r="K307">
        <v>0.98872642035941516</v>
      </c>
      <c r="L307">
        <v>0.47616946160635482</v>
      </c>
    </row>
    <row r="308" spans="1:12" x14ac:dyDescent="0.3">
      <c r="A308" s="1">
        <v>45596</v>
      </c>
      <c r="B308" t="s">
        <v>12</v>
      </c>
      <c r="C308" t="s">
        <v>18</v>
      </c>
      <c r="D308" t="s">
        <v>14</v>
      </c>
      <c r="E308">
        <v>72292</v>
      </c>
      <c r="F308">
        <v>24564</v>
      </c>
      <c r="G308">
        <v>65417</v>
      </c>
      <c r="H308">
        <v>3.5</v>
      </c>
      <c r="I308">
        <v>15</v>
      </c>
      <c r="J308">
        <v>47728</v>
      </c>
      <c r="K308">
        <v>1.1050950058853204</v>
      </c>
      <c r="L308">
        <v>0.66021136501964262</v>
      </c>
    </row>
    <row r="309" spans="1:12" x14ac:dyDescent="0.3">
      <c r="A309" s="1">
        <v>45928</v>
      </c>
      <c r="B309" t="s">
        <v>19</v>
      </c>
      <c r="C309" t="s">
        <v>13</v>
      </c>
      <c r="D309" t="s">
        <v>14</v>
      </c>
      <c r="E309">
        <v>316969</v>
      </c>
      <c r="F309">
        <v>107937</v>
      </c>
      <c r="G309">
        <v>343290</v>
      </c>
      <c r="H309">
        <v>3.6</v>
      </c>
      <c r="I309">
        <v>5</v>
      </c>
      <c r="J309">
        <v>209032</v>
      </c>
      <c r="K309">
        <v>0.92332721605639545</v>
      </c>
      <c r="L309">
        <v>0.65947143096012539</v>
      </c>
    </row>
    <row r="310" spans="1:12" x14ac:dyDescent="0.3">
      <c r="A310" s="1">
        <v>45651</v>
      </c>
      <c r="B310" t="s">
        <v>12</v>
      </c>
      <c r="C310" t="s">
        <v>16</v>
      </c>
      <c r="D310" t="s">
        <v>14</v>
      </c>
      <c r="E310">
        <v>445570</v>
      </c>
      <c r="F310">
        <v>256245</v>
      </c>
      <c r="G310">
        <v>413016</v>
      </c>
      <c r="H310">
        <v>4</v>
      </c>
      <c r="I310">
        <v>7</v>
      </c>
      <c r="J310">
        <v>189325</v>
      </c>
      <c r="K310">
        <v>1.0788201909853372</v>
      </c>
      <c r="L310">
        <v>0.42490517763763269</v>
      </c>
    </row>
    <row r="311" spans="1:12" x14ac:dyDescent="0.3">
      <c r="A311" s="1">
        <v>45901</v>
      </c>
      <c r="B311" t="s">
        <v>19</v>
      </c>
      <c r="C311" t="s">
        <v>16</v>
      </c>
      <c r="D311" t="s">
        <v>14</v>
      </c>
      <c r="E311">
        <v>398612</v>
      </c>
      <c r="F311">
        <v>160538</v>
      </c>
      <c r="G311">
        <v>364661</v>
      </c>
      <c r="H311">
        <v>3.6</v>
      </c>
      <c r="I311">
        <v>1</v>
      </c>
      <c r="J311">
        <v>238074</v>
      </c>
      <c r="K311">
        <v>1.0931029092773836</v>
      </c>
      <c r="L311">
        <v>0.59725748346763263</v>
      </c>
    </row>
    <row r="312" spans="1:12" x14ac:dyDescent="0.3">
      <c r="A312" s="1">
        <v>45435</v>
      </c>
      <c r="B312" t="s">
        <v>9</v>
      </c>
      <c r="C312" t="s">
        <v>18</v>
      </c>
      <c r="D312" t="s">
        <v>14</v>
      </c>
      <c r="E312">
        <v>79286</v>
      </c>
      <c r="F312">
        <v>41452</v>
      </c>
      <c r="G312">
        <v>86111</v>
      </c>
      <c r="H312">
        <v>3.7</v>
      </c>
      <c r="I312">
        <v>5</v>
      </c>
      <c r="J312">
        <v>37834</v>
      </c>
      <c r="K312">
        <v>0.9207418332152687</v>
      </c>
      <c r="L312">
        <v>0.47718386600408647</v>
      </c>
    </row>
    <row r="313" spans="1:12" x14ac:dyDescent="0.3">
      <c r="A313" s="1">
        <v>45776</v>
      </c>
      <c r="B313" t="s">
        <v>9</v>
      </c>
      <c r="C313" t="s">
        <v>18</v>
      </c>
      <c r="D313" t="s">
        <v>14</v>
      </c>
      <c r="E313">
        <v>75149</v>
      </c>
      <c r="F313">
        <v>24473</v>
      </c>
      <c r="G313">
        <v>73790</v>
      </c>
      <c r="H313">
        <v>3.9</v>
      </c>
      <c r="I313">
        <v>8</v>
      </c>
      <c r="J313">
        <v>50676</v>
      </c>
      <c r="K313">
        <v>1.0184171296923703</v>
      </c>
      <c r="L313">
        <v>0.67434031058297517</v>
      </c>
    </row>
    <row r="314" spans="1:12" x14ac:dyDescent="0.3">
      <c r="A314" s="1">
        <v>45505</v>
      </c>
      <c r="B314" t="s">
        <v>12</v>
      </c>
      <c r="C314" t="s">
        <v>13</v>
      </c>
      <c r="D314" t="s">
        <v>14</v>
      </c>
      <c r="E314">
        <v>368478</v>
      </c>
      <c r="F314">
        <v>206905</v>
      </c>
      <c r="G314">
        <v>341449</v>
      </c>
      <c r="H314">
        <v>4.9000000000000004</v>
      </c>
      <c r="I314">
        <v>5</v>
      </c>
      <c r="J314">
        <v>161573</v>
      </c>
      <c r="K314">
        <v>1.0791596988129999</v>
      </c>
      <c r="L314">
        <v>0.43848750807375203</v>
      </c>
    </row>
    <row r="315" spans="1:12" x14ac:dyDescent="0.3">
      <c r="A315" s="1">
        <v>45922</v>
      </c>
      <c r="B315" t="s">
        <v>9</v>
      </c>
      <c r="C315" t="s">
        <v>10</v>
      </c>
      <c r="D315" t="s">
        <v>14</v>
      </c>
      <c r="E315">
        <v>45903</v>
      </c>
      <c r="F315">
        <v>15451</v>
      </c>
      <c r="G315">
        <v>40189</v>
      </c>
      <c r="H315">
        <v>4.0999999999999996</v>
      </c>
      <c r="I315">
        <v>9</v>
      </c>
      <c r="J315">
        <v>30452</v>
      </c>
      <c r="K315">
        <v>1.1421782079673541</v>
      </c>
      <c r="L315">
        <v>0.66339890638956056</v>
      </c>
    </row>
    <row r="316" spans="1:12" x14ac:dyDescent="0.3">
      <c r="A316" s="1">
        <v>45355</v>
      </c>
      <c r="B316" t="s">
        <v>12</v>
      </c>
      <c r="C316" t="s">
        <v>13</v>
      </c>
      <c r="D316" t="s">
        <v>14</v>
      </c>
      <c r="E316">
        <v>159134</v>
      </c>
      <c r="F316">
        <v>64044</v>
      </c>
      <c r="G316">
        <v>156993</v>
      </c>
      <c r="H316">
        <v>4.5</v>
      </c>
      <c r="I316">
        <v>7</v>
      </c>
      <c r="J316">
        <v>95090</v>
      </c>
      <c r="K316">
        <v>1.0136375507188218</v>
      </c>
      <c r="L316">
        <v>0.59754672163082689</v>
      </c>
    </row>
    <row r="317" spans="1:12" x14ac:dyDescent="0.3">
      <c r="A317" s="1">
        <v>45877</v>
      </c>
      <c r="B317" t="s">
        <v>9</v>
      </c>
      <c r="C317" t="s">
        <v>13</v>
      </c>
      <c r="D317" t="s">
        <v>14</v>
      </c>
      <c r="E317">
        <v>348083</v>
      </c>
      <c r="F317">
        <v>145368</v>
      </c>
      <c r="G317">
        <v>379192</v>
      </c>
      <c r="H317">
        <v>4.0999999999999996</v>
      </c>
      <c r="I317">
        <v>4</v>
      </c>
      <c r="J317">
        <v>202715</v>
      </c>
      <c r="K317">
        <v>0.91795976708369376</v>
      </c>
      <c r="L317">
        <v>0.58237546792000761</v>
      </c>
    </row>
    <row r="318" spans="1:12" x14ac:dyDescent="0.3">
      <c r="A318" s="1">
        <v>45762</v>
      </c>
      <c r="B318" t="s">
        <v>12</v>
      </c>
      <c r="C318" t="s">
        <v>10</v>
      </c>
      <c r="D318" t="s">
        <v>14</v>
      </c>
      <c r="E318">
        <v>308326</v>
      </c>
      <c r="F318">
        <v>130336</v>
      </c>
      <c r="G318">
        <v>352192</v>
      </c>
      <c r="H318">
        <v>3.6</v>
      </c>
      <c r="I318">
        <v>8</v>
      </c>
      <c r="J318">
        <v>177990</v>
      </c>
      <c r="K318">
        <v>0.87544861893512627</v>
      </c>
      <c r="L318">
        <v>0.577278594734145</v>
      </c>
    </row>
    <row r="319" spans="1:12" x14ac:dyDescent="0.3">
      <c r="A319" s="1">
        <v>45630</v>
      </c>
      <c r="B319" t="s">
        <v>19</v>
      </c>
      <c r="C319" t="s">
        <v>13</v>
      </c>
      <c r="D319" t="s">
        <v>14</v>
      </c>
      <c r="E319">
        <v>97435</v>
      </c>
      <c r="F319">
        <v>39763</v>
      </c>
      <c r="G319">
        <v>102583</v>
      </c>
      <c r="H319">
        <v>3.7</v>
      </c>
      <c r="I319">
        <v>14</v>
      </c>
      <c r="J319">
        <v>57672</v>
      </c>
      <c r="K319">
        <v>0.94981624635660877</v>
      </c>
      <c r="L319">
        <v>0.59190229383691695</v>
      </c>
    </row>
    <row r="320" spans="1:12" x14ac:dyDescent="0.3">
      <c r="A320" s="1">
        <v>45966</v>
      </c>
      <c r="B320" t="s">
        <v>12</v>
      </c>
      <c r="C320" t="s">
        <v>18</v>
      </c>
      <c r="D320" t="s">
        <v>14</v>
      </c>
      <c r="E320">
        <v>487964</v>
      </c>
      <c r="F320">
        <v>152075</v>
      </c>
      <c r="G320">
        <v>545306</v>
      </c>
      <c r="H320">
        <v>4.8</v>
      </c>
      <c r="I320">
        <v>0</v>
      </c>
      <c r="J320">
        <v>335889</v>
      </c>
      <c r="K320">
        <v>0.89484436261475209</v>
      </c>
      <c r="L320">
        <v>0.68834791091146064</v>
      </c>
    </row>
    <row r="321" spans="1:12" x14ac:dyDescent="0.3">
      <c r="A321" s="1">
        <v>45452</v>
      </c>
      <c r="B321" t="s">
        <v>9</v>
      </c>
      <c r="C321" t="s">
        <v>13</v>
      </c>
      <c r="D321" t="s">
        <v>14</v>
      </c>
      <c r="E321">
        <v>13748</v>
      </c>
      <c r="F321">
        <v>7544</v>
      </c>
      <c r="G321">
        <v>13398</v>
      </c>
      <c r="H321">
        <v>4.8</v>
      </c>
      <c r="I321">
        <v>14</v>
      </c>
      <c r="J321">
        <v>6204</v>
      </c>
      <c r="K321">
        <v>1.0261233019853711</v>
      </c>
      <c r="L321">
        <v>0.4512656386383474</v>
      </c>
    </row>
    <row r="322" spans="1:12" x14ac:dyDescent="0.3">
      <c r="A322" s="1">
        <v>45420</v>
      </c>
      <c r="B322" t="s">
        <v>15</v>
      </c>
      <c r="C322" t="s">
        <v>10</v>
      </c>
      <c r="D322" t="s">
        <v>14</v>
      </c>
      <c r="E322">
        <v>271497</v>
      </c>
      <c r="F322">
        <v>119841</v>
      </c>
      <c r="G322">
        <v>252326</v>
      </c>
      <c r="H322">
        <v>4.5</v>
      </c>
      <c r="I322">
        <v>10</v>
      </c>
      <c r="J322">
        <v>151656</v>
      </c>
      <c r="K322">
        <v>1.0759771089780681</v>
      </c>
      <c r="L322">
        <v>0.5585918076442834</v>
      </c>
    </row>
    <row r="323" spans="1:12" x14ac:dyDescent="0.3">
      <c r="A323" s="1">
        <v>45422</v>
      </c>
      <c r="B323" t="s">
        <v>19</v>
      </c>
      <c r="C323" t="s">
        <v>13</v>
      </c>
      <c r="D323" t="s">
        <v>14</v>
      </c>
      <c r="E323">
        <v>364195</v>
      </c>
      <c r="F323">
        <v>196328</v>
      </c>
      <c r="G323">
        <v>350977</v>
      </c>
      <c r="H323">
        <v>5</v>
      </c>
      <c r="I323">
        <v>1</v>
      </c>
      <c r="J323">
        <v>167867</v>
      </c>
      <c r="K323">
        <v>1.0376605874459011</v>
      </c>
      <c r="L323">
        <v>0.46092615219868477</v>
      </c>
    </row>
    <row r="324" spans="1:12" x14ac:dyDescent="0.3">
      <c r="A324" s="1">
        <v>45591</v>
      </c>
      <c r="B324" t="s">
        <v>12</v>
      </c>
      <c r="C324" t="s">
        <v>18</v>
      </c>
      <c r="D324" t="s">
        <v>14</v>
      </c>
      <c r="E324">
        <v>325097</v>
      </c>
      <c r="F324">
        <v>182673</v>
      </c>
      <c r="G324">
        <v>319621</v>
      </c>
      <c r="H324">
        <v>4.2</v>
      </c>
      <c r="I324">
        <v>1</v>
      </c>
      <c r="J324">
        <v>142424</v>
      </c>
      <c r="K324">
        <v>1.0171327916501105</v>
      </c>
      <c r="L324">
        <v>0.43809693722181381</v>
      </c>
    </row>
    <row r="325" spans="1:12" x14ac:dyDescent="0.3">
      <c r="A325" s="1">
        <v>45655</v>
      </c>
      <c r="B325" t="s">
        <v>9</v>
      </c>
      <c r="C325" t="s">
        <v>10</v>
      </c>
      <c r="D325" t="s">
        <v>14</v>
      </c>
      <c r="E325">
        <v>267234</v>
      </c>
      <c r="F325">
        <v>95195</v>
      </c>
      <c r="G325">
        <v>297684</v>
      </c>
      <c r="H325">
        <v>4.3</v>
      </c>
      <c r="I325">
        <v>1</v>
      </c>
      <c r="J325">
        <v>172039</v>
      </c>
      <c r="K325">
        <v>0.89771032369895598</v>
      </c>
      <c r="L325">
        <v>0.64377661525105334</v>
      </c>
    </row>
    <row r="326" spans="1:12" x14ac:dyDescent="0.3">
      <c r="A326" s="1">
        <v>45811</v>
      </c>
      <c r="B326" t="s">
        <v>9</v>
      </c>
      <c r="C326" t="s">
        <v>18</v>
      </c>
      <c r="D326" t="s">
        <v>14</v>
      </c>
      <c r="E326">
        <v>205623</v>
      </c>
      <c r="F326">
        <v>115051</v>
      </c>
      <c r="G326">
        <v>200987</v>
      </c>
      <c r="H326">
        <v>4.9000000000000004</v>
      </c>
      <c r="I326">
        <v>12</v>
      </c>
      <c r="J326">
        <v>90572</v>
      </c>
      <c r="K326">
        <v>1.0230661684586566</v>
      </c>
      <c r="L326">
        <v>0.44047601678800524</v>
      </c>
    </row>
    <row r="327" spans="1:12" x14ac:dyDescent="0.3">
      <c r="A327" s="1">
        <v>45629</v>
      </c>
      <c r="B327" t="s">
        <v>15</v>
      </c>
      <c r="C327" t="s">
        <v>18</v>
      </c>
      <c r="D327" t="s">
        <v>14</v>
      </c>
      <c r="E327">
        <v>427668</v>
      </c>
      <c r="F327">
        <v>166182</v>
      </c>
      <c r="G327">
        <v>466953</v>
      </c>
      <c r="H327">
        <v>4.8</v>
      </c>
      <c r="I327">
        <v>5</v>
      </c>
      <c r="J327">
        <v>261486</v>
      </c>
      <c r="K327">
        <v>0.91586947722790091</v>
      </c>
      <c r="L327">
        <v>0.61142287942983808</v>
      </c>
    </row>
    <row r="328" spans="1:12" x14ac:dyDescent="0.3">
      <c r="A328" s="1">
        <v>45865</v>
      </c>
      <c r="B328" t="s">
        <v>19</v>
      </c>
      <c r="C328" t="s">
        <v>18</v>
      </c>
      <c r="D328" t="s">
        <v>14</v>
      </c>
      <c r="E328">
        <v>133130</v>
      </c>
      <c r="F328">
        <v>66773</v>
      </c>
      <c r="G328">
        <v>148531</v>
      </c>
      <c r="H328">
        <v>3.8</v>
      </c>
      <c r="I328">
        <v>12</v>
      </c>
      <c r="J328">
        <v>66357</v>
      </c>
      <c r="K328">
        <v>0.89631120776134277</v>
      </c>
      <c r="L328">
        <v>0.4984376173664839</v>
      </c>
    </row>
    <row r="329" spans="1:12" x14ac:dyDescent="0.3">
      <c r="A329" s="1">
        <v>45492</v>
      </c>
      <c r="B329" t="s">
        <v>9</v>
      </c>
      <c r="C329" t="s">
        <v>13</v>
      </c>
      <c r="D329" t="s">
        <v>14</v>
      </c>
      <c r="E329">
        <v>31447</v>
      </c>
      <c r="F329">
        <v>16610</v>
      </c>
      <c r="G329">
        <v>32794</v>
      </c>
      <c r="H329">
        <v>4.5</v>
      </c>
      <c r="I329">
        <v>6</v>
      </c>
      <c r="J329">
        <v>14837</v>
      </c>
      <c r="K329">
        <v>0.95892541318533875</v>
      </c>
      <c r="L329">
        <v>0.47180971157821094</v>
      </c>
    </row>
    <row r="330" spans="1:12" x14ac:dyDescent="0.3">
      <c r="A330" s="1">
        <v>45496</v>
      </c>
      <c r="B330" t="s">
        <v>9</v>
      </c>
      <c r="C330" t="s">
        <v>10</v>
      </c>
      <c r="D330" t="s">
        <v>14</v>
      </c>
      <c r="E330">
        <v>80463</v>
      </c>
      <c r="F330">
        <v>42069</v>
      </c>
      <c r="G330">
        <v>71841</v>
      </c>
      <c r="H330">
        <v>4.5</v>
      </c>
      <c r="I330">
        <v>12</v>
      </c>
      <c r="J330">
        <v>38394</v>
      </c>
      <c r="K330">
        <v>1.120015033198313</v>
      </c>
      <c r="L330">
        <v>0.47716341672570001</v>
      </c>
    </row>
    <row r="331" spans="1:12" x14ac:dyDescent="0.3">
      <c r="A331" s="1">
        <v>45466</v>
      </c>
      <c r="B331" t="s">
        <v>15</v>
      </c>
      <c r="C331" t="s">
        <v>10</v>
      </c>
      <c r="D331" t="s">
        <v>14</v>
      </c>
      <c r="E331">
        <v>494273</v>
      </c>
      <c r="F331">
        <v>179342</v>
      </c>
      <c r="G331">
        <v>513760</v>
      </c>
      <c r="H331">
        <v>4.3</v>
      </c>
      <c r="I331">
        <v>12</v>
      </c>
      <c r="J331">
        <v>314931</v>
      </c>
      <c r="K331">
        <v>0.96206983805668012</v>
      </c>
      <c r="L331">
        <v>0.63716003099501695</v>
      </c>
    </row>
    <row r="332" spans="1:12" x14ac:dyDescent="0.3">
      <c r="A332" s="1">
        <v>45336</v>
      </c>
      <c r="B332" t="s">
        <v>19</v>
      </c>
      <c r="C332" t="s">
        <v>18</v>
      </c>
      <c r="D332" t="s">
        <v>14</v>
      </c>
      <c r="E332">
        <v>489681</v>
      </c>
      <c r="F332">
        <v>190133</v>
      </c>
      <c r="G332">
        <v>491874</v>
      </c>
      <c r="H332">
        <v>3.7</v>
      </c>
      <c r="I332">
        <v>4</v>
      </c>
      <c r="J332">
        <v>299548</v>
      </c>
      <c r="K332">
        <v>0.99554154112638604</v>
      </c>
      <c r="L332">
        <v>0.61172069163394127</v>
      </c>
    </row>
    <row r="333" spans="1:12" x14ac:dyDescent="0.3">
      <c r="A333" s="1">
        <v>45343</v>
      </c>
      <c r="B333" t="s">
        <v>9</v>
      </c>
      <c r="C333" t="s">
        <v>10</v>
      </c>
      <c r="D333" t="s">
        <v>14</v>
      </c>
      <c r="E333">
        <v>252998</v>
      </c>
      <c r="F333">
        <v>89020</v>
      </c>
      <c r="G333">
        <v>287366</v>
      </c>
      <c r="H333">
        <v>4</v>
      </c>
      <c r="I333">
        <v>13</v>
      </c>
      <c r="J333">
        <v>163978</v>
      </c>
      <c r="K333">
        <v>0.88040338801389173</v>
      </c>
      <c r="L333">
        <v>0.64813951098427658</v>
      </c>
    </row>
    <row r="334" spans="1:12" x14ac:dyDescent="0.3">
      <c r="A334" s="1">
        <v>45936</v>
      </c>
      <c r="B334" t="s">
        <v>19</v>
      </c>
      <c r="C334" t="s">
        <v>16</v>
      </c>
      <c r="D334" t="s">
        <v>14</v>
      </c>
      <c r="E334">
        <v>321537</v>
      </c>
      <c r="F334">
        <v>127274</v>
      </c>
      <c r="G334">
        <v>353030</v>
      </c>
      <c r="H334">
        <v>4.2</v>
      </c>
      <c r="I334">
        <v>6</v>
      </c>
      <c r="J334">
        <v>194263</v>
      </c>
      <c r="K334">
        <v>0.91079228394187461</v>
      </c>
      <c r="L334">
        <v>0.60416997110752413</v>
      </c>
    </row>
    <row r="335" spans="1:12" x14ac:dyDescent="0.3">
      <c r="A335" s="1">
        <v>45430</v>
      </c>
      <c r="B335" t="s">
        <v>15</v>
      </c>
      <c r="C335" t="s">
        <v>10</v>
      </c>
      <c r="D335" t="s">
        <v>14</v>
      </c>
      <c r="E335">
        <v>98835</v>
      </c>
      <c r="F335">
        <v>58821</v>
      </c>
      <c r="G335">
        <v>98570</v>
      </c>
      <c r="H335">
        <v>4.9000000000000004</v>
      </c>
      <c r="I335">
        <v>6</v>
      </c>
      <c r="J335">
        <v>40014</v>
      </c>
      <c r="K335">
        <v>1.002688444760069</v>
      </c>
      <c r="L335">
        <v>0.4048565791470633</v>
      </c>
    </row>
    <row r="336" spans="1:12" x14ac:dyDescent="0.3">
      <c r="A336" s="1">
        <v>45689</v>
      </c>
      <c r="B336" t="s">
        <v>9</v>
      </c>
      <c r="C336" t="s">
        <v>16</v>
      </c>
      <c r="D336" t="s">
        <v>14</v>
      </c>
      <c r="E336">
        <v>220748</v>
      </c>
      <c r="F336">
        <v>127380</v>
      </c>
      <c r="G336">
        <v>203655</v>
      </c>
      <c r="H336">
        <v>3.5</v>
      </c>
      <c r="I336">
        <v>3</v>
      </c>
      <c r="J336">
        <v>93368</v>
      </c>
      <c r="K336">
        <v>1.0839311580859787</v>
      </c>
      <c r="L336">
        <v>0.42296192943990435</v>
      </c>
    </row>
    <row r="337" spans="1:12" x14ac:dyDescent="0.3">
      <c r="A337" s="1">
        <v>45781</v>
      </c>
      <c r="B337" t="s">
        <v>19</v>
      </c>
      <c r="C337" t="s">
        <v>10</v>
      </c>
      <c r="D337" t="s">
        <v>14</v>
      </c>
      <c r="E337">
        <v>432277</v>
      </c>
      <c r="F337">
        <v>198199</v>
      </c>
      <c r="G337">
        <v>402301</v>
      </c>
      <c r="H337">
        <v>4.0999999999999996</v>
      </c>
      <c r="I337">
        <v>10</v>
      </c>
      <c r="J337">
        <v>234078</v>
      </c>
      <c r="K337">
        <v>1.0745113733249483</v>
      </c>
      <c r="L337">
        <v>0.54150001040999174</v>
      </c>
    </row>
    <row r="338" spans="1:12" x14ac:dyDescent="0.3">
      <c r="A338" s="1">
        <v>45553</v>
      </c>
      <c r="B338" t="s">
        <v>9</v>
      </c>
      <c r="C338" t="s">
        <v>16</v>
      </c>
      <c r="D338" t="s">
        <v>14</v>
      </c>
      <c r="E338">
        <v>92289</v>
      </c>
      <c r="F338">
        <v>45214</v>
      </c>
      <c r="G338">
        <v>81010</v>
      </c>
      <c r="H338">
        <v>4.5999999999999996</v>
      </c>
      <c r="I338">
        <v>10</v>
      </c>
      <c r="J338">
        <v>47075</v>
      </c>
      <c r="K338">
        <v>1.1392297247253425</v>
      </c>
      <c r="L338">
        <v>0.51008245836448551</v>
      </c>
    </row>
    <row r="339" spans="1:12" x14ac:dyDescent="0.3">
      <c r="A339" s="1">
        <v>45428</v>
      </c>
      <c r="B339" t="s">
        <v>9</v>
      </c>
      <c r="C339" t="s">
        <v>18</v>
      </c>
      <c r="D339" t="s">
        <v>14</v>
      </c>
      <c r="E339">
        <v>116121</v>
      </c>
      <c r="F339">
        <v>45087</v>
      </c>
      <c r="G339">
        <v>120205</v>
      </c>
      <c r="H339">
        <v>4.5999999999999996</v>
      </c>
      <c r="I339">
        <v>3</v>
      </c>
      <c r="J339">
        <v>71034</v>
      </c>
      <c r="K339">
        <v>0.96602470779085725</v>
      </c>
      <c r="L339">
        <v>0.61172397757511565</v>
      </c>
    </row>
    <row r="340" spans="1:12" x14ac:dyDescent="0.3">
      <c r="A340" s="1">
        <v>45853</v>
      </c>
      <c r="B340" t="s">
        <v>19</v>
      </c>
      <c r="C340" t="s">
        <v>18</v>
      </c>
      <c r="D340" t="s">
        <v>14</v>
      </c>
      <c r="E340">
        <v>191572</v>
      </c>
      <c r="F340">
        <v>72909</v>
      </c>
      <c r="G340">
        <v>197260</v>
      </c>
      <c r="H340">
        <v>3.7</v>
      </c>
      <c r="I340">
        <v>15</v>
      </c>
      <c r="J340">
        <v>118663</v>
      </c>
      <c r="K340">
        <v>0.97116495995133323</v>
      </c>
      <c r="L340">
        <v>0.61941724260330322</v>
      </c>
    </row>
    <row r="341" spans="1:12" x14ac:dyDescent="0.3">
      <c r="A341" s="1">
        <v>45574</v>
      </c>
      <c r="B341" t="s">
        <v>15</v>
      </c>
      <c r="C341" t="s">
        <v>10</v>
      </c>
      <c r="D341" t="s">
        <v>14</v>
      </c>
      <c r="E341">
        <v>263279</v>
      </c>
      <c r="F341">
        <v>120653</v>
      </c>
      <c r="G341">
        <v>243495</v>
      </c>
      <c r="H341">
        <v>3.5</v>
      </c>
      <c r="I341">
        <v>8</v>
      </c>
      <c r="J341">
        <v>142626</v>
      </c>
      <c r="K341">
        <v>1.0812501283393909</v>
      </c>
      <c r="L341">
        <v>0.54172949608590126</v>
      </c>
    </row>
    <row r="342" spans="1:12" x14ac:dyDescent="0.3">
      <c r="A342" s="1">
        <v>45730</v>
      </c>
      <c r="B342" t="s">
        <v>12</v>
      </c>
      <c r="C342" t="s">
        <v>18</v>
      </c>
      <c r="D342" t="s">
        <v>14</v>
      </c>
      <c r="E342">
        <v>470270</v>
      </c>
      <c r="F342">
        <v>277224</v>
      </c>
      <c r="G342">
        <v>460447</v>
      </c>
      <c r="H342">
        <v>4.5</v>
      </c>
      <c r="I342">
        <v>5</v>
      </c>
      <c r="J342">
        <v>193046</v>
      </c>
      <c r="K342">
        <v>1.021333617115542</v>
      </c>
      <c r="L342">
        <v>0.4105003508622706</v>
      </c>
    </row>
    <row r="343" spans="1:12" x14ac:dyDescent="0.3">
      <c r="A343" s="1">
        <v>45896</v>
      </c>
      <c r="B343" t="s">
        <v>15</v>
      </c>
      <c r="C343" t="s">
        <v>13</v>
      </c>
      <c r="D343" t="s">
        <v>14</v>
      </c>
      <c r="E343">
        <v>362050</v>
      </c>
      <c r="F343">
        <v>146706</v>
      </c>
      <c r="G343">
        <v>333531</v>
      </c>
      <c r="H343">
        <v>4.3</v>
      </c>
      <c r="I343">
        <v>8</v>
      </c>
      <c r="J343">
        <v>215344</v>
      </c>
      <c r="K343">
        <v>1.085506294767203</v>
      </c>
      <c r="L343">
        <v>0.59479077475486808</v>
      </c>
    </row>
    <row r="344" spans="1:12" x14ac:dyDescent="0.3">
      <c r="A344" s="1">
        <v>45831</v>
      </c>
      <c r="B344" t="s">
        <v>9</v>
      </c>
      <c r="C344" t="s">
        <v>16</v>
      </c>
      <c r="D344" t="s">
        <v>14</v>
      </c>
      <c r="E344">
        <v>280914</v>
      </c>
      <c r="F344">
        <v>149220</v>
      </c>
      <c r="G344">
        <v>261663</v>
      </c>
      <c r="H344">
        <v>4.2</v>
      </c>
      <c r="I344">
        <v>5</v>
      </c>
      <c r="J344">
        <v>131694</v>
      </c>
      <c r="K344">
        <v>1.0735717315784044</v>
      </c>
      <c r="L344">
        <v>0.46880539951729</v>
      </c>
    </row>
    <row r="345" spans="1:12" x14ac:dyDescent="0.3">
      <c r="A345" s="1">
        <v>45678</v>
      </c>
      <c r="B345" t="s">
        <v>15</v>
      </c>
      <c r="C345" t="s">
        <v>16</v>
      </c>
      <c r="D345" t="s">
        <v>14</v>
      </c>
      <c r="E345">
        <v>220722</v>
      </c>
      <c r="F345">
        <v>100896</v>
      </c>
      <c r="G345">
        <v>233288</v>
      </c>
      <c r="H345">
        <v>3.7</v>
      </c>
      <c r="I345">
        <v>11</v>
      </c>
      <c r="J345">
        <v>119826</v>
      </c>
      <c r="K345">
        <v>0.94613524913411751</v>
      </c>
      <c r="L345">
        <v>0.54288199635740886</v>
      </c>
    </row>
    <row r="346" spans="1:12" x14ac:dyDescent="0.3">
      <c r="A346" s="1">
        <v>45694</v>
      </c>
      <c r="B346" t="s">
        <v>9</v>
      </c>
      <c r="C346" t="s">
        <v>16</v>
      </c>
      <c r="D346" t="s">
        <v>14</v>
      </c>
      <c r="E346">
        <v>244231</v>
      </c>
      <c r="F346">
        <v>127645</v>
      </c>
      <c r="G346">
        <v>227842</v>
      </c>
      <c r="H346">
        <v>4.0999999999999996</v>
      </c>
      <c r="I346">
        <v>3</v>
      </c>
      <c r="J346">
        <v>116586</v>
      </c>
      <c r="K346">
        <v>1.0719314261637451</v>
      </c>
      <c r="L346">
        <v>0.47735954895160732</v>
      </c>
    </row>
    <row r="347" spans="1:12" x14ac:dyDescent="0.3">
      <c r="A347" s="1">
        <v>45582</v>
      </c>
      <c r="B347" t="s">
        <v>9</v>
      </c>
      <c r="C347" t="s">
        <v>10</v>
      </c>
      <c r="D347" t="s">
        <v>14</v>
      </c>
      <c r="E347">
        <v>410012</v>
      </c>
      <c r="F347">
        <v>255170</v>
      </c>
      <c r="G347">
        <v>349452</v>
      </c>
      <c r="H347">
        <v>3.8</v>
      </c>
      <c r="I347">
        <v>12</v>
      </c>
      <c r="J347">
        <v>154842</v>
      </c>
      <c r="K347">
        <v>1.1732999095727024</v>
      </c>
      <c r="L347">
        <v>0.37765236139430064</v>
      </c>
    </row>
    <row r="348" spans="1:12" x14ac:dyDescent="0.3">
      <c r="A348" s="1">
        <v>45846</v>
      </c>
      <c r="B348" t="s">
        <v>9</v>
      </c>
      <c r="C348" t="s">
        <v>13</v>
      </c>
      <c r="D348" t="s">
        <v>14</v>
      </c>
      <c r="E348">
        <v>368182</v>
      </c>
      <c r="F348">
        <v>175416</v>
      </c>
      <c r="G348">
        <v>337090</v>
      </c>
      <c r="H348">
        <v>4.0999999999999996</v>
      </c>
      <c r="I348">
        <v>4</v>
      </c>
      <c r="J348">
        <v>192766</v>
      </c>
      <c r="K348">
        <v>1.0922364947046783</v>
      </c>
      <c r="L348">
        <v>0.52356171675964602</v>
      </c>
    </row>
    <row r="349" spans="1:12" x14ac:dyDescent="0.3">
      <c r="A349" s="1">
        <v>45673</v>
      </c>
      <c r="B349" t="s">
        <v>19</v>
      </c>
      <c r="C349" t="s">
        <v>10</v>
      </c>
      <c r="D349" t="s">
        <v>14</v>
      </c>
      <c r="E349">
        <v>80448</v>
      </c>
      <c r="F349">
        <v>29809</v>
      </c>
      <c r="G349">
        <v>81210</v>
      </c>
      <c r="H349">
        <v>4.8</v>
      </c>
      <c r="I349">
        <v>8</v>
      </c>
      <c r="J349">
        <v>50639</v>
      </c>
      <c r="K349">
        <v>0.99061691909863314</v>
      </c>
      <c r="L349">
        <v>0.62946250994431185</v>
      </c>
    </row>
    <row r="350" spans="1:12" x14ac:dyDescent="0.3">
      <c r="A350" s="1">
        <v>45474</v>
      </c>
      <c r="B350" t="s">
        <v>19</v>
      </c>
      <c r="C350" t="s">
        <v>18</v>
      </c>
      <c r="D350" t="s">
        <v>14</v>
      </c>
      <c r="E350">
        <v>32207</v>
      </c>
      <c r="F350">
        <v>19534</v>
      </c>
      <c r="G350">
        <v>31729</v>
      </c>
      <c r="H350">
        <v>4.9000000000000004</v>
      </c>
      <c r="I350">
        <v>10</v>
      </c>
      <c r="J350">
        <v>12673</v>
      </c>
      <c r="K350">
        <v>1.0150650824167167</v>
      </c>
      <c r="L350">
        <v>0.39348588816095881</v>
      </c>
    </row>
    <row r="351" spans="1:12" x14ac:dyDescent="0.3">
      <c r="A351" s="1">
        <v>45850</v>
      </c>
      <c r="B351" t="s">
        <v>12</v>
      </c>
      <c r="C351" t="s">
        <v>13</v>
      </c>
      <c r="D351" t="s">
        <v>14</v>
      </c>
      <c r="E351">
        <v>56220</v>
      </c>
      <c r="F351">
        <v>22744</v>
      </c>
      <c r="G351">
        <v>58451</v>
      </c>
      <c r="H351">
        <v>3.8</v>
      </c>
      <c r="I351">
        <v>3</v>
      </c>
      <c r="J351">
        <v>33476</v>
      </c>
      <c r="K351">
        <v>0.96183127748028263</v>
      </c>
      <c r="L351">
        <v>0.59544646033440052</v>
      </c>
    </row>
    <row r="352" spans="1:12" x14ac:dyDescent="0.3">
      <c r="A352" s="1">
        <v>45630</v>
      </c>
      <c r="B352" t="s">
        <v>19</v>
      </c>
      <c r="C352" t="s">
        <v>10</v>
      </c>
      <c r="D352" t="s">
        <v>14</v>
      </c>
      <c r="E352">
        <v>373605</v>
      </c>
      <c r="F352">
        <v>138685</v>
      </c>
      <c r="G352">
        <v>337655</v>
      </c>
      <c r="H352">
        <v>4.7</v>
      </c>
      <c r="I352">
        <v>15</v>
      </c>
      <c r="J352">
        <v>234920</v>
      </c>
      <c r="K352">
        <v>1.1064696213590794</v>
      </c>
      <c r="L352">
        <v>0.62879244121465183</v>
      </c>
    </row>
    <row r="353" spans="1:12" x14ac:dyDescent="0.3">
      <c r="A353" s="1">
        <v>45972</v>
      </c>
      <c r="B353" t="s">
        <v>19</v>
      </c>
      <c r="C353" t="s">
        <v>10</v>
      </c>
      <c r="D353" t="s">
        <v>14</v>
      </c>
      <c r="E353">
        <v>72021</v>
      </c>
      <c r="F353">
        <v>29561</v>
      </c>
      <c r="G353">
        <v>64617</v>
      </c>
      <c r="H353">
        <v>3.7</v>
      </c>
      <c r="I353">
        <v>5</v>
      </c>
      <c r="J353">
        <v>42460</v>
      </c>
      <c r="K353">
        <v>1.1145828497144714</v>
      </c>
      <c r="L353">
        <v>0.5895502700601214</v>
      </c>
    </row>
    <row r="354" spans="1:12" x14ac:dyDescent="0.3">
      <c r="A354" s="1">
        <v>45854</v>
      </c>
      <c r="B354" t="s">
        <v>9</v>
      </c>
      <c r="C354" t="s">
        <v>10</v>
      </c>
      <c r="D354" t="s">
        <v>14</v>
      </c>
      <c r="E354">
        <v>367246</v>
      </c>
      <c r="F354">
        <v>207968</v>
      </c>
      <c r="G354">
        <v>332011</v>
      </c>
      <c r="H354">
        <v>3.6</v>
      </c>
      <c r="I354">
        <v>7</v>
      </c>
      <c r="J354">
        <v>159278</v>
      </c>
      <c r="K354">
        <v>1.1061260018493364</v>
      </c>
      <c r="L354">
        <v>0.43370928478458581</v>
      </c>
    </row>
    <row r="355" spans="1:12" x14ac:dyDescent="0.3">
      <c r="A355" s="1">
        <v>45851</v>
      </c>
      <c r="B355" t="s">
        <v>9</v>
      </c>
      <c r="C355" t="s">
        <v>18</v>
      </c>
      <c r="D355" t="s">
        <v>14</v>
      </c>
      <c r="E355">
        <v>261514</v>
      </c>
      <c r="F355">
        <v>115058</v>
      </c>
      <c r="G355">
        <v>283538</v>
      </c>
      <c r="H355">
        <v>4.5999999999999996</v>
      </c>
      <c r="I355">
        <v>4</v>
      </c>
      <c r="J355">
        <v>146456</v>
      </c>
      <c r="K355">
        <v>0.9223243445323025</v>
      </c>
      <c r="L355">
        <v>0.56003120291839059</v>
      </c>
    </row>
    <row r="356" spans="1:12" x14ac:dyDescent="0.3">
      <c r="A356" s="1">
        <v>45501</v>
      </c>
      <c r="B356" t="s">
        <v>12</v>
      </c>
      <c r="C356" t="s">
        <v>16</v>
      </c>
      <c r="D356" t="s">
        <v>14</v>
      </c>
      <c r="E356">
        <v>115848</v>
      </c>
      <c r="F356">
        <v>40534</v>
      </c>
      <c r="G356">
        <v>123632</v>
      </c>
      <c r="H356">
        <v>3.7</v>
      </c>
      <c r="I356">
        <v>6</v>
      </c>
      <c r="J356">
        <v>75314</v>
      </c>
      <c r="K356">
        <v>0.93703895431603468</v>
      </c>
      <c r="L356">
        <v>0.6501104896070713</v>
      </c>
    </row>
    <row r="357" spans="1:12" x14ac:dyDescent="0.3">
      <c r="A357" s="1">
        <v>45597</v>
      </c>
      <c r="B357" t="s">
        <v>15</v>
      </c>
      <c r="C357" t="s">
        <v>16</v>
      </c>
      <c r="D357" t="s">
        <v>14</v>
      </c>
      <c r="E357">
        <v>426280</v>
      </c>
      <c r="F357">
        <v>234247</v>
      </c>
      <c r="G357">
        <v>409775</v>
      </c>
      <c r="H357">
        <v>4.9000000000000004</v>
      </c>
      <c r="I357">
        <v>2</v>
      </c>
      <c r="J357">
        <v>192033</v>
      </c>
      <c r="K357">
        <v>1.0402782014520164</v>
      </c>
      <c r="L357">
        <v>0.45048559632166651</v>
      </c>
    </row>
    <row r="358" spans="1:12" x14ac:dyDescent="0.3">
      <c r="A358" s="1">
        <v>45872</v>
      </c>
      <c r="B358" t="s">
        <v>12</v>
      </c>
      <c r="C358" t="s">
        <v>16</v>
      </c>
      <c r="D358" t="s">
        <v>14</v>
      </c>
      <c r="E358">
        <v>198221</v>
      </c>
      <c r="F358">
        <v>122103</v>
      </c>
      <c r="G358">
        <v>193259</v>
      </c>
      <c r="H358">
        <v>4.3</v>
      </c>
      <c r="I358">
        <v>8</v>
      </c>
      <c r="J358">
        <v>76118</v>
      </c>
      <c r="K358">
        <v>1.0256753889857653</v>
      </c>
      <c r="L358">
        <v>0.38400573097704077</v>
      </c>
    </row>
    <row r="359" spans="1:12" x14ac:dyDescent="0.3">
      <c r="A359" s="1">
        <v>45514</v>
      </c>
      <c r="B359" t="s">
        <v>19</v>
      </c>
      <c r="C359" t="s">
        <v>18</v>
      </c>
      <c r="D359" t="s">
        <v>14</v>
      </c>
      <c r="E359">
        <v>17461</v>
      </c>
      <c r="F359">
        <v>8831</v>
      </c>
      <c r="G359">
        <v>19304</v>
      </c>
      <c r="H359">
        <v>4.0999999999999996</v>
      </c>
      <c r="I359">
        <v>11</v>
      </c>
      <c r="J359">
        <v>8630</v>
      </c>
      <c r="K359">
        <v>0.90452755905511806</v>
      </c>
      <c r="L359">
        <v>0.49424431590401469</v>
      </c>
    </row>
    <row r="360" spans="1:12" x14ac:dyDescent="0.3">
      <c r="A360" s="1">
        <v>45720</v>
      </c>
      <c r="B360" t="s">
        <v>12</v>
      </c>
      <c r="C360" t="s">
        <v>10</v>
      </c>
      <c r="D360" t="s">
        <v>14</v>
      </c>
      <c r="E360">
        <v>216821</v>
      </c>
      <c r="F360">
        <v>95599</v>
      </c>
      <c r="G360">
        <v>199016</v>
      </c>
      <c r="H360">
        <v>4.0999999999999996</v>
      </c>
      <c r="I360">
        <v>9</v>
      </c>
      <c r="J360">
        <v>121222</v>
      </c>
      <c r="K360">
        <v>1.0894651686296579</v>
      </c>
      <c r="L360">
        <v>0.55908791122631107</v>
      </c>
    </row>
    <row r="361" spans="1:12" x14ac:dyDescent="0.3">
      <c r="A361" s="1">
        <v>45569</v>
      </c>
      <c r="B361" t="s">
        <v>15</v>
      </c>
      <c r="C361" t="s">
        <v>13</v>
      </c>
      <c r="D361" t="s">
        <v>14</v>
      </c>
      <c r="E361">
        <v>167608</v>
      </c>
      <c r="F361">
        <v>65744</v>
      </c>
      <c r="G361">
        <v>170792</v>
      </c>
      <c r="H361">
        <v>4.0999999999999996</v>
      </c>
      <c r="I361">
        <v>4</v>
      </c>
      <c r="J361">
        <v>101864</v>
      </c>
      <c r="K361">
        <v>0.98135744062953767</v>
      </c>
      <c r="L361">
        <v>0.60775141997995319</v>
      </c>
    </row>
    <row r="362" spans="1:12" x14ac:dyDescent="0.3">
      <c r="A362" s="1">
        <v>45409</v>
      </c>
      <c r="B362" t="s">
        <v>9</v>
      </c>
      <c r="C362" t="s">
        <v>13</v>
      </c>
      <c r="D362" t="s">
        <v>14</v>
      </c>
      <c r="E362">
        <v>249511</v>
      </c>
      <c r="F362">
        <v>114399</v>
      </c>
      <c r="G362">
        <v>224482</v>
      </c>
      <c r="H362">
        <v>4.5</v>
      </c>
      <c r="I362">
        <v>6</v>
      </c>
      <c r="J362">
        <v>135112</v>
      </c>
      <c r="K362">
        <v>1.1114966901577854</v>
      </c>
      <c r="L362">
        <v>0.5415071880598451</v>
      </c>
    </row>
    <row r="363" spans="1:12" x14ac:dyDescent="0.3">
      <c r="A363" s="1">
        <v>45712</v>
      </c>
      <c r="B363" t="s">
        <v>9</v>
      </c>
      <c r="C363" t="s">
        <v>10</v>
      </c>
      <c r="D363" t="s">
        <v>14</v>
      </c>
      <c r="E363">
        <v>487742</v>
      </c>
      <c r="F363">
        <v>245855</v>
      </c>
      <c r="G363">
        <v>490264</v>
      </c>
      <c r="H363">
        <v>4.0999999999999996</v>
      </c>
      <c r="I363">
        <v>3</v>
      </c>
      <c r="J363">
        <v>241887</v>
      </c>
      <c r="K363">
        <v>0.99485583277581058</v>
      </c>
      <c r="L363">
        <v>0.49593227567033393</v>
      </c>
    </row>
    <row r="364" spans="1:12" x14ac:dyDescent="0.3">
      <c r="A364" s="1">
        <v>45976</v>
      </c>
      <c r="B364" t="s">
        <v>9</v>
      </c>
      <c r="C364" t="s">
        <v>10</v>
      </c>
      <c r="D364" t="s">
        <v>14</v>
      </c>
      <c r="E364">
        <v>258922</v>
      </c>
      <c r="F364">
        <v>104866</v>
      </c>
      <c r="G364">
        <v>238757</v>
      </c>
      <c r="H364">
        <v>3.8</v>
      </c>
      <c r="I364">
        <v>1</v>
      </c>
      <c r="J364">
        <v>154056</v>
      </c>
      <c r="K364">
        <v>1.0844582567212688</v>
      </c>
      <c r="L364">
        <v>0.59498999698750976</v>
      </c>
    </row>
    <row r="365" spans="1:12" x14ac:dyDescent="0.3">
      <c r="A365" s="1">
        <v>45464</v>
      </c>
      <c r="B365" t="s">
        <v>15</v>
      </c>
      <c r="C365" t="s">
        <v>13</v>
      </c>
      <c r="D365" t="s">
        <v>14</v>
      </c>
      <c r="E365">
        <v>50695</v>
      </c>
      <c r="F365">
        <v>15412</v>
      </c>
      <c r="G365">
        <v>43773</v>
      </c>
      <c r="H365">
        <v>4.5999999999999996</v>
      </c>
      <c r="I365">
        <v>1</v>
      </c>
      <c r="J365">
        <v>35283</v>
      </c>
      <c r="K365">
        <v>1.1581340095492656</v>
      </c>
      <c r="L365">
        <v>0.69598579741591871</v>
      </c>
    </row>
    <row r="366" spans="1:12" x14ac:dyDescent="0.3">
      <c r="A366" s="1">
        <v>45734</v>
      </c>
      <c r="B366" t="s">
        <v>12</v>
      </c>
      <c r="C366" t="s">
        <v>18</v>
      </c>
      <c r="D366" t="s">
        <v>14</v>
      </c>
      <c r="E366">
        <v>230931</v>
      </c>
      <c r="F366">
        <v>140013</v>
      </c>
      <c r="G366">
        <v>198435</v>
      </c>
      <c r="H366">
        <v>4.0999999999999996</v>
      </c>
      <c r="I366">
        <v>9</v>
      </c>
      <c r="J366">
        <v>90918</v>
      </c>
      <c r="K366">
        <v>1.1637614332149067</v>
      </c>
      <c r="L366">
        <v>0.39370201488756384</v>
      </c>
    </row>
    <row r="367" spans="1:12" x14ac:dyDescent="0.3">
      <c r="A367" s="1">
        <v>45741</v>
      </c>
      <c r="B367" t="s">
        <v>15</v>
      </c>
      <c r="C367" t="s">
        <v>18</v>
      </c>
      <c r="D367" t="s">
        <v>14</v>
      </c>
      <c r="E367">
        <v>422009</v>
      </c>
      <c r="F367">
        <v>226618</v>
      </c>
      <c r="G367">
        <v>388084</v>
      </c>
      <c r="H367">
        <v>4.2</v>
      </c>
      <c r="I367">
        <v>15</v>
      </c>
      <c r="J367">
        <v>195391</v>
      </c>
      <c r="K367">
        <v>1.0874166417579698</v>
      </c>
      <c r="L367">
        <v>0.46300197389155207</v>
      </c>
    </row>
    <row r="368" spans="1:12" x14ac:dyDescent="0.3">
      <c r="A368" s="1">
        <v>45416</v>
      </c>
      <c r="B368" t="s">
        <v>19</v>
      </c>
      <c r="C368" t="s">
        <v>16</v>
      </c>
      <c r="D368" t="s">
        <v>14</v>
      </c>
      <c r="E368">
        <v>41778</v>
      </c>
      <c r="F368">
        <v>20001</v>
      </c>
      <c r="G368">
        <v>47980</v>
      </c>
      <c r="H368">
        <v>4.3</v>
      </c>
      <c r="I368">
        <v>6</v>
      </c>
      <c r="J368">
        <v>21777</v>
      </c>
      <c r="K368">
        <v>0.87073780741975826</v>
      </c>
      <c r="L368">
        <v>0.52125520608932929</v>
      </c>
    </row>
    <row r="369" spans="1:12" x14ac:dyDescent="0.3">
      <c r="A369" s="1">
        <v>45623</v>
      </c>
      <c r="B369" t="s">
        <v>12</v>
      </c>
      <c r="C369" t="s">
        <v>10</v>
      </c>
      <c r="D369" t="s">
        <v>14</v>
      </c>
      <c r="E369">
        <v>335905</v>
      </c>
      <c r="F369">
        <v>185141</v>
      </c>
      <c r="G369">
        <v>307080</v>
      </c>
      <c r="H369">
        <v>3.5</v>
      </c>
      <c r="I369">
        <v>2</v>
      </c>
      <c r="J369">
        <v>150764</v>
      </c>
      <c r="K369">
        <v>1.0938680474143545</v>
      </c>
      <c r="L369">
        <v>0.44882928208868578</v>
      </c>
    </row>
    <row r="370" spans="1:12" x14ac:dyDescent="0.3">
      <c r="A370" s="1">
        <v>45456</v>
      </c>
      <c r="B370" t="s">
        <v>19</v>
      </c>
      <c r="C370" t="s">
        <v>10</v>
      </c>
      <c r="D370" t="s">
        <v>14</v>
      </c>
      <c r="E370">
        <v>348593</v>
      </c>
      <c r="F370">
        <v>137843</v>
      </c>
      <c r="G370">
        <v>383485</v>
      </c>
      <c r="H370">
        <v>4.2</v>
      </c>
      <c r="I370">
        <v>12</v>
      </c>
      <c r="J370">
        <v>210750</v>
      </c>
      <c r="K370">
        <v>0.90901339035425111</v>
      </c>
      <c r="L370">
        <v>0.60457324157398451</v>
      </c>
    </row>
    <row r="371" spans="1:12" x14ac:dyDescent="0.3">
      <c r="A371" s="1">
        <v>45845</v>
      </c>
      <c r="B371" t="s">
        <v>15</v>
      </c>
      <c r="C371" t="s">
        <v>13</v>
      </c>
      <c r="D371" t="s">
        <v>14</v>
      </c>
      <c r="E371">
        <v>197954</v>
      </c>
      <c r="F371">
        <v>100019</v>
      </c>
      <c r="G371">
        <v>184309</v>
      </c>
      <c r="H371">
        <v>4.9000000000000004</v>
      </c>
      <c r="I371">
        <v>4</v>
      </c>
      <c r="J371">
        <v>97935</v>
      </c>
      <c r="K371">
        <v>1.0740332810660358</v>
      </c>
      <c r="L371">
        <v>0.49473615082291844</v>
      </c>
    </row>
    <row r="372" spans="1:12" x14ac:dyDescent="0.3">
      <c r="A372" s="1">
        <v>45650</v>
      </c>
      <c r="B372" t="s">
        <v>9</v>
      </c>
      <c r="C372" t="s">
        <v>18</v>
      </c>
      <c r="D372" t="s">
        <v>14</v>
      </c>
      <c r="E372">
        <v>131917</v>
      </c>
      <c r="F372">
        <v>77335</v>
      </c>
      <c r="G372">
        <v>129702</v>
      </c>
      <c r="H372">
        <v>4.4000000000000004</v>
      </c>
      <c r="I372">
        <v>14</v>
      </c>
      <c r="J372">
        <v>54582</v>
      </c>
      <c r="K372">
        <v>1.0170776086721871</v>
      </c>
      <c r="L372">
        <v>0.4137601673779725</v>
      </c>
    </row>
    <row r="373" spans="1:12" x14ac:dyDescent="0.3">
      <c r="A373" s="1">
        <v>45430</v>
      </c>
      <c r="B373" t="s">
        <v>9</v>
      </c>
      <c r="C373" t="s">
        <v>18</v>
      </c>
      <c r="D373" t="s">
        <v>14</v>
      </c>
      <c r="E373">
        <v>327712</v>
      </c>
      <c r="F373">
        <v>111391</v>
      </c>
      <c r="G373">
        <v>339844</v>
      </c>
      <c r="H373">
        <v>4.4000000000000004</v>
      </c>
      <c r="I373">
        <v>2</v>
      </c>
      <c r="J373">
        <v>216321</v>
      </c>
      <c r="K373">
        <v>0.96430126764044677</v>
      </c>
      <c r="L373">
        <v>0.66009483937115521</v>
      </c>
    </row>
    <row r="374" spans="1:12" x14ac:dyDescent="0.3">
      <c r="A374" s="1">
        <v>45456</v>
      </c>
      <c r="B374" t="s">
        <v>12</v>
      </c>
      <c r="C374" t="s">
        <v>10</v>
      </c>
      <c r="D374" t="s">
        <v>14</v>
      </c>
      <c r="E374">
        <v>362912</v>
      </c>
      <c r="F374">
        <v>161529</v>
      </c>
      <c r="G374">
        <v>333271</v>
      </c>
      <c r="H374">
        <v>4.9000000000000004</v>
      </c>
      <c r="I374">
        <v>4</v>
      </c>
      <c r="J374">
        <v>201383</v>
      </c>
      <c r="K374">
        <v>1.08893963171113</v>
      </c>
      <c r="L374">
        <v>0.55490862798694995</v>
      </c>
    </row>
    <row r="375" spans="1:12" x14ac:dyDescent="0.3">
      <c r="A375" s="1">
        <v>45526</v>
      </c>
      <c r="B375" t="s">
        <v>9</v>
      </c>
      <c r="C375" t="s">
        <v>10</v>
      </c>
      <c r="D375" t="s">
        <v>14</v>
      </c>
      <c r="E375">
        <v>497151</v>
      </c>
      <c r="F375">
        <v>189940</v>
      </c>
      <c r="G375">
        <v>549916</v>
      </c>
      <c r="H375">
        <v>3.9</v>
      </c>
      <c r="I375">
        <v>10</v>
      </c>
      <c r="J375">
        <v>307211</v>
      </c>
      <c r="K375">
        <v>0.90404898202634587</v>
      </c>
      <c r="L375">
        <v>0.61794303943872186</v>
      </c>
    </row>
    <row r="376" spans="1:12" x14ac:dyDescent="0.3">
      <c r="A376" s="1">
        <v>45296</v>
      </c>
      <c r="B376" t="s">
        <v>9</v>
      </c>
      <c r="C376" t="s">
        <v>13</v>
      </c>
      <c r="D376" t="s">
        <v>14</v>
      </c>
      <c r="E376">
        <v>188634</v>
      </c>
      <c r="F376">
        <v>108222</v>
      </c>
      <c r="G376">
        <v>214548</v>
      </c>
      <c r="H376">
        <v>4.3</v>
      </c>
      <c r="I376">
        <v>7</v>
      </c>
      <c r="J376">
        <v>80412</v>
      </c>
      <c r="K376">
        <v>0.87921583981207008</v>
      </c>
      <c r="L376">
        <v>0.42628582334043702</v>
      </c>
    </row>
    <row r="377" spans="1:12" x14ac:dyDescent="0.3">
      <c r="A377" s="1">
        <v>45393</v>
      </c>
      <c r="B377" t="s">
        <v>9</v>
      </c>
      <c r="C377" t="s">
        <v>16</v>
      </c>
      <c r="D377" t="s">
        <v>14</v>
      </c>
      <c r="E377">
        <v>28990</v>
      </c>
      <c r="F377">
        <v>12050</v>
      </c>
      <c r="G377">
        <v>25182</v>
      </c>
      <c r="H377">
        <v>3.7</v>
      </c>
      <c r="I377">
        <v>14</v>
      </c>
      <c r="J377">
        <v>16940</v>
      </c>
      <c r="K377">
        <v>1.1512191247716623</v>
      </c>
      <c r="L377">
        <v>0.58433942738875477</v>
      </c>
    </row>
    <row r="378" spans="1:12" x14ac:dyDescent="0.3">
      <c r="A378" s="1">
        <v>45901</v>
      </c>
      <c r="B378" t="s">
        <v>15</v>
      </c>
      <c r="C378" t="s">
        <v>13</v>
      </c>
      <c r="D378" t="s">
        <v>14</v>
      </c>
      <c r="E378">
        <v>43870</v>
      </c>
      <c r="F378">
        <v>26525</v>
      </c>
      <c r="G378">
        <v>49894</v>
      </c>
      <c r="H378">
        <v>4.9000000000000004</v>
      </c>
      <c r="I378">
        <v>11</v>
      </c>
      <c r="J378">
        <v>17345</v>
      </c>
      <c r="K378">
        <v>0.87926403976430034</v>
      </c>
      <c r="L378">
        <v>0.39537269204467745</v>
      </c>
    </row>
    <row r="379" spans="1:12" x14ac:dyDescent="0.3">
      <c r="A379" s="1">
        <v>45516</v>
      </c>
      <c r="B379" t="s">
        <v>12</v>
      </c>
      <c r="C379" t="s">
        <v>10</v>
      </c>
      <c r="D379" t="s">
        <v>14</v>
      </c>
      <c r="E379">
        <v>250853</v>
      </c>
      <c r="F379">
        <v>132732</v>
      </c>
      <c r="G379">
        <v>218168</v>
      </c>
      <c r="H379">
        <v>3.8</v>
      </c>
      <c r="I379">
        <v>10</v>
      </c>
      <c r="J379">
        <v>118121</v>
      </c>
      <c r="K379">
        <v>1.1498157383300942</v>
      </c>
      <c r="L379">
        <v>0.47087736642575534</v>
      </c>
    </row>
    <row r="380" spans="1:12" x14ac:dyDescent="0.3">
      <c r="A380" s="1">
        <v>45620</v>
      </c>
      <c r="B380" t="s">
        <v>9</v>
      </c>
      <c r="C380" t="s">
        <v>13</v>
      </c>
      <c r="D380" t="s">
        <v>14</v>
      </c>
      <c r="E380">
        <v>280160</v>
      </c>
      <c r="F380">
        <v>96909</v>
      </c>
      <c r="G380">
        <v>313198</v>
      </c>
      <c r="H380">
        <v>3.6</v>
      </c>
      <c r="I380">
        <v>0</v>
      </c>
      <c r="J380">
        <v>183251</v>
      </c>
      <c r="K380">
        <v>0.89451401349944759</v>
      </c>
      <c r="L380">
        <v>0.65409408909194744</v>
      </c>
    </row>
    <row r="381" spans="1:12" x14ac:dyDescent="0.3">
      <c r="A381" s="1">
        <v>45614</v>
      </c>
      <c r="B381" t="s">
        <v>12</v>
      </c>
      <c r="C381" t="s">
        <v>10</v>
      </c>
      <c r="D381" t="s">
        <v>14</v>
      </c>
      <c r="E381">
        <v>428734</v>
      </c>
      <c r="F381">
        <v>239995</v>
      </c>
      <c r="G381">
        <v>458834</v>
      </c>
      <c r="H381">
        <v>4.5999999999999996</v>
      </c>
      <c r="I381">
        <v>13</v>
      </c>
      <c r="J381">
        <v>188739</v>
      </c>
      <c r="K381">
        <v>0.9343989329474276</v>
      </c>
      <c r="L381">
        <v>0.44022400835949566</v>
      </c>
    </row>
    <row r="382" spans="1:12" x14ac:dyDescent="0.3">
      <c r="A382" s="1">
        <v>45846</v>
      </c>
      <c r="B382" t="s">
        <v>19</v>
      </c>
      <c r="C382" t="s">
        <v>13</v>
      </c>
      <c r="D382" t="s">
        <v>14</v>
      </c>
      <c r="E382">
        <v>325014</v>
      </c>
      <c r="F382">
        <v>114366</v>
      </c>
      <c r="G382">
        <v>278562</v>
      </c>
      <c r="H382">
        <v>4.8</v>
      </c>
      <c r="I382">
        <v>3</v>
      </c>
      <c r="J382">
        <v>210648</v>
      </c>
      <c r="K382">
        <v>1.1667564132939885</v>
      </c>
      <c r="L382">
        <v>0.64811977330207315</v>
      </c>
    </row>
    <row r="383" spans="1:12" x14ac:dyDescent="0.3">
      <c r="A383" s="1">
        <v>45689</v>
      </c>
      <c r="B383" t="s">
        <v>15</v>
      </c>
      <c r="C383" t="s">
        <v>18</v>
      </c>
      <c r="D383" t="s">
        <v>14</v>
      </c>
      <c r="E383">
        <v>192885</v>
      </c>
      <c r="F383">
        <v>102228</v>
      </c>
      <c r="G383">
        <v>205896</v>
      </c>
      <c r="H383">
        <v>4.8</v>
      </c>
      <c r="I383">
        <v>5</v>
      </c>
      <c r="J383">
        <v>90657</v>
      </c>
      <c r="K383">
        <v>0.93680790301899985</v>
      </c>
      <c r="L383">
        <v>0.47000544365813829</v>
      </c>
    </row>
    <row r="384" spans="1:12" x14ac:dyDescent="0.3">
      <c r="A384" s="1">
        <v>45464</v>
      </c>
      <c r="B384" t="s">
        <v>19</v>
      </c>
      <c r="C384" t="s">
        <v>16</v>
      </c>
      <c r="D384" t="s">
        <v>14</v>
      </c>
      <c r="E384">
        <v>28135</v>
      </c>
      <c r="F384">
        <v>11774</v>
      </c>
      <c r="G384">
        <v>30148</v>
      </c>
      <c r="H384">
        <v>4</v>
      </c>
      <c r="I384">
        <v>7</v>
      </c>
      <c r="J384">
        <v>16361</v>
      </c>
      <c r="K384">
        <v>0.93322940161868118</v>
      </c>
      <c r="L384">
        <v>0.58151768260174164</v>
      </c>
    </row>
    <row r="385" spans="1:12" x14ac:dyDescent="0.3">
      <c r="A385" s="1">
        <v>45840</v>
      </c>
      <c r="B385" t="s">
        <v>19</v>
      </c>
      <c r="C385" t="s">
        <v>13</v>
      </c>
      <c r="D385" t="s">
        <v>14</v>
      </c>
      <c r="E385">
        <v>126923</v>
      </c>
      <c r="F385">
        <v>49150</v>
      </c>
      <c r="G385">
        <v>141560</v>
      </c>
      <c r="H385">
        <v>4.5999999999999996</v>
      </c>
      <c r="I385">
        <v>15</v>
      </c>
      <c r="J385">
        <v>77773</v>
      </c>
      <c r="K385">
        <v>0.89660214749929357</v>
      </c>
      <c r="L385">
        <v>0.61275734106505519</v>
      </c>
    </row>
    <row r="386" spans="1:12" x14ac:dyDescent="0.3">
      <c r="A386" s="1">
        <v>45994</v>
      </c>
      <c r="B386" t="s">
        <v>9</v>
      </c>
      <c r="C386" t="s">
        <v>18</v>
      </c>
      <c r="D386" t="s">
        <v>14</v>
      </c>
      <c r="E386">
        <v>37537</v>
      </c>
      <c r="F386">
        <v>20341</v>
      </c>
      <c r="G386">
        <v>39647</v>
      </c>
      <c r="H386">
        <v>3.5</v>
      </c>
      <c r="I386">
        <v>13</v>
      </c>
      <c r="J386">
        <v>17196</v>
      </c>
      <c r="K386">
        <v>0.9467803364693419</v>
      </c>
      <c r="L386">
        <v>0.45810800010656155</v>
      </c>
    </row>
    <row r="387" spans="1:12" x14ac:dyDescent="0.3">
      <c r="A387" s="1">
        <v>45722</v>
      </c>
      <c r="B387" t="s">
        <v>19</v>
      </c>
      <c r="C387" t="s">
        <v>16</v>
      </c>
      <c r="D387" t="s">
        <v>14</v>
      </c>
      <c r="E387">
        <v>88356</v>
      </c>
      <c r="F387">
        <v>32820</v>
      </c>
      <c r="G387">
        <v>92176</v>
      </c>
      <c r="H387">
        <v>3.6</v>
      </c>
      <c r="I387">
        <v>3</v>
      </c>
      <c r="J387">
        <v>55536</v>
      </c>
      <c r="K387">
        <v>0.95855754209338662</v>
      </c>
      <c r="L387">
        <v>0.62854814613608578</v>
      </c>
    </row>
    <row r="388" spans="1:12" x14ac:dyDescent="0.3">
      <c r="A388" s="1">
        <v>45989</v>
      </c>
      <c r="B388" t="s">
        <v>12</v>
      </c>
      <c r="C388" t="s">
        <v>16</v>
      </c>
      <c r="D388" t="s">
        <v>14</v>
      </c>
      <c r="E388">
        <v>334512</v>
      </c>
      <c r="F388">
        <v>144571</v>
      </c>
      <c r="G388">
        <v>354969</v>
      </c>
      <c r="H388">
        <v>3.5</v>
      </c>
      <c r="I388">
        <v>11</v>
      </c>
      <c r="J388">
        <v>189941</v>
      </c>
      <c r="K388">
        <v>0.94236961537486374</v>
      </c>
      <c r="L388">
        <v>0.56781520543358688</v>
      </c>
    </row>
    <row r="389" spans="1:12" x14ac:dyDescent="0.3">
      <c r="A389" s="1">
        <v>45448</v>
      </c>
      <c r="B389" t="s">
        <v>9</v>
      </c>
      <c r="C389" t="s">
        <v>18</v>
      </c>
      <c r="D389" t="s">
        <v>14</v>
      </c>
      <c r="E389">
        <v>29008</v>
      </c>
      <c r="F389">
        <v>15631</v>
      </c>
      <c r="G389">
        <v>31990</v>
      </c>
      <c r="H389">
        <v>4</v>
      </c>
      <c r="I389">
        <v>10</v>
      </c>
      <c r="J389">
        <v>13377</v>
      </c>
      <c r="K389">
        <v>0.90678336980306351</v>
      </c>
      <c r="L389">
        <v>0.46114864864864863</v>
      </c>
    </row>
    <row r="390" spans="1:12" x14ac:dyDescent="0.3">
      <c r="A390" s="1">
        <v>45645</v>
      </c>
      <c r="B390" t="s">
        <v>12</v>
      </c>
      <c r="C390" t="s">
        <v>18</v>
      </c>
      <c r="D390" t="s">
        <v>14</v>
      </c>
      <c r="E390">
        <v>579334</v>
      </c>
      <c r="F390">
        <v>292403</v>
      </c>
      <c r="G390">
        <v>492457</v>
      </c>
      <c r="H390">
        <v>4.3</v>
      </c>
      <c r="I390">
        <v>0</v>
      </c>
      <c r="J390">
        <v>286931</v>
      </c>
      <c r="K390">
        <v>1.1764154027661298</v>
      </c>
      <c r="L390">
        <v>0.49527733569926846</v>
      </c>
    </row>
    <row r="391" spans="1:12" x14ac:dyDescent="0.3">
      <c r="A391" s="1">
        <v>45313</v>
      </c>
      <c r="B391" t="s">
        <v>15</v>
      </c>
      <c r="C391" t="s">
        <v>18</v>
      </c>
      <c r="D391" t="s">
        <v>14</v>
      </c>
      <c r="E391">
        <v>197450</v>
      </c>
      <c r="F391">
        <v>95085</v>
      </c>
      <c r="G391">
        <v>177228</v>
      </c>
      <c r="H391">
        <v>4.8</v>
      </c>
      <c r="I391">
        <v>1</v>
      </c>
      <c r="J391">
        <v>102365</v>
      </c>
      <c r="K391">
        <v>1.114101609226533</v>
      </c>
      <c r="L391">
        <v>0.51843504684730313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1296C-9861-419D-B44D-C43B81A6EAB4}">
  <dimension ref="A2:I89"/>
  <sheetViews>
    <sheetView topLeftCell="A80" zoomScale="75" workbookViewId="0">
      <selection activeCell="A86" sqref="A86"/>
    </sheetView>
  </sheetViews>
  <sheetFormatPr defaultRowHeight="14.4" x14ac:dyDescent="0.3"/>
  <cols>
    <col min="1" max="1" width="16.21875" bestFit="1" customWidth="1"/>
    <col min="2" max="2" width="27.33203125" bestFit="1" customWidth="1"/>
    <col min="3" max="3" width="18.21875" bestFit="1" customWidth="1"/>
    <col min="4" max="4" width="26.88671875" bestFit="1" customWidth="1"/>
    <col min="5" max="6" width="19.5546875" bestFit="1" customWidth="1"/>
    <col min="7" max="7" width="26.33203125" bestFit="1" customWidth="1"/>
    <col min="8" max="8" width="16.44140625" bestFit="1" customWidth="1"/>
    <col min="9" max="9" width="17.44140625" bestFit="1" customWidth="1"/>
    <col min="10" max="10" width="16.44140625" bestFit="1" customWidth="1"/>
  </cols>
  <sheetData>
    <row r="2" spans="1:2" x14ac:dyDescent="0.3">
      <c r="A2" t="s">
        <v>24</v>
      </c>
    </row>
    <row r="3" spans="1:2" x14ac:dyDescent="0.3">
      <c r="A3" s="3" t="s">
        <v>2</v>
      </c>
      <c r="B3" t="s">
        <v>25</v>
      </c>
    </row>
    <row r="4" spans="1:2" x14ac:dyDescent="0.3">
      <c r="A4" s="4" t="s">
        <v>16</v>
      </c>
      <c r="B4" s="8">
        <v>39810613</v>
      </c>
    </row>
    <row r="5" spans="1:2" x14ac:dyDescent="0.3">
      <c r="A5" s="4" t="s">
        <v>13</v>
      </c>
      <c r="B5" s="8">
        <v>40343141</v>
      </c>
    </row>
    <row r="6" spans="1:2" x14ac:dyDescent="0.3">
      <c r="A6" s="4" t="s">
        <v>10</v>
      </c>
      <c r="B6" s="8">
        <v>49827830</v>
      </c>
    </row>
    <row r="7" spans="1:2" x14ac:dyDescent="0.3">
      <c r="A7" s="4" t="s">
        <v>18</v>
      </c>
      <c r="B7" s="8">
        <v>39260541</v>
      </c>
    </row>
    <row r="8" spans="1:2" x14ac:dyDescent="0.3">
      <c r="A8" s="4" t="s">
        <v>23</v>
      </c>
      <c r="B8" s="8">
        <v>169242125</v>
      </c>
    </row>
    <row r="10" spans="1:2" x14ac:dyDescent="0.3">
      <c r="A10" s="4" t="s">
        <v>26</v>
      </c>
    </row>
    <row r="11" spans="1:2" x14ac:dyDescent="0.3">
      <c r="A11" s="3" t="s">
        <v>1</v>
      </c>
      <c r="B11" t="s">
        <v>25</v>
      </c>
    </row>
    <row r="12" spans="1:2" x14ac:dyDescent="0.3">
      <c r="A12" s="4" t="s">
        <v>12</v>
      </c>
      <c r="B12">
        <v>40816067</v>
      </c>
    </row>
    <row r="13" spans="1:2" x14ac:dyDescent="0.3">
      <c r="A13" s="4" t="s">
        <v>15</v>
      </c>
      <c r="B13">
        <v>43494502</v>
      </c>
    </row>
    <row r="14" spans="1:2" x14ac:dyDescent="0.3">
      <c r="A14" s="4" t="s">
        <v>9</v>
      </c>
      <c r="B14">
        <v>39266710</v>
      </c>
    </row>
    <row r="15" spans="1:2" x14ac:dyDescent="0.3">
      <c r="A15" s="4" t="s">
        <v>19</v>
      </c>
      <c r="B15">
        <v>45664846</v>
      </c>
    </row>
    <row r="16" spans="1:2" x14ac:dyDescent="0.3">
      <c r="A16" s="4" t="s">
        <v>23</v>
      </c>
      <c r="B16">
        <v>169242125</v>
      </c>
    </row>
    <row r="18" spans="1:2" x14ac:dyDescent="0.3">
      <c r="A18" s="4" t="s">
        <v>28</v>
      </c>
    </row>
    <row r="19" spans="1:2" x14ac:dyDescent="0.3">
      <c r="A19" s="3" t="s">
        <v>35</v>
      </c>
      <c r="B19" t="s">
        <v>47</v>
      </c>
    </row>
    <row r="20" spans="1:2" x14ac:dyDescent="0.3">
      <c r="A20" s="4" t="s">
        <v>14</v>
      </c>
      <c r="B20" s="2">
        <v>0.9978118169133311</v>
      </c>
    </row>
    <row r="21" spans="1:2" x14ac:dyDescent="0.3">
      <c r="A21" s="4" t="s">
        <v>11</v>
      </c>
      <c r="B21" s="2">
        <v>0.99880603364590048</v>
      </c>
    </row>
    <row r="22" spans="1:2" x14ac:dyDescent="0.3">
      <c r="A22" s="4" t="s">
        <v>17</v>
      </c>
      <c r="B22" s="2">
        <v>1.0053584209370976</v>
      </c>
    </row>
    <row r="23" spans="1:2" x14ac:dyDescent="0.3">
      <c r="A23" s="4" t="s">
        <v>23</v>
      </c>
      <c r="B23" s="2">
        <v>1.0007314431932786</v>
      </c>
    </row>
    <row r="25" spans="1:2" x14ac:dyDescent="0.3">
      <c r="A25" s="4" t="s">
        <v>34</v>
      </c>
    </row>
    <row r="26" spans="1:2" x14ac:dyDescent="0.3">
      <c r="A26" s="3" t="s">
        <v>36</v>
      </c>
      <c r="B26" t="s">
        <v>29</v>
      </c>
    </row>
    <row r="27" spans="1:2" x14ac:dyDescent="0.3">
      <c r="A27" s="4" t="s">
        <v>30</v>
      </c>
      <c r="B27" s="8">
        <v>82425325</v>
      </c>
    </row>
    <row r="28" spans="1:2" x14ac:dyDescent="0.3">
      <c r="A28" s="4" t="s">
        <v>31</v>
      </c>
      <c r="B28" s="8">
        <v>75559787</v>
      </c>
    </row>
    <row r="29" spans="1:2" x14ac:dyDescent="0.3">
      <c r="A29" s="4" t="s">
        <v>32</v>
      </c>
      <c r="B29" s="8">
        <v>84530311</v>
      </c>
    </row>
    <row r="30" spans="1:2" x14ac:dyDescent="0.3">
      <c r="A30" s="4" t="s">
        <v>33</v>
      </c>
      <c r="B30" s="8">
        <v>75450473</v>
      </c>
    </row>
    <row r="31" spans="1:2" x14ac:dyDescent="0.3">
      <c r="A31" s="4" t="s">
        <v>23</v>
      </c>
      <c r="B31" s="8">
        <v>317965896</v>
      </c>
    </row>
    <row r="34" spans="1:4" x14ac:dyDescent="0.3">
      <c r="A34" t="s">
        <v>37</v>
      </c>
    </row>
    <row r="35" spans="1:4" x14ac:dyDescent="0.3">
      <c r="A35" s="3" t="s">
        <v>2</v>
      </c>
      <c r="B35" t="s">
        <v>29</v>
      </c>
      <c r="C35" t="s">
        <v>38</v>
      </c>
    </row>
    <row r="36" spans="1:4" x14ac:dyDescent="0.3">
      <c r="A36" s="4" t="s">
        <v>16</v>
      </c>
      <c r="B36" s="8">
        <v>74830103</v>
      </c>
      <c r="C36" s="8">
        <v>35019490</v>
      </c>
    </row>
    <row r="37" spans="1:4" x14ac:dyDescent="0.3">
      <c r="A37" s="4" t="s">
        <v>13</v>
      </c>
      <c r="B37" s="8">
        <v>76148902</v>
      </c>
      <c r="C37" s="8">
        <v>35805761</v>
      </c>
    </row>
    <row r="38" spans="1:4" x14ac:dyDescent="0.3">
      <c r="A38" s="4" t="s">
        <v>10</v>
      </c>
      <c r="B38" s="8">
        <v>92519107</v>
      </c>
      <c r="C38" s="8">
        <v>42691277</v>
      </c>
    </row>
    <row r="39" spans="1:4" x14ac:dyDescent="0.3">
      <c r="A39" s="4" t="s">
        <v>18</v>
      </c>
      <c r="B39" s="8">
        <v>74467784</v>
      </c>
      <c r="C39" s="8">
        <v>35207243</v>
      </c>
    </row>
    <row r="40" spans="1:4" x14ac:dyDescent="0.3">
      <c r="A40" s="4" t="s">
        <v>23</v>
      </c>
      <c r="B40" s="8">
        <v>317965896</v>
      </c>
      <c r="C40" s="8">
        <v>148723771</v>
      </c>
    </row>
    <row r="43" spans="1:4" ht="28.8" customHeight="1" x14ac:dyDescent="0.3">
      <c r="A43" s="18" t="s">
        <v>39</v>
      </c>
      <c r="B43" s="18"/>
    </row>
    <row r="44" spans="1:4" x14ac:dyDescent="0.3">
      <c r="A44" s="3" t="s">
        <v>49</v>
      </c>
      <c r="B44" t="s">
        <v>40</v>
      </c>
      <c r="C44" s="4">
        <v>0</v>
      </c>
      <c r="D44" s="9">
        <v>249421.1794871795</v>
      </c>
    </row>
    <row r="45" spans="1:4" x14ac:dyDescent="0.3">
      <c r="A45" s="4">
        <v>0</v>
      </c>
      <c r="B45">
        <v>249421.1794871795</v>
      </c>
      <c r="C45" s="4">
        <v>1</v>
      </c>
      <c r="D45" s="9">
        <v>279749.73749999999</v>
      </c>
    </row>
    <row r="46" spans="1:4" x14ac:dyDescent="0.3">
      <c r="A46" s="4">
        <v>1</v>
      </c>
      <c r="B46">
        <v>279749.73749999999</v>
      </c>
      <c r="C46" s="4">
        <v>2</v>
      </c>
      <c r="D46" s="9">
        <v>256292.16923076924</v>
      </c>
    </row>
    <row r="47" spans="1:4" x14ac:dyDescent="0.3">
      <c r="A47" s="4">
        <v>2</v>
      </c>
      <c r="B47">
        <v>256292.16923076924</v>
      </c>
      <c r="C47" s="4">
        <v>3</v>
      </c>
      <c r="D47" s="9">
        <v>259175.42424242425</v>
      </c>
    </row>
    <row r="48" spans="1:4" x14ac:dyDescent="0.3">
      <c r="A48" s="4">
        <v>3</v>
      </c>
      <c r="B48">
        <v>259175.42424242425</v>
      </c>
      <c r="C48" s="4">
        <v>4</v>
      </c>
      <c r="D48" s="9">
        <v>289845.22784810129</v>
      </c>
    </row>
    <row r="49" spans="1:4" x14ac:dyDescent="0.3">
      <c r="A49" s="4">
        <v>4</v>
      </c>
      <c r="B49">
        <v>289845.22784810129</v>
      </c>
      <c r="C49" s="4">
        <v>5</v>
      </c>
      <c r="D49" s="9">
        <v>277700.27586206899</v>
      </c>
    </row>
    <row r="50" spans="1:4" x14ac:dyDescent="0.3">
      <c r="A50" s="4">
        <v>5</v>
      </c>
      <c r="B50">
        <v>277700.27586206899</v>
      </c>
      <c r="C50" s="4">
        <v>6</v>
      </c>
      <c r="D50" s="9">
        <v>270767.31506849313</v>
      </c>
    </row>
    <row r="51" spans="1:4" x14ac:dyDescent="0.3">
      <c r="A51" s="4">
        <v>6</v>
      </c>
      <c r="B51">
        <v>270767.31506849313</v>
      </c>
      <c r="C51" s="4">
        <v>7</v>
      </c>
      <c r="D51" s="9">
        <v>255435.4025974026</v>
      </c>
    </row>
    <row r="52" spans="1:4" x14ac:dyDescent="0.3">
      <c r="A52" s="4">
        <v>7</v>
      </c>
      <c r="B52">
        <v>255435.4025974026</v>
      </c>
      <c r="C52" s="4">
        <v>8</v>
      </c>
      <c r="D52" s="9">
        <v>254032.1794871795</v>
      </c>
    </row>
    <row r="53" spans="1:4" x14ac:dyDescent="0.3">
      <c r="A53" s="4">
        <v>8</v>
      </c>
      <c r="B53">
        <v>254032.1794871795</v>
      </c>
      <c r="C53" s="4">
        <v>9</v>
      </c>
      <c r="D53" s="9">
        <v>238587.14285714287</v>
      </c>
    </row>
    <row r="54" spans="1:4" x14ac:dyDescent="0.3">
      <c r="A54" s="4">
        <v>9</v>
      </c>
      <c r="B54">
        <v>238587.14285714287</v>
      </c>
      <c r="C54" s="4">
        <v>10</v>
      </c>
      <c r="D54" s="9">
        <v>277489.71666666667</v>
      </c>
    </row>
    <row r="55" spans="1:4" x14ac:dyDescent="0.3">
      <c r="A55" s="4">
        <v>10</v>
      </c>
      <c r="B55">
        <v>277489.71666666667</v>
      </c>
      <c r="C55" s="4">
        <v>11</v>
      </c>
      <c r="D55" s="9">
        <v>284639.4675324675</v>
      </c>
    </row>
    <row r="56" spans="1:4" x14ac:dyDescent="0.3">
      <c r="A56" s="4">
        <v>11</v>
      </c>
      <c r="B56">
        <v>284639.4675324675</v>
      </c>
      <c r="C56" s="4">
        <v>12</v>
      </c>
      <c r="D56" s="9">
        <v>244340.46376811594</v>
      </c>
    </row>
    <row r="57" spans="1:4" x14ac:dyDescent="0.3">
      <c r="A57" s="4">
        <v>12</v>
      </c>
      <c r="B57">
        <v>244340.46376811594</v>
      </c>
      <c r="C57" s="4">
        <v>13</v>
      </c>
      <c r="D57" s="9">
        <v>278341.23287671234</v>
      </c>
    </row>
    <row r="58" spans="1:4" x14ac:dyDescent="0.3">
      <c r="A58" s="4">
        <v>13</v>
      </c>
      <c r="B58">
        <v>278341.23287671234</v>
      </c>
      <c r="C58" s="4">
        <v>14</v>
      </c>
      <c r="D58" s="9">
        <v>253951.63529411764</v>
      </c>
    </row>
    <row r="59" spans="1:4" x14ac:dyDescent="0.3">
      <c r="A59" s="4">
        <v>14</v>
      </c>
      <c r="B59">
        <v>253951.63529411764</v>
      </c>
      <c r="C59" s="4">
        <v>15</v>
      </c>
      <c r="D59" s="9">
        <v>267863.5</v>
      </c>
    </row>
    <row r="60" spans="1:4" x14ac:dyDescent="0.3">
      <c r="A60" s="4">
        <v>15</v>
      </c>
      <c r="B60">
        <v>267863.5</v>
      </c>
    </row>
    <row r="61" spans="1:4" x14ac:dyDescent="0.3">
      <c r="A61" s="4" t="s">
        <v>23</v>
      </c>
      <c r="B61">
        <v>264971.58</v>
      </c>
    </row>
    <row r="64" spans="1:4" x14ac:dyDescent="0.3">
      <c r="A64" s="19" t="s">
        <v>41</v>
      </c>
      <c r="B64" s="19"/>
    </row>
    <row r="65" spans="1:6" x14ac:dyDescent="0.3">
      <c r="A65" s="19"/>
      <c r="B65" s="19"/>
    </row>
    <row r="66" spans="1:6" x14ac:dyDescent="0.3">
      <c r="A66" s="3" t="s">
        <v>3</v>
      </c>
      <c r="B66" t="s">
        <v>42</v>
      </c>
    </row>
    <row r="67" spans="1:6" x14ac:dyDescent="0.3">
      <c r="A67" s="4" t="s">
        <v>14</v>
      </c>
      <c r="B67">
        <v>4.2201030927835044</v>
      </c>
    </row>
    <row r="68" spans="1:6" x14ac:dyDescent="0.3">
      <c r="A68" s="4" t="s">
        <v>11</v>
      </c>
      <c r="B68">
        <v>4.244029850746271</v>
      </c>
    </row>
    <row r="69" spans="1:6" x14ac:dyDescent="0.3">
      <c r="A69" s="4" t="s">
        <v>17</v>
      </c>
      <c r="B69">
        <v>4.2409756097560951</v>
      </c>
    </row>
    <row r="70" spans="1:6" x14ac:dyDescent="0.3">
      <c r="A70" s="4" t="s">
        <v>23</v>
      </c>
      <c r="B70">
        <v>4.2352500000000006</v>
      </c>
    </row>
    <row r="73" spans="1:6" x14ac:dyDescent="0.3">
      <c r="A73" t="s">
        <v>44</v>
      </c>
    </row>
    <row r="74" spans="1:6" x14ac:dyDescent="0.3">
      <c r="A74" s="3" t="s">
        <v>43</v>
      </c>
      <c r="B74" t="s">
        <v>29</v>
      </c>
    </row>
    <row r="75" spans="1:6" x14ac:dyDescent="0.3">
      <c r="A75" s="4" t="s">
        <v>16</v>
      </c>
      <c r="B75">
        <v>74830103</v>
      </c>
    </row>
    <row r="76" spans="1:6" x14ac:dyDescent="0.3">
      <c r="A76" s="4" t="s">
        <v>13</v>
      </c>
      <c r="B76">
        <v>76148902</v>
      </c>
    </row>
    <row r="77" spans="1:6" x14ac:dyDescent="0.3">
      <c r="A77" s="4" t="s">
        <v>10</v>
      </c>
      <c r="B77">
        <v>92519107</v>
      </c>
      <c r="C77" s="4" t="s">
        <v>16</v>
      </c>
      <c r="D77">
        <v>74830103</v>
      </c>
    </row>
    <row r="78" spans="1:6" x14ac:dyDescent="0.3">
      <c r="A78" s="4" t="s">
        <v>18</v>
      </c>
      <c r="B78">
        <v>74467784</v>
      </c>
      <c r="C78" s="4" t="s">
        <v>13</v>
      </c>
      <c r="D78">
        <v>76148902</v>
      </c>
      <c r="F78" t="s">
        <v>27</v>
      </c>
    </row>
    <row r="79" spans="1:6" x14ac:dyDescent="0.3">
      <c r="A79" s="4" t="s">
        <v>23</v>
      </c>
      <c r="B79">
        <v>317965896</v>
      </c>
      <c r="C79" s="4" t="s">
        <v>10</v>
      </c>
      <c r="D79">
        <v>92519107</v>
      </c>
      <c r="F79">
        <v>317733492</v>
      </c>
    </row>
    <row r="80" spans="1:6" x14ac:dyDescent="0.3">
      <c r="C80" s="4" t="s">
        <v>18</v>
      </c>
      <c r="D80">
        <v>74467784</v>
      </c>
    </row>
    <row r="83" spans="1:9" x14ac:dyDescent="0.3">
      <c r="A83" s="6"/>
    </row>
    <row r="85" spans="1:9" x14ac:dyDescent="0.3">
      <c r="A85" t="s">
        <v>29</v>
      </c>
      <c r="C85" t="s">
        <v>25</v>
      </c>
      <c r="F85" t="s">
        <v>46</v>
      </c>
      <c r="I85" t="s">
        <v>38</v>
      </c>
    </row>
    <row r="86" spans="1:9" x14ac:dyDescent="0.3">
      <c r="A86" s="10">
        <v>317965896</v>
      </c>
      <c r="C86" s="8">
        <v>169242125</v>
      </c>
      <c r="F86" s="2">
        <f>GETPIVOTDATA("Revenue_USD",$A$85)/GETPIVOTDATA("Budget_Target",$F$78)</f>
        <v>1.0007314431932786</v>
      </c>
      <c r="I86" s="10">
        <v>148723771</v>
      </c>
    </row>
    <row r="88" spans="1:9" x14ac:dyDescent="0.3">
      <c r="E88" t="s">
        <v>45</v>
      </c>
    </row>
    <row r="89" spans="1:9" x14ac:dyDescent="0.3">
      <c r="C89" s="2">
        <v>0.5323</v>
      </c>
      <c r="E89" s="2">
        <f>GETPIVOTDATA("Gross_Profit",$C$85)/GETPIVOTDATA("Revenue_USD",$A$85)</f>
        <v>0.53226502316462265</v>
      </c>
    </row>
  </sheetData>
  <mergeCells count="2">
    <mergeCell ref="A43:B43"/>
    <mergeCell ref="A64:B65"/>
  </mergeCells>
  <pageMargins left="0.7" right="0.7" top="0.75" bottom="0.75" header="0.3" footer="0.3"/>
  <pageSetup orientation="portrait" r:id="rId13"/>
  <drawing r:id="rId14"/>
  <tableParts count="1">
    <tablePart r:id="rId1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57C82-06AB-4F4C-AA94-8DB7E446DB77}">
  <dimension ref="A1:L1201"/>
  <sheetViews>
    <sheetView topLeftCell="A17" workbookViewId="0">
      <selection activeCell="I2" sqref="I1:I2"/>
    </sheetView>
  </sheetViews>
  <sheetFormatPr defaultRowHeight="14.4" x14ac:dyDescent="0.3"/>
  <cols>
    <col min="1" max="1" width="10.33203125" bestFit="1" customWidth="1"/>
    <col min="3" max="3" width="17.109375" customWidth="1"/>
    <col min="4" max="4" width="14.5546875" customWidth="1"/>
    <col min="5" max="5" width="14.21875" customWidth="1"/>
    <col min="6" max="6" width="12.5546875" customWidth="1"/>
    <col min="7" max="7" width="14.5546875" customWidth="1"/>
    <col min="9" max="9" width="18.21875" customWidth="1"/>
    <col min="10" max="10" width="13.5546875" customWidth="1"/>
    <col min="11" max="11" width="21.77734375" customWidth="1"/>
    <col min="12" max="12" width="15.21875" customWidth="1"/>
  </cols>
  <sheetData>
    <row r="1" spans="1:12" x14ac:dyDescent="0.3">
      <c r="A1" t="s">
        <v>0</v>
      </c>
      <c r="B1" t="s">
        <v>1</v>
      </c>
      <c r="C1" t="s">
        <v>2</v>
      </c>
      <c r="D1" t="s">
        <v>3</v>
      </c>
      <c r="E1" t="s">
        <v>4</v>
      </c>
      <c r="F1" t="s">
        <v>5</v>
      </c>
      <c r="G1" t="s">
        <v>6</v>
      </c>
      <c r="H1" t="s">
        <v>7</v>
      </c>
      <c r="I1" s="5" t="s">
        <v>8</v>
      </c>
      <c r="J1" t="s">
        <v>20</v>
      </c>
      <c r="K1" t="s">
        <v>21</v>
      </c>
      <c r="L1" t="s">
        <v>22</v>
      </c>
    </row>
    <row r="2" spans="1:12" x14ac:dyDescent="0.3">
      <c r="A2" s="1">
        <v>45394</v>
      </c>
      <c r="B2" t="s">
        <v>9</v>
      </c>
      <c r="C2" t="s">
        <v>10</v>
      </c>
      <c r="D2" t="s">
        <v>11</v>
      </c>
      <c r="E2">
        <v>269178</v>
      </c>
      <c r="F2">
        <v>116931</v>
      </c>
      <c r="G2">
        <v>241400</v>
      </c>
      <c r="H2">
        <v>3.7</v>
      </c>
      <c r="I2" s="5">
        <v>7</v>
      </c>
      <c r="J2">
        <f>E2-F2</f>
        <v>152247</v>
      </c>
      <c r="K2" s="2">
        <f>E2/G2</f>
        <v>1.1150704225352113</v>
      </c>
      <c r="L2" s="2">
        <f>J2/E2</f>
        <v>0.56559971468693582</v>
      </c>
    </row>
    <row r="3" spans="1:12" x14ac:dyDescent="0.3">
      <c r="A3" s="1">
        <v>45622</v>
      </c>
      <c r="B3" t="s">
        <v>12</v>
      </c>
      <c r="C3" t="s">
        <v>13</v>
      </c>
      <c r="D3" t="s">
        <v>14</v>
      </c>
      <c r="E3">
        <v>185203</v>
      </c>
      <c r="F3">
        <v>74373</v>
      </c>
      <c r="G3">
        <v>158566</v>
      </c>
      <c r="H3">
        <v>5</v>
      </c>
      <c r="I3">
        <v>7</v>
      </c>
      <c r="J3">
        <f t="shared" ref="J3:J66" si="0">E3-F3</f>
        <v>110830</v>
      </c>
      <c r="K3" s="2">
        <f t="shared" ref="K3:K66" si="1">E3/G3</f>
        <v>1.1679868319816353</v>
      </c>
      <c r="L3" s="2">
        <f t="shared" ref="L3:L66" si="2">J3/E3</f>
        <v>0.59842443156968295</v>
      </c>
    </row>
    <row r="4" spans="1:12" x14ac:dyDescent="0.3">
      <c r="A4" s="1">
        <v>45783</v>
      </c>
      <c r="B4" t="s">
        <v>15</v>
      </c>
      <c r="C4" t="s">
        <v>16</v>
      </c>
      <c r="D4" t="s">
        <v>17</v>
      </c>
      <c r="E4">
        <v>277455</v>
      </c>
      <c r="F4">
        <v>141148</v>
      </c>
      <c r="G4">
        <v>279515</v>
      </c>
      <c r="H4">
        <v>4.0999999999999996</v>
      </c>
      <c r="I4">
        <v>0</v>
      </c>
      <c r="J4">
        <f t="shared" si="0"/>
        <v>136307</v>
      </c>
      <c r="K4" s="2">
        <f t="shared" si="1"/>
        <v>0.99263009140833225</v>
      </c>
      <c r="L4" s="2">
        <f t="shared" si="2"/>
        <v>0.49127606278495611</v>
      </c>
    </row>
    <row r="5" spans="1:12" x14ac:dyDescent="0.3">
      <c r="A5" s="1">
        <v>45852</v>
      </c>
      <c r="B5" t="s">
        <v>12</v>
      </c>
      <c r="C5" t="s">
        <v>18</v>
      </c>
      <c r="D5" t="s">
        <v>11</v>
      </c>
      <c r="E5">
        <v>394681</v>
      </c>
      <c r="F5">
        <v>214057</v>
      </c>
      <c r="G5">
        <v>378857</v>
      </c>
      <c r="H5">
        <v>4.2</v>
      </c>
      <c r="I5">
        <v>15</v>
      </c>
      <c r="J5">
        <f t="shared" si="0"/>
        <v>180624</v>
      </c>
      <c r="K5" s="2">
        <f t="shared" si="1"/>
        <v>1.041767738223129</v>
      </c>
      <c r="L5" s="2">
        <f t="shared" si="2"/>
        <v>0.4576455415892835</v>
      </c>
    </row>
    <row r="6" spans="1:12" x14ac:dyDescent="0.3">
      <c r="A6" s="1">
        <v>45978</v>
      </c>
      <c r="B6" t="s">
        <v>15</v>
      </c>
      <c r="C6" t="s">
        <v>18</v>
      </c>
      <c r="D6" t="s">
        <v>11</v>
      </c>
      <c r="E6">
        <v>338947</v>
      </c>
      <c r="F6">
        <v>117281</v>
      </c>
      <c r="G6">
        <v>357281</v>
      </c>
      <c r="H6">
        <v>4.2</v>
      </c>
      <c r="I6">
        <v>2</v>
      </c>
      <c r="J6">
        <f t="shared" si="0"/>
        <v>221666</v>
      </c>
      <c r="K6" s="2">
        <f t="shared" si="1"/>
        <v>0.94868464877785275</v>
      </c>
      <c r="L6" s="2">
        <f t="shared" si="2"/>
        <v>0.65398425122511783</v>
      </c>
    </row>
    <row r="7" spans="1:12" x14ac:dyDescent="0.3">
      <c r="A7" s="1">
        <v>45565</v>
      </c>
      <c r="B7" t="s">
        <v>9</v>
      </c>
      <c r="C7" t="s">
        <v>10</v>
      </c>
      <c r="D7" t="s">
        <v>17</v>
      </c>
      <c r="E7">
        <v>215041</v>
      </c>
      <c r="F7">
        <v>113244</v>
      </c>
      <c r="G7">
        <v>189085</v>
      </c>
      <c r="H7">
        <v>4.5</v>
      </c>
      <c r="I7">
        <v>9</v>
      </c>
      <c r="J7">
        <f t="shared" si="0"/>
        <v>101797</v>
      </c>
      <c r="K7" s="2">
        <f t="shared" si="1"/>
        <v>1.1372715974297274</v>
      </c>
      <c r="L7" s="2">
        <f t="shared" si="2"/>
        <v>0.47338414534902645</v>
      </c>
    </row>
    <row r="8" spans="1:12" x14ac:dyDescent="0.3">
      <c r="A8" s="1">
        <v>45658</v>
      </c>
      <c r="B8" t="s">
        <v>9</v>
      </c>
      <c r="C8" t="s">
        <v>18</v>
      </c>
      <c r="D8" t="s">
        <v>14</v>
      </c>
      <c r="E8">
        <v>289303</v>
      </c>
      <c r="F8">
        <v>166635</v>
      </c>
      <c r="G8">
        <v>279848</v>
      </c>
      <c r="H8">
        <v>3.8</v>
      </c>
      <c r="I8">
        <v>14</v>
      </c>
      <c r="J8">
        <f t="shared" si="0"/>
        <v>122668</v>
      </c>
      <c r="K8" s="2">
        <f t="shared" si="1"/>
        <v>1.0337861982218919</v>
      </c>
      <c r="L8" s="2">
        <f t="shared" si="2"/>
        <v>0.42401219482687702</v>
      </c>
    </row>
    <row r="9" spans="1:12" x14ac:dyDescent="0.3">
      <c r="A9" s="1">
        <v>45679</v>
      </c>
      <c r="B9" t="s">
        <v>15</v>
      </c>
      <c r="C9" t="s">
        <v>16</v>
      </c>
      <c r="D9" t="s">
        <v>17</v>
      </c>
      <c r="E9">
        <v>250181</v>
      </c>
      <c r="F9">
        <v>150260</v>
      </c>
      <c r="G9">
        <v>275870</v>
      </c>
      <c r="H9">
        <v>4.2</v>
      </c>
      <c r="I9">
        <v>5</v>
      </c>
      <c r="J9">
        <f t="shared" si="0"/>
        <v>99921</v>
      </c>
      <c r="K9" s="2">
        <f t="shared" si="1"/>
        <v>0.90688005219849932</v>
      </c>
      <c r="L9" s="2">
        <f t="shared" si="2"/>
        <v>0.39939483813718868</v>
      </c>
    </row>
    <row r="10" spans="1:12" x14ac:dyDescent="0.3">
      <c r="A10" s="1">
        <v>45493</v>
      </c>
      <c r="B10" t="s">
        <v>15</v>
      </c>
      <c r="C10" t="s">
        <v>13</v>
      </c>
      <c r="D10" t="s">
        <v>17</v>
      </c>
      <c r="E10">
        <v>435822</v>
      </c>
      <c r="F10">
        <v>193011</v>
      </c>
      <c r="G10">
        <v>438546</v>
      </c>
      <c r="H10">
        <v>4.9000000000000004</v>
      </c>
      <c r="I10">
        <v>7</v>
      </c>
      <c r="J10">
        <f t="shared" si="0"/>
        <v>242811</v>
      </c>
      <c r="K10" s="2">
        <f t="shared" si="1"/>
        <v>0.99378856493959589</v>
      </c>
      <c r="L10" s="2">
        <f t="shared" si="2"/>
        <v>0.55713341685366957</v>
      </c>
    </row>
    <row r="11" spans="1:12" x14ac:dyDescent="0.3">
      <c r="A11" s="1">
        <v>46016</v>
      </c>
      <c r="B11" t="s">
        <v>9</v>
      </c>
      <c r="C11" t="s">
        <v>10</v>
      </c>
      <c r="D11" t="s">
        <v>17</v>
      </c>
      <c r="E11">
        <v>111357</v>
      </c>
      <c r="F11">
        <v>48103</v>
      </c>
      <c r="G11">
        <v>126899</v>
      </c>
      <c r="H11">
        <v>4.4000000000000004</v>
      </c>
      <c r="I11">
        <v>4</v>
      </c>
      <c r="J11">
        <f t="shared" si="0"/>
        <v>63254</v>
      </c>
      <c r="K11" s="2">
        <f t="shared" si="1"/>
        <v>0.87752464558428356</v>
      </c>
      <c r="L11" s="2">
        <f t="shared" si="2"/>
        <v>0.5680289519293803</v>
      </c>
    </row>
    <row r="12" spans="1:12" x14ac:dyDescent="0.3">
      <c r="A12" s="1">
        <v>45784</v>
      </c>
      <c r="B12" t="s">
        <v>19</v>
      </c>
      <c r="C12" t="s">
        <v>10</v>
      </c>
      <c r="D12" t="s">
        <v>11</v>
      </c>
      <c r="E12">
        <v>464444</v>
      </c>
      <c r="F12">
        <v>276487</v>
      </c>
      <c r="G12">
        <v>453771</v>
      </c>
      <c r="H12">
        <v>4.0999999999999996</v>
      </c>
      <c r="I12">
        <v>0</v>
      </c>
      <c r="J12">
        <f t="shared" si="0"/>
        <v>187957</v>
      </c>
      <c r="K12" s="2">
        <f t="shared" si="1"/>
        <v>1.0235206745252561</v>
      </c>
      <c r="L12" s="2">
        <f t="shared" si="2"/>
        <v>0.40469249252870099</v>
      </c>
    </row>
    <row r="13" spans="1:12" x14ac:dyDescent="0.3">
      <c r="A13" s="1">
        <v>45939</v>
      </c>
      <c r="B13" t="s">
        <v>9</v>
      </c>
      <c r="C13" t="s">
        <v>18</v>
      </c>
      <c r="D13" t="s">
        <v>11</v>
      </c>
      <c r="E13">
        <v>490754</v>
      </c>
      <c r="F13">
        <v>189724</v>
      </c>
      <c r="G13">
        <v>533475</v>
      </c>
      <c r="H13">
        <v>4.4000000000000004</v>
      </c>
      <c r="I13">
        <v>0</v>
      </c>
      <c r="J13">
        <f t="shared" si="0"/>
        <v>301030</v>
      </c>
      <c r="K13" s="2">
        <f t="shared" si="1"/>
        <v>0.91991939641032849</v>
      </c>
      <c r="L13" s="2">
        <f t="shared" si="2"/>
        <v>0.61340304918553901</v>
      </c>
    </row>
    <row r="14" spans="1:12" x14ac:dyDescent="0.3">
      <c r="A14" s="1">
        <v>45781</v>
      </c>
      <c r="B14" t="s">
        <v>12</v>
      </c>
      <c r="C14" t="s">
        <v>16</v>
      </c>
      <c r="D14" t="s">
        <v>14</v>
      </c>
      <c r="E14">
        <v>193323</v>
      </c>
      <c r="F14">
        <v>69014</v>
      </c>
      <c r="G14">
        <v>190391</v>
      </c>
      <c r="H14">
        <v>3.6</v>
      </c>
      <c r="I14">
        <v>6</v>
      </c>
      <c r="J14">
        <f t="shared" si="0"/>
        <v>124309</v>
      </c>
      <c r="K14" s="2">
        <f t="shared" si="1"/>
        <v>1.015399887599729</v>
      </c>
      <c r="L14" s="2">
        <f t="shared" si="2"/>
        <v>0.64301195408720124</v>
      </c>
    </row>
    <row r="15" spans="1:12" x14ac:dyDescent="0.3">
      <c r="A15" s="1">
        <v>45794</v>
      </c>
      <c r="B15" t="s">
        <v>12</v>
      </c>
      <c r="C15" t="s">
        <v>16</v>
      </c>
      <c r="D15" t="s">
        <v>14</v>
      </c>
      <c r="E15">
        <v>499570</v>
      </c>
      <c r="F15">
        <v>215181</v>
      </c>
      <c r="G15">
        <v>557601</v>
      </c>
      <c r="H15">
        <v>4.2</v>
      </c>
      <c r="I15">
        <v>11</v>
      </c>
      <c r="J15">
        <f t="shared" si="0"/>
        <v>284389</v>
      </c>
      <c r="K15" s="2">
        <f t="shared" si="1"/>
        <v>0.89592737459222638</v>
      </c>
      <c r="L15" s="2">
        <f t="shared" si="2"/>
        <v>0.56926757011029483</v>
      </c>
    </row>
    <row r="16" spans="1:12" x14ac:dyDescent="0.3">
      <c r="A16" s="1">
        <v>45904</v>
      </c>
      <c r="B16" t="s">
        <v>12</v>
      </c>
      <c r="C16" t="s">
        <v>16</v>
      </c>
      <c r="D16" t="s">
        <v>11</v>
      </c>
      <c r="E16">
        <v>194064</v>
      </c>
      <c r="F16">
        <v>85313</v>
      </c>
      <c r="G16">
        <v>209839</v>
      </c>
      <c r="H16">
        <v>4.2</v>
      </c>
      <c r="I16">
        <v>4</v>
      </c>
      <c r="J16">
        <f t="shared" si="0"/>
        <v>108751</v>
      </c>
      <c r="K16" s="2">
        <f t="shared" si="1"/>
        <v>0.92482331692392739</v>
      </c>
      <c r="L16" s="2">
        <f t="shared" si="2"/>
        <v>0.56038729491301842</v>
      </c>
    </row>
    <row r="17" spans="1:12" x14ac:dyDescent="0.3">
      <c r="A17" s="1">
        <v>45684</v>
      </c>
      <c r="B17" t="s">
        <v>12</v>
      </c>
      <c r="C17" t="s">
        <v>18</v>
      </c>
      <c r="D17" t="s">
        <v>17</v>
      </c>
      <c r="E17">
        <v>132409</v>
      </c>
      <c r="F17">
        <v>78072</v>
      </c>
      <c r="G17">
        <v>113796</v>
      </c>
      <c r="H17">
        <v>4.5</v>
      </c>
      <c r="I17">
        <v>11</v>
      </c>
      <c r="J17">
        <f t="shared" si="0"/>
        <v>54337</v>
      </c>
      <c r="K17" s="2">
        <f t="shared" si="1"/>
        <v>1.163564624415621</v>
      </c>
      <c r="L17" s="2">
        <f t="shared" si="2"/>
        <v>0.41037240670951369</v>
      </c>
    </row>
    <row r="18" spans="1:12" x14ac:dyDescent="0.3">
      <c r="A18" s="1">
        <v>45855</v>
      </c>
      <c r="B18" t="s">
        <v>19</v>
      </c>
      <c r="C18" t="s">
        <v>13</v>
      </c>
      <c r="D18" t="s">
        <v>17</v>
      </c>
      <c r="E18">
        <v>221428</v>
      </c>
      <c r="F18">
        <v>95363</v>
      </c>
      <c r="G18">
        <v>224074</v>
      </c>
      <c r="H18">
        <v>3.8</v>
      </c>
      <c r="I18">
        <v>6</v>
      </c>
      <c r="J18">
        <f t="shared" si="0"/>
        <v>126065</v>
      </c>
      <c r="K18" s="2">
        <f t="shared" si="1"/>
        <v>0.98819140105500858</v>
      </c>
      <c r="L18" s="2">
        <f t="shared" si="2"/>
        <v>0.56932727568329211</v>
      </c>
    </row>
    <row r="19" spans="1:12" x14ac:dyDescent="0.3">
      <c r="A19" s="1">
        <v>45816</v>
      </c>
      <c r="B19" t="s">
        <v>9</v>
      </c>
      <c r="C19" t="s">
        <v>18</v>
      </c>
      <c r="D19" t="s">
        <v>11</v>
      </c>
      <c r="E19">
        <v>365570</v>
      </c>
      <c r="F19">
        <v>126435</v>
      </c>
      <c r="G19">
        <v>379208</v>
      </c>
      <c r="H19">
        <v>3.9</v>
      </c>
      <c r="I19">
        <v>5</v>
      </c>
      <c r="J19">
        <f t="shared" si="0"/>
        <v>239135</v>
      </c>
      <c r="K19" s="2">
        <f t="shared" si="1"/>
        <v>0.96403556886985509</v>
      </c>
      <c r="L19" s="2">
        <f t="shared" si="2"/>
        <v>0.65414284541948187</v>
      </c>
    </row>
    <row r="20" spans="1:12" x14ac:dyDescent="0.3">
      <c r="A20" s="1">
        <v>45937</v>
      </c>
      <c r="B20" t="s">
        <v>9</v>
      </c>
      <c r="C20" t="s">
        <v>13</v>
      </c>
      <c r="D20" t="s">
        <v>17</v>
      </c>
      <c r="E20">
        <v>446157</v>
      </c>
      <c r="F20">
        <v>233204</v>
      </c>
      <c r="G20">
        <v>395574</v>
      </c>
      <c r="H20">
        <v>4</v>
      </c>
      <c r="I20">
        <v>10</v>
      </c>
      <c r="J20">
        <f t="shared" si="0"/>
        <v>212953</v>
      </c>
      <c r="K20" s="2">
        <f t="shared" si="1"/>
        <v>1.1278724081966964</v>
      </c>
      <c r="L20" s="2">
        <f t="shared" si="2"/>
        <v>0.4773050742227512</v>
      </c>
    </row>
    <row r="21" spans="1:12" x14ac:dyDescent="0.3">
      <c r="A21" s="1">
        <v>45481</v>
      </c>
      <c r="B21" t="s">
        <v>19</v>
      </c>
      <c r="C21" t="s">
        <v>10</v>
      </c>
      <c r="D21" t="s">
        <v>14</v>
      </c>
      <c r="E21">
        <v>470058</v>
      </c>
      <c r="F21">
        <v>294182</v>
      </c>
      <c r="G21">
        <v>449267</v>
      </c>
      <c r="H21">
        <v>4</v>
      </c>
      <c r="I21">
        <v>13</v>
      </c>
      <c r="J21">
        <f t="shared" si="0"/>
        <v>175876</v>
      </c>
      <c r="K21" s="2">
        <f t="shared" si="1"/>
        <v>1.0462776032960355</v>
      </c>
      <c r="L21" s="2">
        <f t="shared" si="2"/>
        <v>0.3741580826195916</v>
      </c>
    </row>
    <row r="22" spans="1:12" x14ac:dyDescent="0.3">
      <c r="A22" s="1">
        <v>46001</v>
      </c>
      <c r="B22" t="s">
        <v>9</v>
      </c>
      <c r="C22" t="s">
        <v>18</v>
      </c>
      <c r="D22" t="s">
        <v>14</v>
      </c>
      <c r="E22">
        <v>469494</v>
      </c>
      <c r="F22">
        <v>187923</v>
      </c>
      <c r="G22">
        <v>437016</v>
      </c>
      <c r="H22">
        <v>3.9</v>
      </c>
      <c r="I22">
        <v>4</v>
      </c>
      <c r="J22">
        <f t="shared" si="0"/>
        <v>281571</v>
      </c>
      <c r="K22" s="2">
        <f t="shared" si="1"/>
        <v>1.0743176451205447</v>
      </c>
      <c r="L22" s="2">
        <f t="shared" si="2"/>
        <v>0.59973290393487455</v>
      </c>
    </row>
    <row r="23" spans="1:12" x14ac:dyDescent="0.3">
      <c r="A23" s="1">
        <v>45665</v>
      </c>
      <c r="B23" t="s">
        <v>9</v>
      </c>
      <c r="C23" t="s">
        <v>13</v>
      </c>
      <c r="D23" t="s">
        <v>14</v>
      </c>
      <c r="E23">
        <v>128451</v>
      </c>
      <c r="F23">
        <v>74569</v>
      </c>
      <c r="G23">
        <v>118968</v>
      </c>
      <c r="H23">
        <v>3.9</v>
      </c>
      <c r="I23">
        <v>0</v>
      </c>
      <c r="J23">
        <f t="shared" si="0"/>
        <v>53882</v>
      </c>
      <c r="K23" s="2">
        <f t="shared" si="1"/>
        <v>1.0797105103893483</v>
      </c>
      <c r="L23" s="2">
        <f t="shared" si="2"/>
        <v>0.41947513059454578</v>
      </c>
    </row>
    <row r="24" spans="1:12" x14ac:dyDescent="0.3">
      <c r="A24" s="1">
        <v>45677</v>
      </c>
      <c r="B24" t="s">
        <v>12</v>
      </c>
      <c r="C24" t="s">
        <v>10</v>
      </c>
      <c r="D24" t="s">
        <v>14</v>
      </c>
      <c r="E24">
        <v>226688</v>
      </c>
      <c r="F24">
        <v>136677</v>
      </c>
      <c r="G24">
        <v>234139</v>
      </c>
      <c r="H24">
        <v>4.3</v>
      </c>
      <c r="I24">
        <v>7</v>
      </c>
      <c r="J24">
        <f t="shared" si="0"/>
        <v>90011</v>
      </c>
      <c r="K24" s="2">
        <f t="shared" si="1"/>
        <v>0.9681770230504102</v>
      </c>
      <c r="L24" s="2">
        <f t="shared" si="2"/>
        <v>0.39706998164878599</v>
      </c>
    </row>
    <row r="25" spans="1:12" x14ac:dyDescent="0.3">
      <c r="A25" s="1">
        <v>45857</v>
      </c>
      <c r="B25" t="s">
        <v>12</v>
      </c>
      <c r="C25" t="s">
        <v>10</v>
      </c>
      <c r="D25" t="s">
        <v>14</v>
      </c>
      <c r="E25">
        <v>327824</v>
      </c>
      <c r="F25">
        <v>131060</v>
      </c>
      <c r="G25">
        <v>330866</v>
      </c>
      <c r="H25">
        <v>4.2</v>
      </c>
      <c r="I25">
        <v>2</v>
      </c>
      <c r="J25">
        <f t="shared" si="0"/>
        <v>196764</v>
      </c>
      <c r="K25" s="2">
        <f t="shared" si="1"/>
        <v>0.99080594560940083</v>
      </c>
      <c r="L25" s="2">
        <f t="shared" si="2"/>
        <v>0.60021230904387723</v>
      </c>
    </row>
    <row r="26" spans="1:12" x14ac:dyDescent="0.3">
      <c r="A26" s="1">
        <v>46001</v>
      </c>
      <c r="B26" t="s">
        <v>9</v>
      </c>
      <c r="C26" t="s">
        <v>18</v>
      </c>
      <c r="D26" t="s">
        <v>11</v>
      </c>
      <c r="E26">
        <v>130207</v>
      </c>
      <c r="F26">
        <v>70664</v>
      </c>
      <c r="G26">
        <v>139121</v>
      </c>
      <c r="H26">
        <v>4.0999999999999996</v>
      </c>
      <c r="I26">
        <v>7</v>
      </c>
      <c r="J26">
        <f t="shared" si="0"/>
        <v>59543</v>
      </c>
      <c r="K26" s="2">
        <f t="shared" si="1"/>
        <v>0.93592628000086253</v>
      </c>
      <c r="L26" s="2">
        <f t="shared" si="2"/>
        <v>0.45729492270000843</v>
      </c>
    </row>
    <row r="27" spans="1:12" x14ac:dyDescent="0.3">
      <c r="A27" s="1">
        <v>45901</v>
      </c>
      <c r="B27" t="s">
        <v>15</v>
      </c>
      <c r="C27" t="s">
        <v>16</v>
      </c>
      <c r="D27" t="s">
        <v>11</v>
      </c>
      <c r="E27">
        <v>120078</v>
      </c>
      <c r="F27">
        <v>66617</v>
      </c>
      <c r="G27">
        <v>120373</v>
      </c>
      <c r="H27">
        <v>4.5</v>
      </c>
      <c r="I27">
        <v>0</v>
      </c>
      <c r="J27">
        <f t="shared" si="0"/>
        <v>53461</v>
      </c>
      <c r="K27" s="2">
        <f t="shared" si="1"/>
        <v>0.99754928430794276</v>
      </c>
      <c r="L27" s="2">
        <f t="shared" si="2"/>
        <v>0.44521894102166926</v>
      </c>
    </row>
    <row r="28" spans="1:12" x14ac:dyDescent="0.3">
      <c r="A28" s="1">
        <v>45951</v>
      </c>
      <c r="B28" t="s">
        <v>9</v>
      </c>
      <c r="C28" t="s">
        <v>18</v>
      </c>
      <c r="D28" t="s">
        <v>11</v>
      </c>
      <c r="E28">
        <v>396393</v>
      </c>
      <c r="F28">
        <v>143157</v>
      </c>
      <c r="G28">
        <v>378396</v>
      </c>
      <c r="H28">
        <v>3.6</v>
      </c>
      <c r="I28">
        <v>2</v>
      </c>
      <c r="J28">
        <f t="shared" si="0"/>
        <v>253236</v>
      </c>
      <c r="K28" s="2">
        <f t="shared" si="1"/>
        <v>1.0475612850030127</v>
      </c>
      <c r="L28" s="2">
        <f t="shared" si="2"/>
        <v>0.6388508374264934</v>
      </c>
    </row>
    <row r="29" spans="1:12" x14ac:dyDescent="0.3">
      <c r="A29" s="1">
        <v>45780</v>
      </c>
      <c r="B29" t="s">
        <v>19</v>
      </c>
      <c r="C29" t="s">
        <v>13</v>
      </c>
      <c r="D29" t="s">
        <v>11</v>
      </c>
      <c r="E29">
        <v>372833</v>
      </c>
      <c r="F29">
        <v>213537</v>
      </c>
      <c r="G29">
        <v>355056</v>
      </c>
      <c r="H29">
        <v>3.7</v>
      </c>
      <c r="I29">
        <v>7</v>
      </c>
      <c r="J29">
        <f t="shared" si="0"/>
        <v>159296</v>
      </c>
      <c r="K29" s="2">
        <f t="shared" si="1"/>
        <v>1.0500681582623586</v>
      </c>
      <c r="L29" s="2">
        <f t="shared" si="2"/>
        <v>0.42725831672625547</v>
      </c>
    </row>
    <row r="30" spans="1:12" x14ac:dyDescent="0.3">
      <c r="A30" s="1">
        <v>45442</v>
      </c>
      <c r="B30" t="s">
        <v>12</v>
      </c>
      <c r="C30" t="s">
        <v>16</v>
      </c>
      <c r="D30" t="s">
        <v>17</v>
      </c>
      <c r="E30">
        <v>40306</v>
      </c>
      <c r="F30">
        <v>16686</v>
      </c>
      <c r="G30">
        <v>44141</v>
      </c>
      <c r="H30">
        <v>4.3</v>
      </c>
      <c r="I30">
        <v>6</v>
      </c>
      <c r="J30">
        <f t="shared" si="0"/>
        <v>23620</v>
      </c>
      <c r="K30" s="2">
        <f t="shared" si="1"/>
        <v>0.91311932217213021</v>
      </c>
      <c r="L30" s="2">
        <f t="shared" si="2"/>
        <v>0.58601697017813725</v>
      </c>
    </row>
    <row r="31" spans="1:12" x14ac:dyDescent="0.3">
      <c r="A31" s="1">
        <v>45863</v>
      </c>
      <c r="B31" t="s">
        <v>19</v>
      </c>
      <c r="C31" t="s">
        <v>16</v>
      </c>
      <c r="D31" t="s">
        <v>14</v>
      </c>
      <c r="E31">
        <v>375871</v>
      </c>
      <c r="F31">
        <v>134124</v>
      </c>
      <c r="G31">
        <v>421022</v>
      </c>
      <c r="H31">
        <v>4.4000000000000004</v>
      </c>
      <c r="I31">
        <v>13</v>
      </c>
      <c r="J31">
        <f t="shared" si="0"/>
        <v>241747</v>
      </c>
      <c r="K31" s="2">
        <f t="shared" si="1"/>
        <v>0.89275857318619933</v>
      </c>
      <c r="L31" s="2">
        <f t="shared" si="2"/>
        <v>0.64316480920315744</v>
      </c>
    </row>
    <row r="32" spans="1:12" x14ac:dyDescent="0.3">
      <c r="A32" s="1">
        <v>45300</v>
      </c>
      <c r="B32" t="s">
        <v>19</v>
      </c>
      <c r="C32" t="s">
        <v>18</v>
      </c>
      <c r="D32" t="s">
        <v>11</v>
      </c>
      <c r="E32">
        <v>25151</v>
      </c>
      <c r="F32">
        <v>9076</v>
      </c>
      <c r="G32">
        <v>28071</v>
      </c>
      <c r="H32">
        <v>4.7</v>
      </c>
      <c r="I32">
        <v>15</v>
      </c>
      <c r="J32">
        <f t="shared" si="0"/>
        <v>16075</v>
      </c>
      <c r="K32" s="2">
        <f t="shared" si="1"/>
        <v>0.89597805564461541</v>
      </c>
      <c r="L32" s="2">
        <f t="shared" si="2"/>
        <v>0.6391395968351159</v>
      </c>
    </row>
    <row r="33" spans="1:12" x14ac:dyDescent="0.3">
      <c r="A33" s="1">
        <v>45919</v>
      </c>
      <c r="B33" t="s">
        <v>12</v>
      </c>
      <c r="C33" t="s">
        <v>10</v>
      </c>
      <c r="D33" t="s">
        <v>17</v>
      </c>
      <c r="E33">
        <v>194423</v>
      </c>
      <c r="F33">
        <v>83950</v>
      </c>
      <c r="G33">
        <v>186973</v>
      </c>
      <c r="H33">
        <v>4.9000000000000004</v>
      </c>
      <c r="I33">
        <v>3</v>
      </c>
      <c r="J33">
        <f t="shared" si="0"/>
        <v>110473</v>
      </c>
      <c r="K33" s="2">
        <f t="shared" si="1"/>
        <v>1.0398453252608666</v>
      </c>
      <c r="L33" s="2">
        <f t="shared" si="2"/>
        <v>0.56820952253591395</v>
      </c>
    </row>
    <row r="34" spans="1:12" x14ac:dyDescent="0.3">
      <c r="A34" s="1">
        <v>45444</v>
      </c>
      <c r="B34" t="s">
        <v>19</v>
      </c>
      <c r="C34" t="s">
        <v>16</v>
      </c>
      <c r="D34" t="s">
        <v>17</v>
      </c>
      <c r="E34">
        <v>129121</v>
      </c>
      <c r="F34">
        <v>50929</v>
      </c>
      <c r="G34">
        <v>135007</v>
      </c>
      <c r="H34">
        <v>3.8</v>
      </c>
      <c r="I34">
        <v>1</v>
      </c>
      <c r="J34">
        <f t="shared" si="0"/>
        <v>78192</v>
      </c>
      <c r="K34" s="2">
        <f t="shared" si="1"/>
        <v>0.95640226062352318</v>
      </c>
      <c r="L34" s="2">
        <f t="shared" si="2"/>
        <v>0.60557151818836596</v>
      </c>
    </row>
    <row r="35" spans="1:12" x14ac:dyDescent="0.3">
      <c r="A35" s="1">
        <v>45452</v>
      </c>
      <c r="B35" t="s">
        <v>9</v>
      </c>
      <c r="C35" t="s">
        <v>10</v>
      </c>
      <c r="D35" t="s">
        <v>17</v>
      </c>
      <c r="E35">
        <v>363556</v>
      </c>
      <c r="F35">
        <v>147622</v>
      </c>
      <c r="G35">
        <v>379875</v>
      </c>
      <c r="H35">
        <v>4.8</v>
      </c>
      <c r="I35">
        <v>15</v>
      </c>
      <c r="J35">
        <f t="shared" si="0"/>
        <v>215934</v>
      </c>
      <c r="K35" s="2">
        <f t="shared" si="1"/>
        <v>0.95704113195129981</v>
      </c>
      <c r="L35" s="2">
        <f t="shared" si="2"/>
        <v>0.59394976289760038</v>
      </c>
    </row>
    <row r="36" spans="1:12" x14ac:dyDescent="0.3">
      <c r="A36" s="1">
        <v>45692</v>
      </c>
      <c r="B36" t="s">
        <v>9</v>
      </c>
      <c r="C36" t="s">
        <v>10</v>
      </c>
      <c r="D36" t="s">
        <v>11</v>
      </c>
      <c r="E36">
        <v>181890</v>
      </c>
      <c r="F36">
        <v>96481</v>
      </c>
      <c r="G36">
        <v>167920</v>
      </c>
      <c r="H36">
        <v>5</v>
      </c>
      <c r="I36">
        <v>5</v>
      </c>
      <c r="J36">
        <f t="shared" si="0"/>
        <v>85409</v>
      </c>
      <c r="K36" s="2">
        <f t="shared" si="1"/>
        <v>1.0831943782753692</v>
      </c>
      <c r="L36" s="2">
        <f t="shared" si="2"/>
        <v>0.46956402221122656</v>
      </c>
    </row>
    <row r="37" spans="1:12" x14ac:dyDescent="0.3">
      <c r="A37" s="1">
        <v>45656</v>
      </c>
      <c r="B37" t="s">
        <v>12</v>
      </c>
      <c r="C37" t="s">
        <v>16</v>
      </c>
      <c r="D37" t="s">
        <v>11</v>
      </c>
      <c r="E37">
        <v>363468</v>
      </c>
      <c r="F37">
        <v>180635</v>
      </c>
      <c r="G37">
        <v>379290</v>
      </c>
      <c r="H37">
        <v>4.5</v>
      </c>
      <c r="I37">
        <v>1</v>
      </c>
      <c r="J37">
        <f t="shared" si="0"/>
        <v>182833</v>
      </c>
      <c r="K37" s="2">
        <f t="shared" si="1"/>
        <v>0.95828521711619075</v>
      </c>
      <c r="L37" s="2">
        <f t="shared" si="2"/>
        <v>0.50302364994992677</v>
      </c>
    </row>
    <row r="38" spans="1:12" x14ac:dyDescent="0.3">
      <c r="A38" s="1">
        <v>45772</v>
      </c>
      <c r="B38" t="s">
        <v>19</v>
      </c>
      <c r="C38" t="s">
        <v>13</v>
      </c>
      <c r="D38" t="s">
        <v>14</v>
      </c>
      <c r="E38">
        <v>215615</v>
      </c>
      <c r="F38">
        <v>93231</v>
      </c>
      <c r="G38">
        <v>232986</v>
      </c>
      <c r="H38">
        <v>3.6</v>
      </c>
      <c r="I38">
        <v>2</v>
      </c>
      <c r="J38">
        <f t="shared" si="0"/>
        <v>122384</v>
      </c>
      <c r="K38" s="2">
        <f t="shared" si="1"/>
        <v>0.92544187204381378</v>
      </c>
      <c r="L38" s="2">
        <f t="shared" si="2"/>
        <v>0.56760429469192775</v>
      </c>
    </row>
    <row r="39" spans="1:12" x14ac:dyDescent="0.3">
      <c r="A39" s="1">
        <v>45463</v>
      </c>
      <c r="B39" t="s">
        <v>9</v>
      </c>
      <c r="C39" t="s">
        <v>16</v>
      </c>
      <c r="D39" t="s">
        <v>14</v>
      </c>
      <c r="E39">
        <v>92989</v>
      </c>
      <c r="F39">
        <v>31890</v>
      </c>
      <c r="G39">
        <v>99899</v>
      </c>
      <c r="H39">
        <v>4.9000000000000004</v>
      </c>
      <c r="I39">
        <v>4</v>
      </c>
      <c r="J39">
        <f t="shared" si="0"/>
        <v>61099</v>
      </c>
      <c r="K39" s="2">
        <f t="shared" si="1"/>
        <v>0.93083013843982421</v>
      </c>
      <c r="L39" s="2">
        <f t="shared" si="2"/>
        <v>0.65705621094968225</v>
      </c>
    </row>
    <row r="40" spans="1:12" x14ac:dyDescent="0.3">
      <c r="A40" s="1">
        <v>45640</v>
      </c>
      <c r="B40" t="s">
        <v>19</v>
      </c>
      <c r="C40" t="s">
        <v>16</v>
      </c>
      <c r="D40" t="s">
        <v>14</v>
      </c>
      <c r="E40">
        <v>150352</v>
      </c>
      <c r="F40">
        <v>46594</v>
      </c>
      <c r="G40">
        <v>131197</v>
      </c>
      <c r="H40">
        <v>4</v>
      </c>
      <c r="I40">
        <v>2</v>
      </c>
      <c r="J40">
        <f t="shared" si="0"/>
        <v>103758</v>
      </c>
      <c r="K40" s="2">
        <f t="shared" si="1"/>
        <v>1.1460018140658703</v>
      </c>
      <c r="L40" s="2">
        <f t="shared" si="2"/>
        <v>0.69010056400979036</v>
      </c>
    </row>
    <row r="41" spans="1:12" x14ac:dyDescent="0.3">
      <c r="A41" s="1">
        <v>45452</v>
      </c>
      <c r="B41" t="s">
        <v>9</v>
      </c>
      <c r="C41" t="s">
        <v>18</v>
      </c>
      <c r="D41" t="s">
        <v>17</v>
      </c>
      <c r="E41">
        <v>175656</v>
      </c>
      <c r="F41">
        <v>59223</v>
      </c>
      <c r="G41">
        <v>185986</v>
      </c>
      <c r="H41">
        <v>4.4000000000000004</v>
      </c>
      <c r="I41">
        <v>9</v>
      </c>
      <c r="J41">
        <f t="shared" si="0"/>
        <v>116433</v>
      </c>
      <c r="K41" s="2">
        <f t="shared" si="1"/>
        <v>0.94445818502467926</v>
      </c>
      <c r="L41" s="2">
        <f t="shared" si="2"/>
        <v>0.66284670036890281</v>
      </c>
    </row>
    <row r="42" spans="1:12" x14ac:dyDescent="0.3">
      <c r="A42" s="1">
        <v>45917</v>
      </c>
      <c r="B42" t="s">
        <v>9</v>
      </c>
      <c r="C42" t="s">
        <v>18</v>
      </c>
      <c r="D42" t="s">
        <v>17</v>
      </c>
      <c r="E42">
        <v>28070</v>
      </c>
      <c r="F42">
        <v>14757</v>
      </c>
      <c r="G42">
        <v>26346</v>
      </c>
      <c r="H42">
        <v>4</v>
      </c>
      <c r="I42">
        <v>1</v>
      </c>
      <c r="J42">
        <f t="shared" si="0"/>
        <v>13313</v>
      </c>
      <c r="K42" s="2">
        <f t="shared" si="1"/>
        <v>1.065436878463524</v>
      </c>
      <c r="L42" s="2">
        <f t="shared" si="2"/>
        <v>0.47427858924118277</v>
      </c>
    </row>
    <row r="43" spans="1:12" x14ac:dyDescent="0.3">
      <c r="A43" s="1">
        <v>45395</v>
      </c>
      <c r="B43" t="s">
        <v>19</v>
      </c>
      <c r="C43" t="s">
        <v>10</v>
      </c>
      <c r="D43" t="s">
        <v>11</v>
      </c>
      <c r="E43">
        <v>219141</v>
      </c>
      <c r="F43">
        <v>101715</v>
      </c>
      <c r="G43">
        <v>205763</v>
      </c>
      <c r="H43">
        <v>4.0999999999999996</v>
      </c>
      <c r="I43">
        <v>15</v>
      </c>
      <c r="J43">
        <f t="shared" si="0"/>
        <v>117426</v>
      </c>
      <c r="K43" s="2">
        <f t="shared" si="1"/>
        <v>1.0650165481646361</v>
      </c>
      <c r="L43" s="2">
        <f t="shared" si="2"/>
        <v>0.53584678357769655</v>
      </c>
    </row>
    <row r="44" spans="1:12" x14ac:dyDescent="0.3">
      <c r="A44" s="1">
        <v>45699</v>
      </c>
      <c r="B44" t="s">
        <v>19</v>
      </c>
      <c r="C44" t="s">
        <v>13</v>
      </c>
      <c r="D44" t="s">
        <v>17</v>
      </c>
      <c r="E44">
        <v>258710</v>
      </c>
      <c r="F44">
        <v>110632</v>
      </c>
      <c r="G44">
        <v>234981</v>
      </c>
      <c r="H44">
        <v>3.6</v>
      </c>
      <c r="I44">
        <v>8</v>
      </c>
      <c r="J44">
        <f t="shared" si="0"/>
        <v>148078</v>
      </c>
      <c r="K44" s="2">
        <f t="shared" si="1"/>
        <v>1.1009826326383836</v>
      </c>
      <c r="L44" s="2">
        <f t="shared" si="2"/>
        <v>0.57237060801669826</v>
      </c>
    </row>
    <row r="45" spans="1:12" x14ac:dyDescent="0.3">
      <c r="A45" s="1">
        <v>45691</v>
      </c>
      <c r="B45" t="s">
        <v>15</v>
      </c>
      <c r="C45" t="s">
        <v>13</v>
      </c>
      <c r="D45" t="s">
        <v>11</v>
      </c>
      <c r="E45">
        <v>432097</v>
      </c>
      <c r="F45">
        <v>203283</v>
      </c>
      <c r="G45">
        <v>454396</v>
      </c>
      <c r="H45">
        <v>4</v>
      </c>
      <c r="I45">
        <v>1</v>
      </c>
      <c r="J45">
        <f t="shared" si="0"/>
        <v>228814</v>
      </c>
      <c r="K45" s="2">
        <f t="shared" si="1"/>
        <v>0.95092606449000427</v>
      </c>
      <c r="L45" s="2">
        <f t="shared" si="2"/>
        <v>0.52954313499052297</v>
      </c>
    </row>
    <row r="46" spans="1:12" x14ac:dyDescent="0.3">
      <c r="A46" s="1">
        <v>45989</v>
      </c>
      <c r="B46" t="s">
        <v>12</v>
      </c>
      <c r="C46" t="s">
        <v>16</v>
      </c>
      <c r="D46" t="s">
        <v>14</v>
      </c>
      <c r="E46">
        <v>294821</v>
      </c>
      <c r="F46">
        <v>106099</v>
      </c>
      <c r="G46">
        <v>272731</v>
      </c>
      <c r="H46">
        <v>3.6</v>
      </c>
      <c r="I46">
        <v>9</v>
      </c>
      <c r="J46">
        <f t="shared" si="0"/>
        <v>188722</v>
      </c>
      <c r="K46" s="2">
        <f t="shared" si="1"/>
        <v>1.0809955597273504</v>
      </c>
      <c r="L46" s="2">
        <f t="shared" si="2"/>
        <v>0.64012400744858744</v>
      </c>
    </row>
    <row r="47" spans="1:12" x14ac:dyDescent="0.3">
      <c r="A47" s="1">
        <v>45345</v>
      </c>
      <c r="B47" t="s">
        <v>12</v>
      </c>
      <c r="C47" t="s">
        <v>13</v>
      </c>
      <c r="D47" t="s">
        <v>14</v>
      </c>
      <c r="E47">
        <v>123632</v>
      </c>
      <c r="F47">
        <v>47351</v>
      </c>
      <c r="G47">
        <v>113091</v>
      </c>
      <c r="H47">
        <v>4.4000000000000004</v>
      </c>
      <c r="I47">
        <v>7</v>
      </c>
      <c r="J47">
        <f t="shared" si="0"/>
        <v>76281</v>
      </c>
      <c r="K47" s="2">
        <f t="shared" si="1"/>
        <v>1.0932081244307681</v>
      </c>
      <c r="L47" s="2">
        <f t="shared" si="2"/>
        <v>0.61700045295716321</v>
      </c>
    </row>
    <row r="48" spans="1:12" x14ac:dyDescent="0.3">
      <c r="A48" s="1">
        <v>45487</v>
      </c>
      <c r="B48" t="s">
        <v>15</v>
      </c>
      <c r="C48" t="s">
        <v>10</v>
      </c>
      <c r="D48" t="s">
        <v>17</v>
      </c>
      <c r="E48">
        <v>472894</v>
      </c>
      <c r="F48">
        <v>187347</v>
      </c>
      <c r="G48">
        <v>540402</v>
      </c>
      <c r="H48">
        <v>4.3</v>
      </c>
      <c r="I48">
        <v>7</v>
      </c>
      <c r="J48">
        <f t="shared" si="0"/>
        <v>285547</v>
      </c>
      <c r="K48" s="2">
        <f t="shared" si="1"/>
        <v>0.87507818253818459</v>
      </c>
      <c r="L48" s="2">
        <f t="shared" si="2"/>
        <v>0.6038287650086489</v>
      </c>
    </row>
    <row r="49" spans="1:12" x14ac:dyDescent="0.3">
      <c r="A49" s="1">
        <v>45961</v>
      </c>
      <c r="B49" t="s">
        <v>12</v>
      </c>
      <c r="C49" t="s">
        <v>10</v>
      </c>
      <c r="D49" t="s">
        <v>11</v>
      </c>
      <c r="E49">
        <v>220706</v>
      </c>
      <c r="F49">
        <v>88014</v>
      </c>
      <c r="G49">
        <v>204210</v>
      </c>
      <c r="H49">
        <v>3.8</v>
      </c>
      <c r="I49">
        <v>11</v>
      </c>
      <c r="J49">
        <f t="shared" si="0"/>
        <v>132692</v>
      </c>
      <c r="K49" s="2">
        <f t="shared" si="1"/>
        <v>1.0807795896381176</v>
      </c>
      <c r="L49" s="2">
        <f t="shared" si="2"/>
        <v>0.60121609743278392</v>
      </c>
    </row>
    <row r="50" spans="1:12" x14ac:dyDescent="0.3">
      <c r="A50" s="1">
        <v>45418</v>
      </c>
      <c r="B50" t="s">
        <v>19</v>
      </c>
      <c r="C50" t="s">
        <v>13</v>
      </c>
      <c r="D50" t="s">
        <v>14</v>
      </c>
      <c r="E50">
        <v>388496</v>
      </c>
      <c r="F50">
        <v>133423</v>
      </c>
      <c r="G50">
        <v>381777</v>
      </c>
      <c r="H50">
        <v>3.9</v>
      </c>
      <c r="I50">
        <v>9</v>
      </c>
      <c r="J50">
        <f t="shared" si="0"/>
        <v>255073</v>
      </c>
      <c r="K50" s="2">
        <f t="shared" si="1"/>
        <v>1.0175992791603474</v>
      </c>
      <c r="L50" s="2">
        <f t="shared" si="2"/>
        <v>0.65656531856183853</v>
      </c>
    </row>
    <row r="51" spans="1:12" x14ac:dyDescent="0.3">
      <c r="A51" s="1">
        <v>45409</v>
      </c>
      <c r="B51" t="s">
        <v>9</v>
      </c>
      <c r="C51" t="s">
        <v>10</v>
      </c>
      <c r="D51" t="s">
        <v>14</v>
      </c>
      <c r="E51">
        <v>124548</v>
      </c>
      <c r="F51">
        <v>39050</v>
      </c>
      <c r="G51">
        <v>133436</v>
      </c>
      <c r="H51">
        <v>4.3</v>
      </c>
      <c r="I51">
        <v>0</v>
      </c>
      <c r="J51">
        <f t="shared" si="0"/>
        <v>85498</v>
      </c>
      <c r="K51" s="2">
        <f t="shared" si="1"/>
        <v>0.93339128870769505</v>
      </c>
      <c r="L51" s="2">
        <f t="shared" si="2"/>
        <v>0.68646626200340433</v>
      </c>
    </row>
    <row r="52" spans="1:12" x14ac:dyDescent="0.3">
      <c r="A52" s="1">
        <v>45538</v>
      </c>
      <c r="B52" t="s">
        <v>12</v>
      </c>
      <c r="C52" t="s">
        <v>13</v>
      </c>
      <c r="D52" t="s">
        <v>17</v>
      </c>
      <c r="E52">
        <v>77215</v>
      </c>
      <c r="F52">
        <v>29082</v>
      </c>
      <c r="G52">
        <v>65966</v>
      </c>
      <c r="H52">
        <v>3.7</v>
      </c>
      <c r="I52">
        <v>2</v>
      </c>
      <c r="J52">
        <f t="shared" si="0"/>
        <v>48133</v>
      </c>
      <c r="K52" s="2">
        <f t="shared" si="1"/>
        <v>1.1705272413061274</v>
      </c>
      <c r="L52" s="2">
        <f t="shared" si="2"/>
        <v>0.62336333613935113</v>
      </c>
    </row>
    <row r="53" spans="1:12" x14ac:dyDescent="0.3">
      <c r="A53" s="1">
        <v>45360</v>
      </c>
      <c r="B53" t="s">
        <v>12</v>
      </c>
      <c r="C53" t="s">
        <v>10</v>
      </c>
      <c r="D53" t="s">
        <v>17</v>
      </c>
      <c r="E53">
        <v>499197</v>
      </c>
      <c r="F53">
        <v>207118</v>
      </c>
      <c r="G53">
        <v>495329</v>
      </c>
      <c r="H53">
        <v>3.6</v>
      </c>
      <c r="I53">
        <v>13</v>
      </c>
      <c r="J53">
        <f t="shared" si="0"/>
        <v>292079</v>
      </c>
      <c r="K53" s="2">
        <f t="shared" si="1"/>
        <v>1.0078089512223189</v>
      </c>
      <c r="L53" s="2">
        <f t="shared" si="2"/>
        <v>0.58509766685296583</v>
      </c>
    </row>
    <row r="54" spans="1:12" x14ac:dyDescent="0.3">
      <c r="A54" s="1">
        <v>45723</v>
      </c>
      <c r="B54" t="s">
        <v>19</v>
      </c>
      <c r="C54" t="s">
        <v>18</v>
      </c>
      <c r="D54" t="s">
        <v>14</v>
      </c>
      <c r="E54">
        <v>328717</v>
      </c>
      <c r="F54">
        <v>141699</v>
      </c>
      <c r="G54">
        <v>284148</v>
      </c>
      <c r="H54">
        <v>4.9000000000000004</v>
      </c>
      <c r="I54">
        <v>13</v>
      </c>
      <c r="J54">
        <f t="shared" si="0"/>
        <v>187018</v>
      </c>
      <c r="K54" s="2">
        <f t="shared" si="1"/>
        <v>1.1568513591508651</v>
      </c>
      <c r="L54" s="2">
        <f t="shared" si="2"/>
        <v>0.56893315526729682</v>
      </c>
    </row>
    <row r="55" spans="1:12" x14ac:dyDescent="0.3">
      <c r="A55" s="1">
        <v>45391</v>
      </c>
      <c r="B55" t="s">
        <v>15</v>
      </c>
      <c r="C55" t="s">
        <v>13</v>
      </c>
      <c r="D55" t="s">
        <v>11</v>
      </c>
      <c r="E55">
        <v>206489</v>
      </c>
      <c r="F55">
        <v>96572</v>
      </c>
      <c r="G55">
        <v>208928</v>
      </c>
      <c r="H55">
        <v>4.5</v>
      </c>
      <c r="I55">
        <v>9</v>
      </c>
      <c r="J55">
        <f t="shared" si="0"/>
        <v>109917</v>
      </c>
      <c r="K55" s="2">
        <f t="shared" si="1"/>
        <v>0.98832612191759839</v>
      </c>
      <c r="L55" s="2">
        <f t="shared" si="2"/>
        <v>0.53231406999888609</v>
      </c>
    </row>
    <row r="56" spans="1:12" x14ac:dyDescent="0.3">
      <c r="A56" s="1">
        <v>45307</v>
      </c>
      <c r="B56" t="s">
        <v>9</v>
      </c>
      <c r="C56" t="s">
        <v>13</v>
      </c>
      <c r="D56" t="s">
        <v>11</v>
      </c>
      <c r="E56">
        <v>172049</v>
      </c>
      <c r="F56">
        <v>58469</v>
      </c>
      <c r="G56">
        <v>179089</v>
      </c>
      <c r="H56">
        <v>4.7</v>
      </c>
      <c r="I56">
        <v>0</v>
      </c>
      <c r="J56">
        <f t="shared" si="0"/>
        <v>113580</v>
      </c>
      <c r="K56" s="2">
        <f t="shared" si="1"/>
        <v>0.96068993628866095</v>
      </c>
      <c r="L56" s="2">
        <f t="shared" si="2"/>
        <v>0.66016076815325864</v>
      </c>
    </row>
    <row r="57" spans="1:12" x14ac:dyDescent="0.3">
      <c r="A57" s="1">
        <v>45981</v>
      </c>
      <c r="B57" t="s">
        <v>12</v>
      </c>
      <c r="C57" t="s">
        <v>13</v>
      </c>
      <c r="D57" t="s">
        <v>14</v>
      </c>
      <c r="E57">
        <v>14000</v>
      </c>
      <c r="F57">
        <v>6444</v>
      </c>
      <c r="G57">
        <v>15854</v>
      </c>
      <c r="H57">
        <v>4.0999999999999996</v>
      </c>
      <c r="I57">
        <v>12</v>
      </c>
      <c r="J57">
        <f t="shared" si="0"/>
        <v>7556</v>
      </c>
      <c r="K57" s="2">
        <f t="shared" si="1"/>
        <v>0.8830579033682352</v>
      </c>
      <c r="L57" s="2">
        <f t="shared" si="2"/>
        <v>0.5397142857142857</v>
      </c>
    </row>
    <row r="58" spans="1:12" x14ac:dyDescent="0.3">
      <c r="A58" s="1">
        <v>45708</v>
      </c>
      <c r="B58" t="s">
        <v>9</v>
      </c>
      <c r="C58" t="s">
        <v>16</v>
      </c>
      <c r="D58" t="s">
        <v>11</v>
      </c>
      <c r="E58">
        <v>492859</v>
      </c>
      <c r="F58">
        <v>297288</v>
      </c>
      <c r="G58">
        <v>433830</v>
      </c>
      <c r="H58">
        <v>3.5</v>
      </c>
      <c r="I58">
        <v>12</v>
      </c>
      <c r="J58">
        <f t="shared" si="0"/>
        <v>195571</v>
      </c>
      <c r="K58" s="2">
        <f t="shared" si="1"/>
        <v>1.1360648180162736</v>
      </c>
      <c r="L58" s="2">
        <f t="shared" si="2"/>
        <v>0.39680922941449787</v>
      </c>
    </row>
    <row r="59" spans="1:12" x14ac:dyDescent="0.3">
      <c r="A59" s="1">
        <v>45790</v>
      </c>
      <c r="B59" t="s">
        <v>15</v>
      </c>
      <c r="C59" t="s">
        <v>18</v>
      </c>
      <c r="D59" t="s">
        <v>11</v>
      </c>
      <c r="E59">
        <v>103008</v>
      </c>
      <c r="F59">
        <v>38168</v>
      </c>
      <c r="G59">
        <v>88275</v>
      </c>
      <c r="H59">
        <v>4.7</v>
      </c>
      <c r="I59">
        <v>12</v>
      </c>
      <c r="J59">
        <f t="shared" si="0"/>
        <v>64840</v>
      </c>
      <c r="K59" s="2">
        <f t="shared" si="1"/>
        <v>1.1668988954970263</v>
      </c>
      <c r="L59" s="2">
        <f t="shared" si="2"/>
        <v>0.62946567256912089</v>
      </c>
    </row>
    <row r="60" spans="1:12" x14ac:dyDescent="0.3">
      <c r="A60" s="1">
        <v>45908</v>
      </c>
      <c r="B60" t="s">
        <v>12</v>
      </c>
      <c r="C60" t="s">
        <v>13</v>
      </c>
      <c r="D60" t="s">
        <v>17</v>
      </c>
      <c r="E60">
        <v>361732</v>
      </c>
      <c r="F60">
        <v>149510</v>
      </c>
      <c r="G60">
        <v>402695</v>
      </c>
      <c r="H60">
        <v>4.5999999999999996</v>
      </c>
      <c r="I60">
        <v>1</v>
      </c>
      <c r="J60">
        <f t="shared" si="0"/>
        <v>212222</v>
      </c>
      <c r="K60" s="2">
        <f t="shared" si="1"/>
        <v>0.898277852965644</v>
      </c>
      <c r="L60" s="2">
        <f t="shared" si="2"/>
        <v>0.58668295865447351</v>
      </c>
    </row>
    <row r="61" spans="1:12" x14ac:dyDescent="0.3">
      <c r="A61" s="1">
        <v>45568</v>
      </c>
      <c r="B61" t="s">
        <v>19</v>
      </c>
      <c r="C61" t="s">
        <v>10</v>
      </c>
      <c r="D61" t="s">
        <v>17</v>
      </c>
      <c r="E61">
        <v>48756</v>
      </c>
      <c r="F61">
        <v>21718</v>
      </c>
      <c r="G61">
        <v>49866</v>
      </c>
      <c r="H61">
        <v>4.5999999999999996</v>
      </c>
      <c r="I61">
        <v>8</v>
      </c>
      <c r="J61">
        <f t="shared" si="0"/>
        <v>27038</v>
      </c>
      <c r="K61" s="2">
        <f t="shared" si="1"/>
        <v>0.97774034412224764</v>
      </c>
      <c r="L61" s="2">
        <f t="shared" si="2"/>
        <v>0.55455738780867991</v>
      </c>
    </row>
    <row r="62" spans="1:12" x14ac:dyDescent="0.3">
      <c r="A62" s="1">
        <v>45839</v>
      </c>
      <c r="B62" t="s">
        <v>15</v>
      </c>
      <c r="C62" t="s">
        <v>10</v>
      </c>
      <c r="D62" t="s">
        <v>11</v>
      </c>
      <c r="E62">
        <v>438127</v>
      </c>
      <c r="F62">
        <v>200416</v>
      </c>
      <c r="G62">
        <v>403768</v>
      </c>
      <c r="H62">
        <v>4.5</v>
      </c>
      <c r="I62">
        <v>13</v>
      </c>
      <c r="J62">
        <f t="shared" si="0"/>
        <v>237711</v>
      </c>
      <c r="K62" s="2">
        <f t="shared" si="1"/>
        <v>1.0850958966535238</v>
      </c>
      <c r="L62" s="2">
        <f t="shared" si="2"/>
        <v>0.54256185991732986</v>
      </c>
    </row>
    <row r="63" spans="1:12" x14ac:dyDescent="0.3">
      <c r="A63" s="1">
        <v>45570</v>
      </c>
      <c r="B63" t="s">
        <v>19</v>
      </c>
      <c r="C63" t="s">
        <v>18</v>
      </c>
      <c r="D63" t="s">
        <v>14</v>
      </c>
      <c r="E63">
        <v>196141</v>
      </c>
      <c r="F63">
        <v>86243</v>
      </c>
      <c r="G63">
        <v>195938</v>
      </c>
      <c r="H63">
        <v>4.0999999999999996</v>
      </c>
      <c r="I63">
        <v>0</v>
      </c>
      <c r="J63">
        <f t="shared" si="0"/>
        <v>109898</v>
      </c>
      <c r="K63" s="2">
        <f t="shared" si="1"/>
        <v>1.00103604201329</v>
      </c>
      <c r="L63" s="2">
        <f t="shared" si="2"/>
        <v>0.56030100794836368</v>
      </c>
    </row>
    <row r="64" spans="1:12" x14ac:dyDescent="0.3">
      <c r="A64" s="1">
        <v>45688</v>
      </c>
      <c r="B64" t="s">
        <v>12</v>
      </c>
      <c r="C64" t="s">
        <v>18</v>
      </c>
      <c r="D64" t="s">
        <v>14</v>
      </c>
      <c r="E64">
        <v>89459</v>
      </c>
      <c r="F64">
        <v>29918</v>
      </c>
      <c r="G64">
        <v>98775</v>
      </c>
      <c r="H64">
        <v>4</v>
      </c>
      <c r="I64">
        <v>11</v>
      </c>
      <c r="J64">
        <f t="shared" si="0"/>
        <v>59541</v>
      </c>
      <c r="K64" s="2">
        <f t="shared" si="1"/>
        <v>0.90568463680080991</v>
      </c>
      <c r="L64" s="2">
        <f t="shared" si="2"/>
        <v>0.66556746666070488</v>
      </c>
    </row>
    <row r="65" spans="1:12" x14ac:dyDescent="0.3">
      <c r="A65" s="1">
        <v>46009</v>
      </c>
      <c r="B65" t="s">
        <v>12</v>
      </c>
      <c r="C65" t="s">
        <v>13</v>
      </c>
      <c r="D65" t="s">
        <v>11</v>
      </c>
      <c r="E65">
        <v>556964</v>
      </c>
      <c r="F65">
        <v>335857</v>
      </c>
      <c r="G65">
        <v>488742</v>
      </c>
      <c r="H65">
        <v>4.4000000000000004</v>
      </c>
      <c r="I65">
        <v>14</v>
      </c>
      <c r="J65">
        <f t="shared" si="0"/>
        <v>221107</v>
      </c>
      <c r="K65" s="2">
        <f t="shared" si="1"/>
        <v>1.1395869395304681</v>
      </c>
      <c r="L65" s="2">
        <f t="shared" si="2"/>
        <v>0.3969861606854303</v>
      </c>
    </row>
    <row r="66" spans="1:12" x14ac:dyDescent="0.3">
      <c r="A66" s="1">
        <v>45760</v>
      </c>
      <c r="B66" t="s">
        <v>9</v>
      </c>
      <c r="C66" t="s">
        <v>10</v>
      </c>
      <c r="D66" t="s">
        <v>11</v>
      </c>
      <c r="E66">
        <v>207775</v>
      </c>
      <c r="F66">
        <v>120916</v>
      </c>
      <c r="G66">
        <v>234635</v>
      </c>
      <c r="H66">
        <v>5</v>
      </c>
      <c r="I66">
        <v>8</v>
      </c>
      <c r="J66">
        <f t="shared" si="0"/>
        <v>86859</v>
      </c>
      <c r="K66" s="2">
        <f t="shared" si="1"/>
        <v>0.88552432501544953</v>
      </c>
      <c r="L66" s="2">
        <f t="shared" si="2"/>
        <v>0.41804355673204185</v>
      </c>
    </row>
    <row r="67" spans="1:12" x14ac:dyDescent="0.3">
      <c r="A67" s="1">
        <v>45689</v>
      </c>
      <c r="B67" t="s">
        <v>12</v>
      </c>
      <c r="C67" t="s">
        <v>16</v>
      </c>
      <c r="D67" t="s">
        <v>14</v>
      </c>
      <c r="E67">
        <v>426930</v>
      </c>
      <c r="F67">
        <v>191360</v>
      </c>
      <c r="G67">
        <v>453292</v>
      </c>
      <c r="H67">
        <v>5</v>
      </c>
      <c r="I67">
        <v>6</v>
      </c>
      <c r="J67">
        <f t="shared" ref="J67:J130" si="3">E67-F67</f>
        <v>235570</v>
      </c>
      <c r="K67" s="2">
        <f t="shared" ref="K67:K130" si="4">E67/G67</f>
        <v>0.94184322688245103</v>
      </c>
      <c r="L67" s="2">
        <f t="shared" ref="L67:L130" si="5">J67/E67</f>
        <v>0.55177663785632303</v>
      </c>
    </row>
    <row r="68" spans="1:12" x14ac:dyDescent="0.3">
      <c r="A68" s="1">
        <v>45300</v>
      </c>
      <c r="B68" t="s">
        <v>15</v>
      </c>
      <c r="C68" t="s">
        <v>16</v>
      </c>
      <c r="D68" t="s">
        <v>14</v>
      </c>
      <c r="E68">
        <v>218124</v>
      </c>
      <c r="F68">
        <v>90676</v>
      </c>
      <c r="G68">
        <v>190166</v>
      </c>
      <c r="H68">
        <v>4.7</v>
      </c>
      <c r="I68">
        <v>13</v>
      </c>
      <c r="J68">
        <f t="shared" si="3"/>
        <v>127448</v>
      </c>
      <c r="K68" s="2">
        <f t="shared" si="4"/>
        <v>1.1470189203117276</v>
      </c>
      <c r="L68" s="2">
        <f t="shared" si="5"/>
        <v>0.58429150391520424</v>
      </c>
    </row>
    <row r="69" spans="1:12" x14ac:dyDescent="0.3">
      <c r="A69" s="1">
        <v>45925</v>
      </c>
      <c r="B69" t="s">
        <v>15</v>
      </c>
      <c r="C69" t="s">
        <v>10</v>
      </c>
      <c r="D69" t="s">
        <v>14</v>
      </c>
      <c r="E69">
        <v>326837</v>
      </c>
      <c r="F69">
        <v>121275</v>
      </c>
      <c r="G69">
        <v>364131</v>
      </c>
      <c r="H69">
        <v>3.9</v>
      </c>
      <c r="I69">
        <v>15</v>
      </c>
      <c r="J69">
        <f t="shared" si="3"/>
        <v>205562</v>
      </c>
      <c r="K69" s="2">
        <f t="shared" si="4"/>
        <v>0.89758081569545023</v>
      </c>
      <c r="L69" s="2">
        <f t="shared" si="5"/>
        <v>0.62894347947141849</v>
      </c>
    </row>
    <row r="70" spans="1:12" x14ac:dyDescent="0.3">
      <c r="A70" s="1">
        <v>45618</v>
      </c>
      <c r="B70" t="s">
        <v>19</v>
      </c>
      <c r="C70" t="s">
        <v>10</v>
      </c>
      <c r="D70" t="s">
        <v>17</v>
      </c>
      <c r="E70">
        <v>230411</v>
      </c>
      <c r="F70">
        <v>111403</v>
      </c>
      <c r="G70">
        <v>221977</v>
      </c>
      <c r="H70">
        <v>4.5999999999999996</v>
      </c>
      <c r="I70">
        <v>14</v>
      </c>
      <c r="J70">
        <f t="shared" si="3"/>
        <v>119008</v>
      </c>
      <c r="K70" s="2">
        <f t="shared" si="4"/>
        <v>1.0379949274023885</v>
      </c>
      <c r="L70" s="2">
        <f t="shared" si="5"/>
        <v>0.51650311834070417</v>
      </c>
    </row>
    <row r="71" spans="1:12" x14ac:dyDescent="0.3">
      <c r="A71" s="1">
        <v>46005</v>
      </c>
      <c r="B71" t="s">
        <v>15</v>
      </c>
      <c r="C71" t="s">
        <v>18</v>
      </c>
      <c r="D71" t="s">
        <v>11</v>
      </c>
      <c r="E71">
        <v>30582</v>
      </c>
      <c r="F71">
        <v>15365</v>
      </c>
      <c r="G71">
        <v>31237</v>
      </c>
      <c r="H71">
        <v>4.5999999999999996</v>
      </c>
      <c r="I71">
        <v>12</v>
      </c>
      <c r="J71">
        <f t="shared" si="3"/>
        <v>15217</v>
      </c>
      <c r="K71" s="2">
        <f t="shared" si="4"/>
        <v>0.97903127701123671</v>
      </c>
      <c r="L71" s="2">
        <f t="shared" si="5"/>
        <v>0.49758027597933424</v>
      </c>
    </row>
    <row r="72" spans="1:12" x14ac:dyDescent="0.3">
      <c r="A72" s="1">
        <v>45747</v>
      </c>
      <c r="B72" t="s">
        <v>19</v>
      </c>
      <c r="C72" t="s">
        <v>18</v>
      </c>
      <c r="D72" t="s">
        <v>14</v>
      </c>
      <c r="E72">
        <v>315062</v>
      </c>
      <c r="F72">
        <v>124666</v>
      </c>
      <c r="G72">
        <v>290251</v>
      </c>
      <c r="H72">
        <v>4.0999999999999996</v>
      </c>
      <c r="I72">
        <v>0</v>
      </c>
      <c r="J72">
        <f t="shared" si="3"/>
        <v>190396</v>
      </c>
      <c r="K72" s="2">
        <f t="shared" si="4"/>
        <v>1.0854811869726546</v>
      </c>
      <c r="L72" s="2">
        <f t="shared" si="5"/>
        <v>0.60431280192470049</v>
      </c>
    </row>
    <row r="73" spans="1:12" x14ac:dyDescent="0.3">
      <c r="A73" s="1">
        <v>45799</v>
      </c>
      <c r="B73" t="s">
        <v>19</v>
      </c>
      <c r="C73" t="s">
        <v>10</v>
      </c>
      <c r="D73" t="s">
        <v>14</v>
      </c>
      <c r="E73">
        <v>375477</v>
      </c>
      <c r="F73">
        <v>119789</v>
      </c>
      <c r="G73">
        <v>320524</v>
      </c>
      <c r="H73">
        <v>5</v>
      </c>
      <c r="I73">
        <v>4</v>
      </c>
      <c r="J73">
        <f t="shared" si="3"/>
        <v>255688</v>
      </c>
      <c r="K73" s="2">
        <f t="shared" si="4"/>
        <v>1.1714473799153886</v>
      </c>
      <c r="L73" s="2">
        <f t="shared" si="5"/>
        <v>0.68096847476676337</v>
      </c>
    </row>
    <row r="74" spans="1:12" x14ac:dyDescent="0.3">
      <c r="A74" s="1">
        <v>45440</v>
      </c>
      <c r="B74" t="s">
        <v>9</v>
      </c>
      <c r="C74" t="s">
        <v>16</v>
      </c>
      <c r="D74" t="s">
        <v>14</v>
      </c>
      <c r="E74">
        <v>202714</v>
      </c>
      <c r="F74">
        <v>121600</v>
      </c>
      <c r="G74">
        <v>205989</v>
      </c>
      <c r="H74">
        <v>5</v>
      </c>
      <c r="I74">
        <v>11</v>
      </c>
      <c r="J74">
        <f t="shared" si="3"/>
        <v>81114</v>
      </c>
      <c r="K74" s="2">
        <f t="shared" si="4"/>
        <v>0.9841010927767988</v>
      </c>
      <c r="L74" s="2">
        <f t="shared" si="5"/>
        <v>0.40014009885849028</v>
      </c>
    </row>
    <row r="75" spans="1:12" x14ac:dyDescent="0.3">
      <c r="A75" s="1">
        <v>45693</v>
      </c>
      <c r="B75" t="s">
        <v>12</v>
      </c>
      <c r="C75" t="s">
        <v>10</v>
      </c>
      <c r="D75" t="s">
        <v>14</v>
      </c>
      <c r="E75">
        <v>310557</v>
      </c>
      <c r="F75">
        <v>152681</v>
      </c>
      <c r="G75">
        <v>322441</v>
      </c>
      <c r="H75">
        <v>4.4000000000000004</v>
      </c>
      <c r="I75">
        <v>14</v>
      </c>
      <c r="J75">
        <f t="shared" si="3"/>
        <v>157876</v>
      </c>
      <c r="K75" s="2">
        <f t="shared" si="4"/>
        <v>0.96314364488387028</v>
      </c>
      <c r="L75" s="2">
        <f t="shared" si="5"/>
        <v>0.50836400403146609</v>
      </c>
    </row>
    <row r="76" spans="1:12" x14ac:dyDescent="0.3">
      <c r="A76" s="1">
        <v>45947</v>
      </c>
      <c r="B76" t="s">
        <v>12</v>
      </c>
      <c r="C76" t="s">
        <v>10</v>
      </c>
      <c r="D76" t="s">
        <v>11</v>
      </c>
      <c r="E76">
        <v>351003</v>
      </c>
      <c r="F76">
        <v>116840</v>
      </c>
      <c r="G76">
        <v>392098</v>
      </c>
      <c r="H76">
        <v>4.2</v>
      </c>
      <c r="I76">
        <v>9</v>
      </c>
      <c r="J76">
        <f t="shared" si="3"/>
        <v>234163</v>
      </c>
      <c r="K76" s="2">
        <f t="shared" si="4"/>
        <v>0.89519201832195017</v>
      </c>
      <c r="L76" s="2">
        <f t="shared" si="5"/>
        <v>0.66712535220496694</v>
      </c>
    </row>
    <row r="77" spans="1:12" x14ac:dyDescent="0.3">
      <c r="A77" s="1">
        <v>45959</v>
      </c>
      <c r="B77" t="s">
        <v>19</v>
      </c>
      <c r="C77" t="s">
        <v>13</v>
      </c>
      <c r="D77" t="s">
        <v>17</v>
      </c>
      <c r="E77">
        <v>56427</v>
      </c>
      <c r="F77">
        <v>26345</v>
      </c>
      <c r="G77">
        <v>53944</v>
      </c>
      <c r="H77">
        <v>4.4000000000000004</v>
      </c>
      <c r="I77">
        <v>3</v>
      </c>
      <c r="J77">
        <f t="shared" si="3"/>
        <v>30082</v>
      </c>
      <c r="K77" s="2">
        <f t="shared" si="4"/>
        <v>1.0460292154827229</v>
      </c>
      <c r="L77" s="2">
        <f t="shared" si="5"/>
        <v>0.53311358037818779</v>
      </c>
    </row>
    <row r="78" spans="1:12" x14ac:dyDescent="0.3">
      <c r="A78" s="1">
        <v>45332</v>
      </c>
      <c r="B78" t="s">
        <v>9</v>
      </c>
      <c r="C78" t="s">
        <v>13</v>
      </c>
      <c r="D78" t="s">
        <v>11</v>
      </c>
      <c r="E78">
        <v>188677</v>
      </c>
      <c r="F78">
        <v>88144</v>
      </c>
      <c r="G78">
        <v>177895</v>
      </c>
      <c r="H78">
        <v>4.7</v>
      </c>
      <c r="I78">
        <v>14</v>
      </c>
      <c r="J78">
        <f t="shared" si="3"/>
        <v>100533</v>
      </c>
      <c r="K78" s="2">
        <f t="shared" si="4"/>
        <v>1.0606087860816773</v>
      </c>
      <c r="L78" s="2">
        <f t="shared" si="5"/>
        <v>0.53283124069176424</v>
      </c>
    </row>
    <row r="79" spans="1:12" x14ac:dyDescent="0.3">
      <c r="A79" s="1">
        <v>45849</v>
      </c>
      <c r="B79" t="s">
        <v>12</v>
      </c>
      <c r="C79" t="s">
        <v>10</v>
      </c>
      <c r="D79" t="s">
        <v>17</v>
      </c>
      <c r="E79">
        <v>408929</v>
      </c>
      <c r="F79">
        <v>157962</v>
      </c>
      <c r="G79">
        <v>422842</v>
      </c>
      <c r="H79">
        <v>4.0999999999999996</v>
      </c>
      <c r="I79">
        <v>2</v>
      </c>
      <c r="J79">
        <f t="shared" si="3"/>
        <v>250967</v>
      </c>
      <c r="K79" s="2">
        <f t="shared" si="4"/>
        <v>0.96709645683257572</v>
      </c>
      <c r="L79" s="2">
        <f t="shared" si="5"/>
        <v>0.61371778474991989</v>
      </c>
    </row>
    <row r="80" spans="1:12" x14ac:dyDescent="0.3">
      <c r="A80" s="1">
        <v>45533</v>
      </c>
      <c r="B80" t="s">
        <v>12</v>
      </c>
      <c r="C80" t="s">
        <v>10</v>
      </c>
      <c r="D80" t="s">
        <v>14</v>
      </c>
      <c r="E80">
        <v>11015</v>
      </c>
      <c r="F80">
        <v>4039</v>
      </c>
      <c r="G80">
        <v>10950</v>
      </c>
      <c r="H80">
        <v>5</v>
      </c>
      <c r="I80">
        <v>0</v>
      </c>
      <c r="J80">
        <f t="shared" si="3"/>
        <v>6976</v>
      </c>
      <c r="K80" s="2">
        <f t="shared" si="4"/>
        <v>1.0059360730593607</v>
      </c>
      <c r="L80" s="2">
        <f t="shared" si="5"/>
        <v>0.63331820245120296</v>
      </c>
    </row>
    <row r="81" spans="1:12" x14ac:dyDescent="0.3">
      <c r="A81" s="1">
        <v>45573</v>
      </c>
      <c r="B81" t="s">
        <v>12</v>
      </c>
      <c r="C81" t="s">
        <v>10</v>
      </c>
      <c r="D81" t="s">
        <v>17</v>
      </c>
      <c r="E81">
        <v>279114</v>
      </c>
      <c r="F81">
        <v>125399</v>
      </c>
      <c r="G81">
        <v>242565</v>
      </c>
      <c r="H81">
        <v>3.6</v>
      </c>
      <c r="I81">
        <v>10</v>
      </c>
      <c r="J81">
        <f t="shared" si="3"/>
        <v>153715</v>
      </c>
      <c r="K81" s="2">
        <f t="shared" si="4"/>
        <v>1.1506771380866985</v>
      </c>
      <c r="L81" s="2">
        <f t="shared" si="5"/>
        <v>0.55072479345357095</v>
      </c>
    </row>
    <row r="82" spans="1:12" x14ac:dyDescent="0.3">
      <c r="A82" s="1">
        <v>45802</v>
      </c>
      <c r="B82" t="s">
        <v>19</v>
      </c>
      <c r="C82" t="s">
        <v>10</v>
      </c>
      <c r="D82" t="s">
        <v>11</v>
      </c>
      <c r="E82">
        <v>432405</v>
      </c>
      <c r="F82">
        <v>163505</v>
      </c>
      <c r="G82">
        <v>497229</v>
      </c>
      <c r="H82">
        <v>5</v>
      </c>
      <c r="I82">
        <v>11</v>
      </c>
      <c r="J82">
        <f t="shared" si="3"/>
        <v>268900</v>
      </c>
      <c r="K82" s="2">
        <f t="shared" si="4"/>
        <v>0.86962948661481931</v>
      </c>
      <c r="L82" s="2">
        <f t="shared" si="5"/>
        <v>0.6218706999225263</v>
      </c>
    </row>
    <row r="83" spans="1:12" x14ac:dyDescent="0.3">
      <c r="A83" s="1">
        <v>45728</v>
      </c>
      <c r="B83" t="s">
        <v>12</v>
      </c>
      <c r="C83" t="s">
        <v>10</v>
      </c>
      <c r="D83" t="s">
        <v>14</v>
      </c>
      <c r="E83">
        <v>283060</v>
      </c>
      <c r="F83">
        <v>102780</v>
      </c>
      <c r="G83">
        <v>261605</v>
      </c>
      <c r="H83">
        <v>4.2</v>
      </c>
      <c r="I83">
        <v>9</v>
      </c>
      <c r="J83">
        <f t="shared" si="3"/>
        <v>180280</v>
      </c>
      <c r="K83" s="2">
        <f t="shared" si="4"/>
        <v>1.0820129584679192</v>
      </c>
      <c r="L83" s="2">
        <f t="shared" si="5"/>
        <v>0.63689677100261433</v>
      </c>
    </row>
    <row r="84" spans="1:12" x14ac:dyDescent="0.3">
      <c r="A84" s="1">
        <v>45292</v>
      </c>
      <c r="B84" t="s">
        <v>12</v>
      </c>
      <c r="C84" t="s">
        <v>10</v>
      </c>
      <c r="D84" t="s">
        <v>14</v>
      </c>
      <c r="E84">
        <v>329235</v>
      </c>
      <c r="F84">
        <v>119358</v>
      </c>
      <c r="G84">
        <v>354618</v>
      </c>
      <c r="H84">
        <v>3.6</v>
      </c>
      <c r="I84">
        <v>13</v>
      </c>
      <c r="J84">
        <f t="shared" si="3"/>
        <v>209877</v>
      </c>
      <c r="K84" s="2">
        <f t="shared" si="4"/>
        <v>0.92842156912508667</v>
      </c>
      <c r="L84" s="2">
        <f t="shared" si="5"/>
        <v>0.63746867738849156</v>
      </c>
    </row>
    <row r="85" spans="1:12" x14ac:dyDescent="0.3">
      <c r="A85" s="1">
        <v>45386</v>
      </c>
      <c r="B85" t="s">
        <v>9</v>
      </c>
      <c r="C85" t="s">
        <v>18</v>
      </c>
      <c r="D85" t="s">
        <v>17</v>
      </c>
      <c r="E85">
        <v>199089</v>
      </c>
      <c r="F85">
        <v>75316</v>
      </c>
      <c r="G85">
        <v>200293</v>
      </c>
      <c r="H85">
        <v>4.8</v>
      </c>
      <c r="I85">
        <v>5</v>
      </c>
      <c r="J85">
        <f t="shared" si="3"/>
        <v>123773</v>
      </c>
      <c r="K85" s="2">
        <f t="shared" si="4"/>
        <v>0.99398880639862597</v>
      </c>
      <c r="L85" s="2">
        <f t="shared" si="5"/>
        <v>0.62169682905635171</v>
      </c>
    </row>
    <row r="86" spans="1:12" x14ac:dyDescent="0.3">
      <c r="A86" s="1">
        <v>45345</v>
      </c>
      <c r="B86" t="s">
        <v>9</v>
      </c>
      <c r="C86" t="s">
        <v>10</v>
      </c>
      <c r="D86" t="s">
        <v>17</v>
      </c>
      <c r="E86">
        <v>296429</v>
      </c>
      <c r="F86">
        <v>147904</v>
      </c>
      <c r="G86">
        <v>263882</v>
      </c>
      <c r="H86">
        <v>3.5</v>
      </c>
      <c r="I86">
        <v>10</v>
      </c>
      <c r="J86">
        <f t="shared" si="3"/>
        <v>148525</v>
      </c>
      <c r="K86" s="2">
        <f t="shared" si="4"/>
        <v>1.1233392198027907</v>
      </c>
      <c r="L86" s="2">
        <f t="shared" si="5"/>
        <v>0.50104746836510594</v>
      </c>
    </row>
    <row r="87" spans="1:12" x14ac:dyDescent="0.3">
      <c r="A87" s="1">
        <v>45498</v>
      </c>
      <c r="B87" t="s">
        <v>19</v>
      </c>
      <c r="C87" t="s">
        <v>10</v>
      </c>
      <c r="D87" t="s">
        <v>17</v>
      </c>
      <c r="E87">
        <v>440657</v>
      </c>
      <c r="F87">
        <v>245054</v>
      </c>
      <c r="G87">
        <v>392586</v>
      </c>
      <c r="H87">
        <v>3.5</v>
      </c>
      <c r="I87">
        <v>10</v>
      </c>
      <c r="J87">
        <f t="shared" si="3"/>
        <v>195603</v>
      </c>
      <c r="K87" s="2">
        <f t="shared" si="4"/>
        <v>1.1224470561864153</v>
      </c>
      <c r="L87" s="2">
        <f t="shared" si="5"/>
        <v>0.44388946504877946</v>
      </c>
    </row>
    <row r="88" spans="1:12" x14ac:dyDescent="0.3">
      <c r="A88" s="1">
        <v>45597</v>
      </c>
      <c r="B88" t="s">
        <v>15</v>
      </c>
      <c r="C88" t="s">
        <v>16</v>
      </c>
      <c r="D88" t="s">
        <v>17</v>
      </c>
      <c r="E88">
        <v>35934</v>
      </c>
      <c r="F88">
        <v>14735</v>
      </c>
      <c r="G88">
        <v>36445</v>
      </c>
      <c r="H88">
        <v>4.2</v>
      </c>
      <c r="I88">
        <v>14</v>
      </c>
      <c r="J88">
        <f t="shared" si="3"/>
        <v>21199</v>
      </c>
      <c r="K88" s="2">
        <f t="shared" si="4"/>
        <v>0.98597887227328851</v>
      </c>
      <c r="L88" s="2">
        <f t="shared" si="5"/>
        <v>0.58994267267768685</v>
      </c>
    </row>
    <row r="89" spans="1:12" x14ac:dyDescent="0.3">
      <c r="A89" s="1">
        <v>45626</v>
      </c>
      <c r="B89" t="s">
        <v>9</v>
      </c>
      <c r="C89" t="s">
        <v>16</v>
      </c>
      <c r="D89" t="s">
        <v>11</v>
      </c>
      <c r="E89">
        <v>193401</v>
      </c>
      <c r="F89">
        <v>76336</v>
      </c>
      <c r="G89">
        <v>210602</v>
      </c>
      <c r="H89">
        <v>4.2</v>
      </c>
      <c r="I89">
        <v>2</v>
      </c>
      <c r="J89">
        <f t="shared" si="3"/>
        <v>117065</v>
      </c>
      <c r="K89" s="2">
        <f t="shared" si="4"/>
        <v>0.91832461230187745</v>
      </c>
      <c r="L89" s="2">
        <f t="shared" si="5"/>
        <v>0.60529676682126776</v>
      </c>
    </row>
    <row r="90" spans="1:12" x14ac:dyDescent="0.3">
      <c r="A90" s="1">
        <v>45692</v>
      </c>
      <c r="B90" t="s">
        <v>15</v>
      </c>
      <c r="C90" t="s">
        <v>10</v>
      </c>
      <c r="D90" t="s">
        <v>14</v>
      </c>
      <c r="E90">
        <v>233777</v>
      </c>
      <c r="F90">
        <v>117677</v>
      </c>
      <c r="G90">
        <v>243132</v>
      </c>
      <c r="H90">
        <v>3.9</v>
      </c>
      <c r="I90">
        <v>1</v>
      </c>
      <c r="J90">
        <f t="shared" si="3"/>
        <v>116100</v>
      </c>
      <c r="K90" s="2">
        <f t="shared" si="4"/>
        <v>0.9615229587220111</v>
      </c>
      <c r="L90" s="2">
        <f t="shared" si="5"/>
        <v>0.49662712756173616</v>
      </c>
    </row>
    <row r="91" spans="1:12" x14ac:dyDescent="0.3">
      <c r="A91" s="1">
        <v>45402</v>
      </c>
      <c r="B91" t="s">
        <v>19</v>
      </c>
      <c r="C91" t="s">
        <v>18</v>
      </c>
      <c r="D91" t="s">
        <v>11</v>
      </c>
      <c r="E91">
        <v>221791</v>
      </c>
      <c r="F91">
        <v>112649</v>
      </c>
      <c r="G91">
        <v>234943</v>
      </c>
      <c r="H91">
        <v>3.8</v>
      </c>
      <c r="I91">
        <v>14</v>
      </c>
      <c r="J91">
        <f t="shared" si="3"/>
        <v>109142</v>
      </c>
      <c r="K91" s="2">
        <f t="shared" si="4"/>
        <v>0.94402046453820709</v>
      </c>
      <c r="L91" s="2">
        <f t="shared" si="5"/>
        <v>0.49209390822891824</v>
      </c>
    </row>
    <row r="92" spans="1:12" x14ac:dyDescent="0.3">
      <c r="A92" s="1">
        <v>45987</v>
      </c>
      <c r="B92" t="s">
        <v>19</v>
      </c>
      <c r="C92" t="s">
        <v>18</v>
      </c>
      <c r="D92" t="s">
        <v>11</v>
      </c>
      <c r="E92">
        <v>436650</v>
      </c>
      <c r="F92">
        <v>144997</v>
      </c>
      <c r="G92">
        <v>450003</v>
      </c>
      <c r="H92">
        <v>3.8</v>
      </c>
      <c r="I92">
        <v>12</v>
      </c>
      <c r="J92">
        <f t="shared" si="3"/>
        <v>291653</v>
      </c>
      <c r="K92" s="2">
        <f t="shared" si="4"/>
        <v>0.97032686448757011</v>
      </c>
      <c r="L92" s="2">
        <f t="shared" si="5"/>
        <v>0.6679331272185961</v>
      </c>
    </row>
    <row r="93" spans="1:12" x14ac:dyDescent="0.3">
      <c r="A93" s="1">
        <v>45296</v>
      </c>
      <c r="B93" t="s">
        <v>15</v>
      </c>
      <c r="C93" t="s">
        <v>13</v>
      </c>
      <c r="D93" t="s">
        <v>17</v>
      </c>
      <c r="E93">
        <v>439749</v>
      </c>
      <c r="F93">
        <v>193345</v>
      </c>
      <c r="G93">
        <v>420750</v>
      </c>
      <c r="H93">
        <v>4.8</v>
      </c>
      <c r="I93">
        <v>0</v>
      </c>
      <c r="J93">
        <f t="shared" si="3"/>
        <v>246404</v>
      </c>
      <c r="K93" s="2">
        <f t="shared" si="4"/>
        <v>1.0451550802139038</v>
      </c>
      <c r="L93" s="2">
        <f t="shared" si="5"/>
        <v>0.56032873298176911</v>
      </c>
    </row>
    <row r="94" spans="1:12" x14ac:dyDescent="0.3">
      <c r="A94" s="1">
        <v>45369</v>
      </c>
      <c r="B94" t="s">
        <v>15</v>
      </c>
      <c r="C94" t="s">
        <v>10</v>
      </c>
      <c r="D94" t="s">
        <v>11</v>
      </c>
      <c r="E94">
        <v>33624</v>
      </c>
      <c r="F94">
        <v>14782</v>
      </c>
      <c r="G94">
        <v>29405</v>
      </c>
      <c r="H94">
        <v>4.8</v>
      </c>
      <c r="I94">
        <v>14</v>
      </c>
      <c r="J94">
        <f t="shared" si="3"/>
        <v>18842</v>
      </c>
      <c r="K94" s="2">
        <f t="shared" si="4"/>
        <v>1.143479000170039</v>
      </c>
      <c r="L94" s="2">
        <f t="shared" si="5"/>
        <v>0.56037354270758977</v>
      </c>
    </row>
    <row r="95" spans="1:12" x14ac:dyDescent="0.3">
      <c r="A95" s="1">
        <v>45339</v>
      </c>
      <c r="B95" t="s">
        <v>19</v>
      </c>
      <c r="C95" t="s">
        <v>10</v>
      </c>
      <c r="D95" t="s">
        <v>17</v>
      </c>
      <c r="E95">
        <v>74291</v>
      </c>
      <c r="F95">
        <v>42690</v>
      </c>
      <c r="G95">
        <v>76459</v>
      </c>
      <c r="H95">
        <v>5</v>
      </c>
      <c r="I95">
        <v>0</v>
      </c>
      <c r="J95">
        <f t="shared" si="3"/>
        <v>31601</v>
      </c>
      <c r="K95" s="2">
        <f t="shared" si="4"/>
        <v>0.97164493388613504</v>
      </c>
      <c r="L95" s="2">
        <f t="shared" si="5"/>
        <v>0.42536781036733923</v>
      </c>
    </row>
    <row r="96" spans="1:12" x14ac:dyDescent="0.3">
      <c r="A96" s="1">
        <v>45594</v>
      </c>
      <c r="B96" t="s">
        <v>12</v>
      </c>
      <c r="C96" t="s">
        <v>13</v>
      </c>
      <c r="D96" t="s">
        <v>17</v>
      </c>
      <c r="E96">
        <v>149789</v>
      </c>
      <c r="F96">
        <v>58419</v>
      </c>
      <c r="G96">
        <v>151193</v>
      </c>
      <c r="H96">
        <v>4.5999999999999996</v>
      </c>
      <c r="I96">
        <v>9</v>
      </c>
      <c r="J96">
        <f t="shared" si="3"/>
        <v>91370</v>
      </c>
      <c r="K96" s="2">
        <f t="shared" si="4"/>
        <v>0.99071385580020244</v>
      </c>
      <c r="L96" s="2">
        <f t="shared" si="5"/>
        <v>0.60999138788562579</v>
      </c>
    </row>
    <row r="97" spans="1:12" x14ac:dyDescent="0.3">
      <c r="A97" s="1">
        <v>45957</v>
      </c>
      <c r="B97" t="s">
        <v>15</v>
      </c>
      <c r="C97" t="s">
        <v>18</v>
      </c>
      <c r="D97" t="s">
        <v>11</v>
      </c>
      <c r="E97">
        <v>408342</v>
      </c>
      <c r="F97">
        <v>187223</v>
      </c>
      <c r="G97">
        <v>412275</v>
      </c>
      <c r="H97">
        <v>3.7</v>
      </c>
      <c r="I97">
        <v>6</v>
      </c>
      <c r="J97">
        <f t="shared" si="3"/>
        <v>221119</v>
      </c>
      <c r="K97" s="2">
        <f t="shared" si="4"/>
        <v>0.99046025104602509</v>
      </c>
      <c r="L97" s="2">
        <f t="shared" si="5"/>
        <v>0.54150442521219955</v>
      </c>
    </row>
    <row r="98" spans="1:12" x14ac:dyDescent="0.3">
      <c r="A98" s="1">
        <v>45797</v>
      </c>
      <c r="B98" t="s">
        <v>15</v>
      </c>
      <c r="C98" t="s">
        <v>18</v>
      </c>
      <c r="D98" t="s">
        <v>11</v>
      </c>
      <c r="E98">
        <v>176926</v>
      </c>
      <c r="F98">
        <v>88253</v>
      </c>
      <c r="G98">
        <v>151452</v>
      </c>
      <c r="H98">
        <v>4</v>
      </c>
      <c r="I98">
        <v>6</v>
      </c>
      <c r="J98">
        <f t="shared" si="3"/>
        <v>88673</v>
      </c>
      <c r="K98" s="2">
        <f t="shared" si="4"/>
        <v>1.168198505136941</v>
      </c>
      <c r="L98" s="2">
        <f t="shared" si="5"/>
        <v>0.50118693691147709</v>
      </c>
    </row>
    <row r="99" spans="1:12" x14ac:dyDescent="0.3">
      <c r="A99" s="1">
        <v>45522</v>
      </c>
      <c r="B99" t="s">
        <v>15</v>
      </c>
      <c r="C99" t="s">
        <v>16</v>
      </c>
      <c r="D99" t="s">
        <v>17</v>
      </c>
      <c r="E99">
        <v>57915</v>
      </c>
      <c r="F99">
        <v>25825</v>
      </c>
      <c r="G99">
        <v>61026</v>
      </c>
      <c r="H99">
        <v>4.7</v>
      </c>
      <c r="I99">
        <v>12</v>
      </c>
      <c r="J99">
        <f t="shared" si="3"/>
        <v>32090</v>
      </c>
      <c r="K99" s="2">
        <f t="shared" si="4"/>
        <v>0.94902172844361421</v>
      </c>
      <c r="L99" s="2">
        <f t="shared" si="5"/>
        <v>0.55408788742122073</v>
      </c>
    </row>
    <row r="100" spans="1:12" x14ac:dyDescent="0.3">
      <c r="A100" s="1">
        <v>45400</v>
      </c>
      <c r="B100" t="s">
        <v>15</v>
      </c>
      <c r="C100" t="s">
        <v>18</v>
      </c>
      <c r="D100" t="s">
        <v>11</v>
      </c>
      <c r="E100">
        <v>36069</v>
      </c>
      <c r="F100">
        <v>15799</v>
      </c>
      <c r="G100">
        <v>36766</v>
      </c>
      <c r="H100">
        <v>4.0999999999999996</v>
      </c>
      <c r="I100">
        <v>7</v>
      </c>
      <c r="J100">
        <f t="shared" si="3"/>
        <v>20270</v>
      </c>
      <c r="K100" s="2">
        <f t="shared" si="4"/>
        <v>0.98104226731219057</v>
      </c>
      <c r="L100" s="2">
        <f t="shared" si="5"/>
        <v>0.56197843023094629</v>
      </c>
    </row>
    <row r="101" spans="1:12" x14ac:dyDescent="0.3">
      <c r="A101" s="1">
        <v>45904</v>
      </c>
      <c r="B101" t="s">
        <v>15</v>
      </c>
      <c r="C101" t="s">
        <v>13</v>
      </c>
      <c r="D101" t="s">
        <v>17</v>
      </c>
      <c r="E101">
        <v>58447</v>
      </c>
      <c r="F101">
        <v>27150</v>
      </c>
      <c r="G101">
        <v>55472</v>
      </c>
      <c r="H101">
        <v>4.9000000000000004</v>
      </c>
      <c r="I101">
        <v>7</v>
      </c>
      <c r="J101">
        <f t="shared" si="3"/>
        <v>31297</v>
      </c>
      <c r="K101" s="2">
        <f t="shared" si="4"/>
        <v>1.0536306605134123</v>
      </c>
      <c r="L101" s="2">
        <f t="shared" si="5"/>
        <v>0.535476585624583</v>
      </c>
    </row>
    <row r="102" spans="1:12" x14ac:dyDescent="0.3">
      <c r="A102" s="1">
        <v>45728</v>
      </c>
      <c r="B102" t="s">
        <v>15</v>
      </c>
      <c r="C102" t="s">
        <v>10</v>
      </c>
      <c r="D102" t="s">
        <v>17</v>
      </c>
      <c r="E102">
        <v>11605</v>
      </c>
      <c r="F102">
        <v>4070</v>
      </c>
      <c r="G102">
        <v>10170</v>
      </c>
      <c r="H102">
        <v>4.7</v>
      </c>
      <c r="I102">
        <v>3</v>
      </c>
      <c r="J102">
        <f t="shared" si="3"/>
        <v>7535</v>
      </c>
      <c r="K102" s="2">
        <f t="shared" si="4"/>
        <v>1.1411012782694199</v>
      </c>
      <c r="L102" s="2">
        <f t="shared" si="5"/>
        <v>0.64928909952606639</v>
      </c>
    </row>
    <row r="103" spans="1:12" x14ac:dyDescent="0.3">
      <c r="A103" s="1">
        <v>45955</v>
      </c>
      <c r="B103" t="s">
        <v>12</v>
      </c>
      <c r="C103" t="s">
        <v>10</v>
      </c>
      <c r="D103" t="s">
        <v>11</v>
      </c>
      <c r="E103">
        <v>428034</v>
      </c>
      <c r="F103">
        <v>216106</v>
      </c>
      <c r="G103">
        <v>489976</v>
      </c>
      <c r="H103">
        <v>3.7</v>
      </c>
      <c r="I103">
        <v>14</v>
      </c>
      <c r="J103">
        <f t="shared" si="3"/>
        <v>211928</v>
      </c>
      <c r="K103" s="2">
        <f t="shared" si="4"/>
        <v>0.87358156317860469</v>
      </c>
      <c r="L103" s="2">
        <f t="shared" si="5"/>
        <v>0.49511954657807555</v>
      </c>
    </row>
    <row r="104" spans="1:12" x14ac:dyDescent="0.3">
      <c r="A104" s="1">
        <v>45613</v>
      </c>
      <c r="B104" t="s">
        <v>9</v>
      </c>
      <c r="C104" t="s">
        <v>13</v>
      </c>
      <c r="D104" t="s">
        <v>11</v>
      </c>
      <c r="E104">
        <v>132883</v>
      </c>
      <c r="F104">
        <v>50878</v>
      </c>
      <c r="G104">
        <v>123231</v>
      </c>
      <c r="H104">
        <v>3.8</v>
      </c>
      <c r="I104">
        <v>14</v>
      </c>
      <c r="J104">
        <f t="shared" si="3"/>
        <v>82005</v>
      </c>
      <c r="K104" s="2">
        <f t="shared" si="4"/>
        <v>1.0783244475821832</v>
      </c>
      <c r="L104" s="2">
        <f t="shared" si="5"/>
        <v>0.61712182897737111</v>
      </c>
    </row>
    <row r="105" spans="1:12" x14ac:dyDescent="0.3">
      <c r="A105" s="1">
        <v>45865</v>
      </c>
      <c r="B105" t="s">
        <v>19</v>
      </c>
      <c r="C105" t="s">
        <v>16</v>
      </c>
      <c r="D105" t="s">
        <v>11</v>
      </c>
      <c r="E105">
        <v>20954</v>
      </c>
      <c r="F105">
        <v>9869</v>
      </c>
      <c r="G105">
        <v>23082</v>
      </c>
      <c r="H105">
        <v>3.8</v>
      </c>
      <c r="I105">
        <v>7</v>
      </c>
      <c r="J105">
        <f t="shared" si="3"/>
        <v>11085</v>
      </c>
      <c r="K105" s="2">
        <f t="shared" si="4"/>
        <v>0.90780694913785631</v>
      </c>
      <c r="L105" s="2">
        <f t="shared" si="5"/>
        <v>0.52901593967738858</v>
      </c>
    </row>
    <row r="106" spans="1:12" x14ac:dyDescent="0.3">
      <c r="A106" s="1">
        <v>45701</v>
      </c>
      <c r="B106" t="s">
        <v>15</v>
      </c>
      <c r="C106" t="s">
        <v>13</v>
      </c>
      <c r="D106" t="s">
        <v>11</v>
      </c>
      <c r="E106">
        <v>199139</v>
      </c>
      <c r="F106">
        <v>87829</v>
      </c>
      <c r="G106">
        <v>211519</v>
      </c>
      <c r="H106">
        <v>4.7</v>
      </c>
      <c r="I106">
        <v>0</v>
      </c>
      <c r="J106">
        <f t="shared" si="3"/>
        <v>111310</v>
      </c>
      <c r="K106" s="2">
        <f t="shared" si="4"/>
        <v>0.94147097896642851</v>
      </c>
      <c r="L106" s="2">
        <f t="shared" si="5"/>
        <v>0.55895630690120968</v>
      </c>
    </row>
    <row r="107" spans="1:12" x14ac:dyDescent="0.3">
      <c r="A107" s="1">
        <v>45841</v>
      </c>
      <c r="B107" t="s">
        <v>19</v>
      </c>
      <c r="C107" t="s">
        <v>16</v>
      </c>
      <c r="D107" t="s">
        <v>11</v>
      </c>
      <c r="E107">
        <v>42254</v>
      </c>
      <c r="F107">
        <v>21541</v>
      </c>
      <c r="G107">
        <v>43444</v>
      </c>
      <c r="H107">
        <v>4.0999999999999996</v>
      </c>
      <c r="I107">
        <v>3</v>
      </c>
      <c r="J107">
        <f t="shared" si="3"/>
        <v>20713</v>
      </c>
      <c r="K107" s="2">
        <f t="shared" si="4"/>
        <v>0.9726084154313599</v>
      </c>
      <c r="L107" s="2">
        <f t="shared" si="5"/>
        <v>0.49020211104274153</v>
      </c>
    </row>
    <row r="108" spans="1:12" x14ac:dyDescent="0.3">
      <c r="A108" s="1">
        <v>45301</v>
      </c>
      <c r="B108" t="s">
        <v>19</v>
      </c>
      <c r="C108" t="s">
        <v>18</v>
      </c>
      <c r="D108" t="s">
        <v>17</v>
      </c>
      <c r="E108">
        <v>405435</v>
      </c>
      <c r="F108">
        <v>204863</v>
      </c>
      <c r="G108">
        <v>443125</v>
      </c>
      <c r="H108">
        <v>3.9</v>
      </c>
      <c r="I108">
        <v>1</v>
      </c>
      <c r="J108">
        <f t="shared" si="3"/>
        <v>200572</v>
      </c>
      <c r="K108" s="2">
        <f t="shared" si="4"/>
        <v>0.91494499294781384</v>
      </c>
      <c r="L108" s="2">
        <f t="shared" si="5"/>
        <v>0.49470815297149973</v>
      </c>
    </row>
    <row r="109" spans="1:12" x14ac:dyDescent="0.3">
      <c r="A109" s="1">
        <v>45904</v>
      </c>
      <c r="B109" t="s">
        <v>19</v>
      </c>
      <c r="C109" t="s">
        <v>10</v>
      </c>
      <c r="D109" t="s">
        <v>14</v>
      </c>
      <c r="E109">
        <v>257754</v>
      </c>
      <c r="F109">
        <v>125404</v>
      </c>
      <c r="G109">
        <v>250936</v>
      </c>
      <c r="H109">
        <v>4</v>
      </c>
      <c r="I109">
        <v>14</v>
      </c>
      <c r="J109">
        <f t="shared" si="3"/>
        <v>132350</v>
      </c>
      <c r="K109" s="2">
        <f t="shared" si="4"/>
        <v>1.0271702744923008</v>
      </c>
      <c r="L109" s="2">
        <f t="shared" si="5"/>
        <v>0.51347408769602021</v>
      </c>
    </row>
    <row r="110" spans="1:12" x14ac:dyDescent="0.3">
      <c r="A110" s="1">
        <v>45872</v>
      </c>
      <c r="B110" t="s">
        <v>15</v>
      </c>
      <c r="C110" t="s">
        <v>13</v>
      </c>
      <c r="D110" t="s">
        <v>17</v>
      </c>
      <c r="E110">
        <v>137309</v>
      </c>
      <c r="F110">
        <v>46478</v>
      </c>
      <c r="G110">
        <v>124178</v>
      </c>
      <c r="H110">
        <v>3.6</v>
      </c>
      <c r="I110">
        <v>10</v>
      </c>
      <c r="J110">
        <f t="shared" si="3"/>
        <v>90831</v>
      </c>
      <c r="K110" s="2">
        <f t="shared" si="4"/>
        <v>1.1057433683905362</v>
      </c>
      <c r="L110" s="2">
        <f t="shared" si="5"/>
        <v>0.66150798563823199</v>
      </c>
    </row>
    <row r="111" spans="1:12" x14ac:dyDescent="0.3">
      <c r="A111" s="1">
        <v>45587</v>
      </c>
      <c r="B111" t="s">
        <v>9</v>
      </c>
      <c r="C111" t="s">
        <v>16</v>
      </c>
      <c r="D111" t="s">
        <v>14</v>
      </c>
      <c r="E111">
        <v>18007</v>
      </c>
      <c r="F111">
        <v>6868</v>
      </c>
      <c r="G111">
        <v>16395</v>
      </c>
      <c r="H111">
        <v>3.7</v>
      </c>
      <c r="I111">
        <v>10</v>
      </c>
      <c r="J111">
        <f t="shared" si="3"/>
        <v>11139</v>
      </c>
      <c r="K111" s="2">
        <f t="shared" si="4"/>
        <v>1.0983226593473621</v>
      </c>
      <c r="L111" s="2">
        <f t="shared" si="5"/>
        <v>0.61859276947853614</v>
      </c>
    </row>
    <row r="112" spans="1:12" x14ac:dyDescent="0.3">
      <c r="A112" s="1">
        <v>46016</v>
      </c>
      <c r="B112" t="s">
        <v>19</v>
      </c>
      <c r="C112" t="s">
        <v>10</v>
      </c>
      <c r="D112" t="s">
        <v>11</v>
      </c>
      <c r="E112">
        <v>198002</v>
      </c>
      <c r="F112">
        <v>92878</v>
      </c>
      <c r="G112">
        <v>189616</v>
      </c>
      <c r="H112">
        <v>4.8</v>
      </c>
      <c r="I112">
        <v>13</v>
      </c>
      <c r="J112">
        <f t="shared" si="3"/>
        <v>105124</v>
      </c>
      <c r="K112" s="2">
        <f t="shared" si="4"/>
        <v>1.0442262256349675</v>
      </c>
      <c r="L112" s="2">
        <f t="shared" si="5"/>
        <v>0.53092393006131255</v>
      </c>
    </row>
    <row r="113" spans="1:12" x14ac:dyDescent="0.3">
      <c r="A113" s="1">
        <v>45380</v>
      </c>
      <c r="B113" t="s">
        <v>15</v>
      </c>
      <c r="C113" t="s">
        <v>13</v>
      </c>
      <c r="D113" t="s">
        <v>11</v>
      </c>
      <c r="E113">
        <v>170359</v>
      </c>
      <c r="F113">
        <v>71000</v>
      </c>
      <c r="G113">
        <v>172392</v>
      </c>
      <c r="H113">
        <v>4.2</v>
      </c>
      <c r="I113">
        <v>2</v>
      </c>
      <c r="J113">
        <f t="shared" si="3"/>
        <v>99359</v>
      </c>
      <c r="K113" s="2">
        <f t="shared" si="4"/>
        <v>0.98820710937862544</v>
      </c>
      <c r="L113" s="2">
        <f t="shared" si="5"/>
        <v>0.58323305490170751</v>
      </c>
    </row>
    <row r="114" spans="1:12" x14ac:dyDescent="0.3">
      <c r="A114" s="1">
        <v>45956</v>
      </c>
      <c r="B114" t="s">
        <v>19</v>
      </c>
      <c r="C114" t="s">
        <v>10</v>
      </c>
      <c r="D114" t="s">
        <v>11</v>
      </c>
      <c r="E114">
        <v>448774</v>
      </c>
      <c r="F114">
        <v>196982</v>
      </c>
      <c r="G114">
        <v>503498</v>
      </c>
      <c r="H114">
        <v>4.4000000000000004</v>
      </c>
      <c r="I114">
        <v>1</v>
      </c>
      <c r="J114">
        <f t="shared" si="3"/>
        <v>251792</v>
      </c>
      <c r="K114" s="2">
        <f t="shared" si="4"/>
        <v>0.89131237859931911</v>
      </c>
      <c r="L114" s="2">
        <f t="shared" si="5"/>
        <v>0.5610663719377682</v>
      </c>
    </row>
    <row r="115" spans="1:12" x14ac:dyDescent="0.3">
      <c r="A115" s="1">
        <v>45489</v>
      </c>
      <c r="B115" t="s">
        <v>15</v>
      </c>
      <c r="C115" t="s">
        <v>18</v>
      </c>
      <c r="D115" t="s">
        <v>11</v>
      </c>
      <c r="E115">
        <v>355266</v>
      </c>
      <c r="F115">
        <v>206047</v>
      </c>
      <c r="G115">
        <v>395620</v>
      </c>
      <c r="H115">
        <v>4.2</v>
      </c>
      <c r="I115">
        <v>15</v>
      </c>
      <c r="J115">
        <f t="shared" si="3"/>
        <v>149219</v>
      </c>
      <c r="K115" s="2">
        <f t="shared" si="4"/>
        <v>0.8979980789646631</v>
      </c>
      <c r="L115" s="2">
        <f t="shared" si="5"/>
        <v>0.42002049168791833</v>
      </c>
    </row>
    <row r="116" spans="1:12" x14ac:dyDescent="0.3">
      <c r="A116" s="1">
        <v>45769</v>
      </c>
      <c r="B116" t="s">
        <v>12</v>
      </c>
      <c r="C116" t="s">
        <v>18</v>
      </c>
      <c r="D116" t="s">
        <v>14</v>
      </c>
      <c r="E116">
        <v>282933</v>
      </c>
      <c r="F116">
        <v>147827</v>
      </c>
      <c r="G116">
        <v>261584</v>
      </c>
      <c r="H116">
        <v>4.5999999999999996</v>
      </c>
      <c r="I116">
        <v>8</v>
      </c>
      <c r="J116">
        <f t="shared" si="3"/>
        <v>135106</v>
      </c>
      <c r="K116" s="2">
        <f t="shared" si="4"/>
        <v>1.0816143189185883</v>
      </c>
      <c r="L116" s="2">
        <f t="shared" si="5"/>
        <v>0.47751941272315351</v>
      </c>
    </row>
    <row r="117" spans="1:12" x14ac:dyDescent="0.3">
      <c r="A117" s="1">
        <v>45545</v>
      </c>
      <c r="B117" t="s">
        <v>9</v>
      </c>
      <c r="C117" t="s">
        <v>16</v>
      </c>
      <c r="D117" t="s">
        <v>17</v>
      </c>
      <c r="E117">
        <v>42265</v>
      </c>
      <c r="F117">
        <v>14580</v>
      </c>
      <c r="G117">
        <v>40262</v>
      </c>
      <c r="H117">
        <v>4.7</v>
      </c>
      <c r="I117">
        <v>4</v>
      </c>
      <c r="J117">
        <f t="shared" si="3"/>
        <v>27685</v>
      </c>
      <c r="K117" s="2">
        <f t="shared" si="4"/>
        <v>1.0497491431126125</v>
      </c>
      <c r="L117" s="2">
        <f t="shared" si="5"/>
        <v>0.65503371584052994</v>
      </c>
    </row>
    <row r="118" spans="1:12" x14ac:dyDescent="0.3">
      <c r="A118" s="1">
        <v>45450</v>
      </c>
      <c r="B118" t="s">
        <v>12</v>
      </c>
      <c r="C118" t="s">
        <v>13</v>
      </c>
      <c r="D118" t="s">
        <v>14</v>
      </c>
      <c r="E118">
        <v>212967</v>
      </c>
      <c r="F118">
        <v>103675</v>
      </c>
      <c r="G118">
        <v>231961</v>
      </c>
      <c r="H118">
        <v>3.7</v>
      </c>
      <c r="I118">
        <v>3</v>
      </c>
      <c r="J118">
        <f t="shared" si="3"/>
        <v>109292</v>
      </c>
      <c r="K118" s="2">
        <f t="shared" si="4"/>
        <v>0.91811554528562989</v>
      </c>
      <c r="L118" s="2">
        <f t="shared" si="5"/>
        <v>0.51318748914151013</v>
      </c>
    </row>
    <row r="119" spans="1:12" x14ac:dyDescent="0.3">
      <c r="A119" s="1">
        <v>45338</v>
      </c>
      <c r="B119" t="s">
        <v>9</v>
      </c>
      <c r="C119" t="s">
        <v>13</v>
      </c>
      <c r="D119" t="s">
        <v>14</v>
      </c>
      <c r="E119">
        <v>292753</v>
      </c>
      <c r="F119">
        <v>125197</v>
      </c>
      <c r="G119">
        <v>309786</v>
      </c>
      <c r="H119">
        <v>4.3</v>
      </c>
      <c r="I119">
        <v>10</v>
      </c>
      <c r="J119">
        <f t="shared" si="3"/>
        <v>167556</v>
      </c>
      <c r="K119" s="2">
        <f t="shared" si="4"/>
        <v>0.9450168826221973</v>
      </c>
      <c r="L119" s="2">
        <f t="shared" si="5"/>
        <v>0.57234597083548244</v>
      </c>
    </row>
    <row r="120" spans="1:12" x14ac:dyDescent="0.3">
      <c r="A120" s="1">
        <v>45574</v>
      </c>
      <c r="B120" t="s">
        <v>19</v>
      </c>
      <c r="C120" t="s">
        <v>13</v>
      </c>
      <c r="D120" t="s">
        <v>11</v>
      </c>
      <c r="E120">
        <v>398349</v>
      </c>
      <c r="F120">
        <v>205246</v>
      </c>
      <c r="G120">
        <v>365766</v>
      </c>
      <c r="H120">
        <v>4.0999999999999996</v>
      </c>
      <c r="I120">
        <v>9</v>
      </c>
      <c r="J120">
        <f t="shared" si="3"/>
        <v>193103</v>
      </c>
      <c r="K120" s="2">
        <f t="shared" si="4"/>
        <v>1.0890815439379276</v>
      </c>
      <c r="L120" s="2">
        <f t="shared" si="5"/>
        <v>0.4847583400485504</v>
      </c>
    </row>
    <row r="121" spans="1:12" x14ac:dyDescent="0.3">
      <c r="A121" s="1">
        <v>45637</v>
      </c>
      <c r="B121" t="s">
        <v>15</v>
      </c>
      <c r="C121" t="s">
        <v>18</v>
      </c>
      <c r="D121" t="s">
        <v>17</v>
      </c>
      <c r="E121">
        <v>260385</v>
      </c>
      <c r="F121">
        <v>108987</v>
      </c>
      <c r="G121">
        <v>222741</v>
      </c>
      <c r="H121">
        <v>4.8</v>
      </c>
      <c r="I121">
        <v>1</v>
      </c>
      <c r="J121">
        <f t="shared" si="3"/>
        <v>151398</v>
      </c>
      <c r="K121" s="2">
        <f t="shared" si="4"/>
        <v>1.1690034614193165</v>
      </c>
      <c r="L121" s="2">
        <f t="shared" si="5"/>
        <v>0.58143902298519501</v>
      </c>
    </row>
    <row r="122" spans="1:12" x14ac:dyDescent="0.3">
      <c r="A122" s="1">
        <v>45751</v>
      </c>
      <c r="B122" t="s">
        <v>9</v>
      </c>
      <c r="C122" t="s">
        <v>13</v>
      </c>
      <c r="D122" t="s">
        <v>14</v>
      </c>
      <c r="E122">
        <v>70279</v>
      </c>
      <c r="F122">
        <v>27818</v>
      </c>
      <c r="G122">
        <v>62953</v>
      </c>
      <c r="H122">
        <v>4.4000000000000004</v>
      </c>
      <c r="I122">
        <v>4</v>
      </c>
      <c r="J122">
        <f t="shared" si="3"/>
        <v>42461</v>
      </c>
      <c r="K122" s="2">
        <f t="shared" si="4"/>
        <v>1.1163725318888695</v>
      </c>
      <c r="L122" s="2">
        <f t="shared" si="5"/>
        <v>0.60417763485536224</v>
      </c>
    </row>
    <row r="123" spans="1:12" x14ac:dyDescent="0.3">
      <c r="A123" s="1">
        <v>45669</v>
      </c>
      <c r="B123" t="s">
        <v>19</v>
      </c>
      <c r="C123" t="s">
        <v>16</v>
      </c>
      <c r="D123" t="s">
        <v>11</v>
      </c>
      <c r="E123">
        <v>185399</v>
      </c>
      <c r="F123">
        <v>62725</v>
      </c>
      <c r="G123">
        <v>182664</v>
      </c>
      <c r="H123">
        <v>3.7</v>
      </c>
      <c r="I123">
        <v>8</v>
      </c>
      <c r="J123">
        <f t="shared" si="3"/>
        <v>122674</v>
      </c>
      <c r="K123" s="2">
        <f t="shared" si="4"/>
        <v>1.0149728463189243</v>
      </c>
      <c r="L123" s="2">
        <f t="shared" si="5"/>
        <v>0.66167562931838897</v>
      </c>
    </row>
    <row r="124" spans="1:12" x14ac:dyDescent="0.3">
      <c r="A124" s="1">
        <v>45696</v>
      </c>
      <c r="B124" t="s">
        <v>15</v>
      </c>
      <c r="C124" t="s">
        <v>16</v>
      </c>
      <c r="D124" t="s">
        <v>17</v>
      </c>
      <c r="E124">
        <v>389862</v>
      </c>
      <c r="F124">
        <v>208407</v>
      </c>
      <c r="G124">
        <v>357978</v>
      </c>
      <c r="H124">
        <v>4.4000000000000004</v>
      </c>
      <c r="I124">
        <v>14</v>
      </c>
      <c r="J124">
        <f t="shared" si="3"/>
        <v>181455</v>
      </c>
      <c r="K124" s="2">
        <f t="shared" si="4"/>
        <v>1.0890669259004744</v>
      </c>
      <c r="L124" s="2">
        <f t="shared" si="5"/>
        <v>0.46543392277267343</v>
      </c>
    </row>
    <row r="125" spans="1:12" x14ac:dyDescent="0.3">
      <c r="A125" s="1">
        <v>45722</v>
      </c>
      <c r="B125" t="s">
        <v>19</v>
      </c>
      <c r="C125" t="s">
        <v>10</v>
      </c>
      <c r="D125" t="s">
        <v>14</v>
      </c>
      <c r="E125">
        <v>67545</v>
      </c>
      <c r="F125">
        <v>24968</v>
      </c>
      <c r="G125">
        <v>69646</v>
      </c>
      <c r="H125">
        <v>3.7</v>
      </c>
      <c r="I125">
        <v>3</v>
      </c>
      <c r="J125">
        <f t="shared" si="3"/>
        <v>42577</v>
      </c>
      <c r="K125" s="2">
        <f t="shared" si="4"/>
        <v>0.96983315624730781</v>
      </c>
      <c r="L125" s="2">
        <f t="shared" si="5"/>
        <v>0.63035013694573983</v>
      </c>
    </row>
    <row r="126" spans="1:12" x14ac:dyDescent="0.3">
      <c r="A126" s="1">
        <v>45535</v>
      </c>
      <c r="B126" t="s">
        <v>19</v>
      </c>
      <c r="C126" t="s">
        <v>16</v>
      </c>
      <c r="D126" t="s">
        <v>11</v>
      </c>
      <c r="E126">
        <v>476725</v>
      </c>
      <c r="F126">
        <v>220385</v>
      </c>
      <c r="G126">
        <v>473984</v>
      </c>
      <c r="H126">
        <v>4.9000000000000004</v>
      </c>
      <c r="I126">
        <v>1</v>
      </c>
      <c r="J126">
        <f t="shared" si="3"/>
        <v>256340</v>
      </c>
      <c r="K126" s="2">
        <f t="shared" si="4"/>
        <v>1.0057828956251689</v>
      </c>
      <c r="L126" s="2">
        <f t="shared" si="5"/>
        <v>0.53771042005349001</v>
      </c>
    </row>
    <row r="127" spans="1:12" x14ac:dyDescent="0.3">
      <c r="A127" s="1">
        <v>45931</v>
      </c>
      <c r="B127" t="s">
        <v>12</v>
      </c>
      <c r="C127" t="s">
        <v>18</v>
      </c>
      <c r="D127" t="s">
        <v>11</v>
      </c>
      <c r="E127">
        <v>482242</v>
      </c>
      <c r="F127">
        <v>268649</v>
      </c>
      <c r="G127">
        <v>482005</v>
      </c>
      <c r="H127">
        <v>4.0999999999999996</v>
      </c>
      <c r="I127">
        <v>5</v>
      </c>
      <c r="J127">
        <f t="shared" si="3"/>
        <v>213593</v>
      </c>
      <c r="K127" s="2">
        <f t="shared" si="4"/>
        <v>1.0004916961442309</v>
      </c>
      <c r="L127" s="2">
        <f t="shared" si="5"/>
        <v>0.44291662692175299</v>
      </c>
    </row>
    <row r="128" spans="1:12" x14ac:dyDescent="0.3">
      <c r="A128" s="1">
        <v>45452</v>
      </c>
      <c r="B128" t="s">
        <v>19</v>
      </c>
      <c r="C128" t="s">
        <v>10</v>
      </c>
      <c r="D128" t="s">
        <v>11</v>
      </c>
      <c r="E128">
        <v>276901</v>
      </c>
      <c r="F128">
        <v>170037</v>
      </c>
      <c r="G128">
        <v>290486</v>
      </c>
      <c r="H128">
        <v>3.8</v>
      </c>
      <c r="I128">
        <v>9</v>
      </c>
      <c r="J128">
        <f t="shared" si="3"/>
        <v>106864</v>
      </c>
      <c r="K128" s="2">
        <f t="shared" si="4"/>
        <v>0.95323354653924797</v>
      </c>
      <c r="L128" s="2">
        <f t="shared" si="5"/>
        <v>0.38592854485899292</v>
      </c>
    </row>
    <row r="129" spans="1:12" x14ac:dyDescent="0.3">
      <c r="A129" s="1">
        <v>45375</v>
      </c>
      <c r="B129" t="s">
        <v>19</v>
      </c>
      <c r="C129" t="s">
        <v>10</v>
      </c>
      <c r="D129" t="s">
        <v>17</v>
      </c>
      <c r="E129">
        <v>165989</v>
      </c>
      <c r="F129">
        <v>76600</v>
      </c>
      <c r="G129">
        <v>150276</v>
      </c>
      <c r="H129">
        <v>3.9</v>
      </c>
      <c r="I129">
        <v>11</v>
      </c>
      <c r="J129">
        <f t="shared" si="3"/>
        <v>89389</v>
      </c>
      <c r="K129" s="2">
        <f t="shared" si="4"/>
        <v>1.1045609412015225</v>
      </c>
      <c r="L129" s="2">
        <f t="shared" si="5"/>
        <v>0.53852363710848306</v>
      </c>
    </row>
    <row r="130" spans="1:12" x14ac:dyDescent="0.3">
      <c r="A130" s="1">
        <v>45432</v>
      </c>
      <c r="B130" t="s">
        <v>15</v>
      </c>
      <c r="C130" t="s">
        <v>18</v>
      </c>
      <c r="D130" t="s">
        <v>11</v>
      </c>
      <c r="E130">
        <v>296586</v>
      </c>
      <c r="F130">
        <v>167410</v>
      </c>
      <c r="G130">
        <v>269064</v>
      </c>
      <c r="H130">
        <v>3.6</v>
      </c>
      <c r="I130">
        <v>13</v>
      </c>
      <c r="J130">
        <f t="shared" si="3"/>
        <v>129176</v>
      </c>
      <c r="K130" s="2">
        <f t="shared" si="4"/>
        <v>1.1022879314958522</v>
      </c>
      <c r="L130" s="2">
        <f t="shared" si="5"/>
        <v>0.4355431476873487</v>
      </c>
    </row>
    <row r="131" spans="1:12" x14ac:dyDescent="0.3">
      <c r="A131" s="1">
        <v>45577</v>
      </c>
      <c r="B131" t="s">
        <v>9</v>
      </c>
      <c r="C131" t="s">
        <v>13</v>
      </c>
      <c r="D131" t="s">
        <v>11</v>
      </c>
      <c r="E131">
        <v>159521</v>
      </c>
      <c r="F131">
        <v>58598</v>
      </c>
      <c r="G131">
        <v>157285</v>
      </c>
      <c r="H131">
        <v>4.3</v>
      </c>
      <c r="I131">
        <v>0</v>
      </c>
      <c r="J131">
        <f t="shared" ref="J131:J194" si="6">E131-F131</f>
        <v>100923</v>
      </c>
      <c r="K131" s="2">
        <f t="shared" ref="K131:K194" si="7">E131/G131</f>
        <v>1.0142162316813428</v>
      </c>
      <c r="L131" s="2">
        <f t="shared" ref="L131:L194" si="8">J131/E131</f>
        <v>0.63266278421022937</v>
      </c>
    </row>
    <row r="132" spans="1:12" x14ac:dyDescent="0.3">
      <c r="A132" s="1">
        <v>45404</v>
      </c>
      <c r="B132" t="s">
        <v>15</v>
      </c>
      <c r="C132" t="s">
        <v>16</v>
      </c>
      <c r="D132" t="s">
        <v>17</v>
      </c>
      <c r="E132">
        <v>428738</v>
      </c>
      <c r="F132">
        <v>214236</v>
      </c>
      <c r="G132">
        <v>374138</v>
      </c>
      <c r="H132">
        <v>4.5999999999999996</v>
      </c>
      <c r="I132">
        <v>0</v>
      </c>
      <c r="J132">
        <f t="shared" si="6"/>
        <v>214502</v>
      </c>
      <c r="K132" s="2">
        <f t="shared" si="7"/>
        <v>1.1459354569704228</v>
      </c>
      <c r="L132" s="2">
        <f t="shared" si="8"/>
        <v>0.50031021276397236</v>
      </c>
    </row>
    <row r="133" spans="1:12" x14ac:dyDescent="0.3">
      <c r="A133" s="1">
        <v>45749</v>
      </c>
      <c r="B133" t="s">
        <v>12</v>
      </c>
      <c r="C133" t="s">
        <v>16</v>
      </c>
      <c r="D133" t="s">
        <v>17</v>
      </c>
      <c r="E133">
        <v>193675</v>
      </c>
      <c r="F133">
        <v>114729</v>
      </c>
      <c r="G133">
        <v>173696</v>
      </c>
      <c r="H133">
        <v>4.5999999999999996</v>
      </c>
      <c r="I133">
        <v>0</v>
      </c>
      <c r="J133">
        <f t="shared" si="6"/>
        <v>78946</v>
      </c>
      <c r="K133" s="2">
        <f t="shared" si="7"/>
        <v>1.1150227984524688</v>
      </c>
      <c r="L133" s="2">
        <f t="shared" si="8"/>
        <v>0.40762101458629146</v>
      </c>
    </row>
    <row r="134" spans="1:12" x14ac:dyDescent="0.3">
      <c r="A134" s="1">
        <v>45640</v>
      </c>
      <c r="B134" t="s">
        <v>9</v>
      </c>
      <c r="C134" t="s">
        <v>10</v>
      </c>
      <c r="D134" t="s">
        <v>14</v>
      </c>
      <c r="E134">
        <v>261127</v>
      </c>
      <c r="F134">
        <v>139618</v>
      </c>
      <c r="G134">
        <v>274592</v>
      </c>
      <c r="H134">
        <v>3.5</v>
      </c>
      <c r="I134">
        <v>2</v>
      </c>
      <c r="J134">
        <f t="shared" si="6"/>
        <v>121509</v>
      </c>
      <c r="K134" s="2">
        <f t="shared" si="7"/>
        <v>0.95096361146719499</v>
      </c>
      <c r="L134" s="2">
        <f t="shared" si="8"/>
        <v>0.46532530148165452</v>
      </c>
    </row>
    <row r="135" spans="1:12" x14ac:dyDescent="0.3">
      <c r="A135" s="1">
        <v>45345</v>
      </c>
      <c r="B135" t="s">
        <v>19</v>
      </c>
      <c r="C135" t="s">
        <v>18</v>
      </c>
      <c r="D135" t="s">
        <v>14</v>
      </c>
      <c r="E135">
        <v>344402</v>
      </c>
      <c r="F135">
        <v>140576</v>
      </c>
      <c r="G135">
        <v>317350</v>
      </c>
      <c r="H135">
        <v>3.6</v>
      </c>
      <c r="I135">
        <v>2</v>
      </c>
      <c r="J135">
        <f t="shared" si="6"/>
        <v>203826</v>
      </c>
      <c r="K135" s="2">
        <f t="shared" si="7"/>
        <v>1.085243422089176</v>
      </c>
      <c r="L135" s="2">
        <f t="shared" si="8"/>
        <v>0.59182583144116474</v>
      </c>
    </row>
    <row r="136" spans="1:12" x14ac:dyDescent="0.3">
      <c r="A136" s="1">
        <v>45387</v>
      </c>
      <c r="B136" t="s">
        <v>9</v>
      </c>
      <c r="C136" t="s">
        <v>16</v>
      </c>
      <c r="D136" t="s">
        <v>17</v>
      </c>
      <c r="E136">
        <v>94458</v>
      </c>
      <c r="F136">
        <v>48253</v>
      </c>
      <c r="G136">
        <v>99221</v>
      </c>
      <c r="H136">
        <v>3.8</v>
      </c>
      <c r="I136">
        <v>15</v>
      </c>
      <c r="J136">
        <f t="shared" si="6"/>
        <v>46205</v>
      </c>
      <c r="K136" s="2">
        <f t="shared" si="7"/>
        <v>0.95199604922345071</v>
      </c>
      <c r="L136" s="2">
        <f t="shared" si="8"/>
        <v>0.48915920303203542</v>
      </c>
    </row>
    <row r="137" spans="1:12" x14ac:dyDescent="0.3">
      <c r="A137" s="1">
        <v>45298</v>
      </c>
      <c r="B137" t="s">
        <v>15</v>
      </c>
      <c r="C137" t="s">
        <v>18</v>
      </c>
      <c r="D137" t="s">
        <v>14</v>
      </c>
      <c r="E137">
        <v>12198</v>
      </c>
      <c r="F137">
        <v>7020</v>
      </c>
      <c r="G137">
        <v>12501</v>
      </c>
      <c r="H137">
        <v>4.0999999999999996</v>
      </c>
      <c r="I137">
        <v>15</v>
      </c>
      <c r="J137">
        <f t="shared" si="6"/>
        <v>5178</v>
      </c>
      <c r="K137" s="2">
        <f t="shared" si="7"/>
        <v>0.9757619390448764</v>
      </c>
      <c r="L137" s="2">
        <f t="shared" si="8"/>
        <v>0.42449581898671912</v>
      </c>
    </row>
    <row r="138" spans="1:12" x14ac:dyDescent="0.3">
      <c r="A138" s="1">
        <v>45805</v>
      </c>
      <c r="B138" t="s">
        <v>19</v>
      </c>
      <c r="C138" t="s">
        <v>18</v>
      </c>
      <c r="D138" t="s">
        <v>14</v>
      </c>
      <c r="E138">
        <v>97955</v>
      </c>
      <c r="F138">
        <v>53108</v>
      </c>
      <c r="G138">
        <v>94419</v>
      </c>
      <c r="H138">
        <v>4.4000000000000004</v>
      </c>
      <c r="I138">
        <v>10</v>
      </c>
      <c r="J138">
        <f t="shared" si="6"/>
        <v>44847</v>
      </c>
      <c r="K138" s="2">
        <f t="shared" si="7"/>
        <v>1.0374500894946992</v>
      </c>
      <c r="L138" s="2">
        <f t="shared" si="8"/>
        <v>0.45783267827063445</v>
      </c>
    </row>
    <row r="139" spans="1:12" x14ac:dyDescent="0.3">
      <c r="A139" s="1">
        <v>45687</v>
      </c>
      <c r="B139" t="s">
        <v>9</v>
      </c>
      <c r="C139" t="s">
        <v>10</v>
      </c>
      <c r="D139" t="s">
        <v>14</v>
      </c>
      <c r="E139">
        <v>481973</v>
      </c>
      <c r="F139">
        <v>223821</v>
      </c>
      <c r="G139">
        <v>472737</v>
      </c>
      <c r="H139">
        <v>3.9</v>
      </c>
      <c r="I139">
        <v>15</v>
      </c>
      <c r="J139">
        <f t="shared" si="6"/>
        <v>258152</v>
      </c>
      <c r="K139" s="2">
        <f t="shared" si="7"/>
        <v>1.0195372902903728</v>
      </c>
      <c r="L139" s="2">
        <f t="shared" si="8"/>
        <v>0.53561506557421268</v>
      </c>
    </row>
    <row r="140" spans="1:12" x14ac:dyDescent="0.3">
      <c r="A140" s="1">
        <v>45791</v>
      </c>
      <c r="B140" t="s">
        <v>15</v>
      </c>
      <c r="C140" t="s">
        <v>16</v>
      </c>
      <c r="D140" t="s">
        <v>14</v>
      </c>
      <c r="E140">
        <v>266713</v>
      </c>
      <c r="F140">
        <v>93785</v>
      </c>
      <c r="G140">
        <v>290705</v>
      </c>
      <c r="H140">
        <v>4.0999999999999996</v>
      </c>
      <c r="I140">
        <v>10</v>
      </c>
      <c r="J140">
        <f t="shared" si="6"/>
        <v>172928</v>
      </c>
      <c r="K140" s="2">
        <f t="shared" si="7"/>
        <v>0.91746959976608589</v>
      </c>
      <c r="L140" s="2">
        <f t="shared" si="8"/>
        <v>0.64836734617360237</v>
      </c>
    </row>
    <row r="141" spans="1:12" x14ac:dyDescent="0.3">
      <c r="A141" s="1">
        <v>45406</v>
      </c>
      <c r="B141" t="s">
        <v>19</v>
      </c>
      <c r="C141" t="s">
        <v>16</v>
      </c>
      <c r="D141" t="s">
        <v>14</v>
      </c>
      <c r="E141">
        <v>45367</v>
      </c>
      <c r="F141">
        <v>18689</v>
      </c>
      <c r="G141">
        <v>42071</v>
      </c>
      <c r="H141">
        <v>3.7</v>
      </c>
      <c r="I141">
        <v>1</v>
      </c>
      <c r="J141">
        <f t="shared" si="6"/>
        <v>26678</v>
      </c>
      <c r="K141" s="2">
        <f t="shared" si="7"/>
        <v>1.0783437522283759</v>
      </c>
      <c r="L141" s="2">
        <f t="shared" si="8"/>
        <v>0.58804858156810014</v>
      </c>
    </row>
    <row r="142" spans="1:12" x14ac:dyDescent="0.3">
      <c r="A142" s="1">
        <v>45526</v>
      </c>
      <c r="B142" t="s">
        <v>15</v>
      </c>
      <c r="C142" t="s">
        <v>13</v>
      </c>
      <c r="D142" t="s">
        <v>17</v>
      </c>
      <c r="E142">
        <v>248009</v>
      </c>
      <c r="F142">
        <v>129041</v>
      </c>
      <c r="G142">
        <v>212175</v>
      </c>
      <c r="H142">
        <v>4.9000000000000004</v>
      </c>
      <c r="I142">
        <v>1</v>
      </c>
      <c r="J142">
        <f t="shared" si="6"/>
        <v>118968</v>
      </c>
      <c r="K142" s="2">
        <f t="shared" si="7"/>
        <v>1.1688888888888889</v>
      </c>
      <c r="L142" s="2">
        <f t="shared" si="8"/>
        <v>0.47969226923216496</v>
      </c>
    </row>
    <row r="143" spans="1:12" x14ac:dyDescent="0.3">
      <c r="A143" s="1">
        <v>45333</v>
      </c>
      <c r="B143" t="s">
        <v>9</v>
      </c>
      <c r="C143" t="s">
        <v>10</v>
      </c>
      <c r="D143" t="s">
        <v>17</v>
      </c>
      <c r="E143">
        <v>167729</v>
      </c>
      <c r="F143">
        <v>80245</v>
      </c>
      <c r="G143">
        <v>167601</v>
      </c>
      <c r="H143">
        <v>4.5999999999999996</v>
      </c>
      <c r="I143">
        <v>0</v>
      </c>
      <c r="J143">
        <f t="shared" si="6"/>
        <v>87484</v>
      </c>
      <c r="K143" s="2">
        <f t="shared" si="7"/>
        <v>1.0007637185935645</v>
      </c>
      <c r="L143" s="2">
        <f t="shared" si="8"/>
        <v>0.52157945256932314</v>
      </c>
    </row>
    <row r="144" spans="1:12" x14ac:dyDescent="0.3">
      <c r="A144" s="1">
        <v>45920</v>
      </c>
      <c r="B144" t="s">
        <v>15</v>
      </c>
      <c r="C144" t="s">
        <v>16</v>
      </c>
      <c r="D144" t="s">
        <v>14</v>
      </c>
      <c r="E144">
        <v>61226</v>
      </c>
      <c r="F144">
        <v>23899</v>
      </c>
      <c r="G144">
        <v>56647</v>
      </c>
      <c r="H144">
        <v>4.4000000000000004</v>
      </c>
      <c r="I144">
        <v>5</v>
      </c>
      <c r="J144">
        <f t="shared" si="6"/>
        <v>37327</v>
      </c>
      <c r="K144" s="2">
        <f t="shared" si="7"/>
        <v>1.0808339364838384</v>
      </c>
      <c r="L144" s="2">
        <f t="shared" si="8"/>
        <v>0.60965929507072159</v>
      </c>
    </row>
    <row r="145" spans="1:12" x14ac:dyDescent="0.3">
      <c r="A145" s="1">
        <v>45746</v>
      </c>
      <c r="B145" t="s">
        <v>15</v>
      </c>
      <c r="C145" t="s">
        <v>10</v>
      </c>
      <c r="D145" t="s">
        <v>14</v>
      </c>
      <c r="E145">
        <v>307881</v>
      </c>
      <c r="F145">
        <v>144804</v>
      </c>
      <c r="G145">
        <v>266036</v>
      </c>
      <c r="H145">
        <v>3.7</v>
      </c>
      <c r="I145">
        <v>13</v>
      </c>
      <c r="J145">
        <f t="shared" si="6"/>
        <v>163077</v>
      </c>
      <c r="K145" s="2">
        <f t="shared" si="7"/>
        <v>1.1572907426062637</v>
      </c>
      <c r="L145" s="2">
        <f t="shared" si="8"/>
        <v>0.52967542654467148</v>
      </c>
    </row>
    <row r="146" spans="1:12" x14ac:dyDescent="0.3">
      <c r="A146" s="1">
        <v>45654</v>
      </c>
      <c r="B146" t="s">
        <v>19</v>
      </c>
      <c r="C146" t="s">
        <v>18</v>
      </c>
      <c r="D146" t="s">
        <v>14</v>
      </c>
      <c r="E146">
        <v>25866</v>
      </c>
      <c r="F146">
        <v>13719</v>
      </c>
      <c r="G146">
        <v>25006</v>
      </c>
      <c r="H146">
        <v>3.9</v>
      </c>
      <c r="I146">
        <v>2</v>
      </c>
      <c r="J146">
        <f t="shared" si="6"/>
        <v>12147</v>
      </c>
      <c r="K146" s="2">
        <f t="shared" si="7"/>
        <v>1.0343917459809646</v>
      </c>
      <c r="L146" s="2">
        <f t="shared" si="8"/>
        <v>0.46961261888192996</v>
      </c>
    </row>
    <row r="147" spans="1:12" x14ac:dyDescent="0.3">
      <c r="A147" s="1">
        <v>45803</v>
      </c>
      <c r="B147" t="s">
        <v>9</v>
      </c>
      <c r="C147" t="s">
        <v>10</v>
      </c>
      <c r="D147" t="s">
        <v>11</v>
      </c>
      <c r="E147">
        <v>21046</v>
      </c>
      <c r="F147">
        <v>9346</v>
      </c>
      <c r="G147">
        <v>20894</v>
      </c>
      <c r="H147">
        <v>4.5</v>
      </c>
      <c r="I147">
        <v>7</v>
      </c>
      <c r="J147">
        <f t="shared" si="6"/>
        <v>11700</v>
      </c>
      <c r="K147" s="2">
        <f t="shared" si="7"/>
        <v>1.0072748157365752</v>
      </c>
      <c r="L147" s="2">
        <f t="shared" si="8"/>
        <v>0.55592511641166964</v>
      </c>
    </row>
    <row r="148" spans="1:12" x14ac:dyDescent="0.3">
      <c r="A148" s="1">
        <v>45697</v>
      </c>
      <c r="B148" t="s">
        <v>19</v>
      </c>
      <c r="C148" t="s">
        <v>13</v>
      </c>
      <c r="D148" t="s">
        <v>14</v>
      </c>
      <c r="E148">
        <v>69129</v>
      </c>
      <c r="F148">
        <v>30696</v>
      </c>
      <c r="G148">
        <v>62119</v>
      </c>
      <c r="H148">
        <v>4.8</v>
      </c>
      <c r="I148">
        <v>3</v>
      </c>
      <c r="J148">
        <f t="shared" si="6"/>
        <v>38433</v>
      </c>
      <c r="K148" s="2">
        <f t="shared" si="7"/>
        <v>1.1128479209259647</v>
      </c>
      <c r="L148" s="2">
        <f t="shared" si="8"/>
        <v>0.555960595408584</v>
      </c>
    </row>
    <row r="149" spans="1:12" x14ac:dyDescent="0.3">
      <c r="A149" s="1">
        <v>45798</v>
      </c>
      <c r="B149" t="s">
        <v>19</v>
      </c>
      <c r="C149" t="s">
        <v>18</v>
      </c>
      <c r="D149" t="s">
        <v>17</v>
      </c>
      <c r="E149">
        <v>188376</v>
      </c>
      <c r="F149">
        <v>89615</v>
      </c>
      <c r="G149">
        <v>179581</v>
      </c>
      <c r="H149">
        <v>4</v>
      </c>
      <c r="I149">
        <v>9</v>
      </c>
      <c r="J149">
        <f t="shared" si="6"/>
        <v>98761</v>
      </c>
      <c r="K149" s="2">
        <f t="shared" si="7"/>
        <v>1.0489751142938284</v>
      </c>
      <c r="L149" s="2">
        <f t="shared" si="8"/>
        <v>0.52427591625260117</v>
      </c>
    </row>
    <row r="150" spans="1:12" x14ac:dyDescent="0.3">
      <c r="A150" s="1">
        <v>45932</v>
      </c>
      <c r="B150" t="s">
        <v>19</v>
      </c>
      <c r="C150" t="s">
        <v>10</v>
      </c>
      <c r="D150" t="s">
        <v>11</v>
      </c>
      <c r="E150">
        <v>93559</v>
      </c>
      <c r="F150">
        <v>44917</v>
      </c>
      <c r="G150">
        <v>81656</v>
      </c>
      <c r="H150">
        <v>3.6</v>
      </c>
      <c r="I150">
        <v>9</v>
      </c>
      <c r="J150">
        <f t="shared" si="6"/>
        <v>48642</v>
      </c>
      <c r="K150" s="2">
        <f t="shared" si="7"/>
        <v>1.1457700597629079</v>
      </c>
      <c r="L150" s="2">
        <f t="shared" si="8"/>
        <v>0.51990722431834457</v>
      </c>
    </row>
    <row r="151" spans="1:12" x14ac:dyDescent="0.3">
      <c r="A151" s="1">
        <v>45399</v>
      </c>
      <c r="B151" t="s">
        <v>9</v>
      </c>
      <c r="C151" t="s">
        <v>18</v>
      </c>
      <c r="D151" t="s">
        <v>17</v>
      </c>
      <c r="E151">
        <v>30581</v>
      </c>
      <c r="F151">
        <v>17463</v>
      </c>
      <c r="G151">
        <v>28880</v>
      </c>
      <c r="H151">
        <v>4.7</v>
      </c>
      <c r="I151">
        <v>1</v>
      </c>
      <c r="J151">
        <f t="shared" si="6"/>
        <v>13118</v>
      </c>
      <c r="K151" s="2">
        <f t="shared" si="7"/>
        <v>1.058898891966759</v>
      </c>
      <c r="L151" s="2">
        <f t="shared" si="8"/>
        <v>0.42895915764690495</v>
      </c>
    </row>
    <row r="152" spans="1:12" x14ac:dyDescent="0.3">
      <c r="A152" s="1">
        <v>45308</v>
      </c>
      <c r="B152" t="s">
        <v>15</v>
      </c>
      <c r="C152" t="s">
        <v>10</v>
      </c>
      <c r="D152" t="s">
        <v>11</v>
      </c>
      <c r="E152">
        <v>269568</v>
      </c>
      <c r="F152">
        <v>91261</v>
      </c>
      <c r="G152">
        <v>290464</v>
      </c>
      <c r="H152">
        <v>4.5</v>
      </c>
      <c r="I152">
        <v>13</v>
      </c>
      <c r="J152">
        <f t="shared" si="6"/>
        <v>178307</v>
      </c>
      <c r="K152" s="2">
        <f t="shared" si="7"/>
        <v>0.92805993169549406</v>
      </c>
      <c r="L152" s="2">
        <f t="shared" si="8"/>
        <v>0.66145462369420704</v>
      </c>
    </row>
    <row r="153" spans="1:12" x14ac:dyDescent="0.3">
      <c r="A153" s="1">
        <v>45372</v>
      </c>
      <c r="B153" t="s">
        <v>12</v>
      </c>
      <c r="C153" t="s">
        <v>10</v>
      </c>
      <c r="D153" t="s">
        <v>17</v>
      </c>
      <c r="E153">
        <v>115423</v>
      </c>
      <c r="F153">
        <v>36453</v>
      </c>
      <c r="G153">
        <v>129390</v>
      </c>
      <c r="H153">
        <v>4.5</v>
      </c>
      <c r="I153">
        <v>5</v>
      </c>
      <c r="J153">
        <f t="shared" si="6"/>
        <v>78970</v>
      </c>
      <c r="K153" s="2">
        <f t="shared" si="7"/>
        <v>0.8920550274364325</v>
      </c>
      <c r="L153" s="2">
        <f t="shared" si="8"/>
        <v>0.68417906309834264</v>
      </c>
    </row>
    <row r="154" spans="1:12" x14ac:dyDescent="0.3">
      <c r="A154" s="1">
        <v>45862</v>
      </c>
      <c r="B154" t="s">
        <v>15</v>
      </c>
      <c r="C154" t="s">
        <v>10</v>
      </c>
      <c r="D154" t="s">
        <v>14</v>
      </c>
      <c r="E154">
        <v>431151</v>
      </c>
      <c r="F154">
        <v>134602</v>
      </c>
      <c r="G154">
        <v>438369</v>
      </c>
      <c r="H154">
        <v>4.2</v>
      </c>
      <c r="I154">
        <v>6</v>
      </c>
      <c r="J154">
        <f t="shared" si="6"/>
        <v>296549</v>
      </c>
      <c r="K154" s="2">
        <f t="shared" si="7"/>
        <v>0.9835344196327751</v>
      </c>
      <c r="L154" s="2">
        <f t="shared" si="8"/>
        <v>0.68780775180853115</v>
      </c>
    </row>
    <row r="155" spans="1:12" x14ac:dyDescent="0.3">
      <c r="A155" s="1">
        <v>45682</v>
      </c>
      <c r="B155" t="s">
        <v>15</v>
      </c>
      <c r="C155" t="s">
        <v>18</v>
      </c>
      <c r="D155" t="s">
        <v>14</v>
      </c>
      <c r="E155">
        <v>296214</v>
      </c>
      <c r="F155">
        <v>176370</v>
      </c>
      <c r="G155">
        <v>289261</v>
      </c>
      <c r="H155">
        <v>4.7</v>
      </c>
      <c r="I155">
        <v>15</v>
      </c>
      <c r="J155">
        <f t="shared" si="6"/>
        <v>119844</v>
      </c>
      <c r="K155" s="2">
        <f t="shared" si="7"/>
        <v>1.0240371152696008</v>
      </c>
      <c r="L155" s="2">
        <f t="shared" si="8"/>
        <v>0.40458587372642751</v>
      </c>
    </row>
    <row r="156" spans="1:12" x14ac:dyDescent="0.3">
      <c r="A156" s="1">
        <v>45514</v>
      </c>
      <c r="B156" t="s">
        <v>15</v>
      </c>
      <c r="C156" t="s">
        <v>13</v>
      </c>
      <c r="D156" t="s">
        <v>11</v>
      </c>
      <c r="E156">
        <v>291570</v>
      </c>
      <c r="F156">
        <v>123811</v>
      </c>
      <c r="G156">
        <v>304705</v>
      </c>
      <c r="H156">
        <v>4</v>
      </c>
      <c r="I156">
        <v>9</v>
      </c>
      <c r="J156">
        <f t="shared" si="6"/>
        <v>167759</v>
      </c>
      <c r="K156" s="2">
        <f t="shared" si="7"/>
        <v>0.95689273231486194</v>
      </c>
      <c r="L156" s="2">
        <f t="shared" si="8"/>
        <v>0.57536440648900777</v>
      </c>
    </row>
    <row r="157" spans="1:12" x14ac:dyDescent="0.3">
      <c r="A157" s="1">
        <v>45911</v>
      </c>
      <c r="B157" t="s">
        <v>9</v>
      </c>
      <c r="C157" t="s">
        <v>10</v>
      </c>
      <c r="D157" t="s">
        <v>17</v>
      </c>
      <c r="E157">
        <v>485266</v>
      </c>
      <c r="F157">
        <v>217845</v>
      </c>
      <c r="G157">
        <v>476681</v>
      </c>
      <c r="H157">
        <v>4.0999999999999996</v>
      </c>
      <c r="I157">
        <v>4</v>
      </c>
      <c r="J157">
        <f t="shared" si="6"/>
        <v>267421</v>
      </c>
      <c r="K157" s="2">
        <f t="shared" si="7"/>
        <v>1.0180099479526139</v>
      </c>
      <c r="L157" s="2">
        <f t="shared" si="8"/>
        <v>0.55108126264770252</v>
      </c>
    </row>
    <row r="158" spans="1:12" x14ac:dyDescent="0.3">
      <c r="A158" s="1">
        <v>45330</v>
      </c>
      <c r="B158" t="s">
        <v>12</v>
      </c>
      <c r="C158" t="s">
        <v>13</v>
      </c>
      <c r="D158" t="s">
        <v>14</v>
      </c>
      <c r="E158">
        <v>316691</v>
      </c>
      <c r="F158">
        <v>134753</v>
      </c>
      <c r="G158">
        <v>339289</v>
      </c>
      <c r="H158">
        <v>4.3</v>
      </c>
      <c r="I158">
        <v>12</v>
      </c>
      <c r="J158">
        <f t="shared" si="6"/>
        <v>181938</v>
      </c>
      <c r="K158" s="2">
        <f t="shared" si="7"/>
        <v>0.93339601342808054</v>
      </c>
      <c r="L158" s="2">
        <f t="shared" si="8"/>
        <v>0.57449690707977175</v>
      </c>
    </row>
    <row r="159" spans="1:12" x14ac:dyDescent="0.3">
      <c r="A159" s="1">
        <v>45784</v>
      </c>
      <c r="B159" t="s">
        <v>15</v>
      </c>
      <c r="C159" t="s">
        <v>13</v>
      </c>
      <c r="D159" t="s">
        <v>17</v>
      </c>
      <c r="E159">
        <v>583465</v>
      </c>
      <c r="F159">
        <v>347522</v>
      </c>
      <c r="G159">
        <v>649052</v>
      </c>
      <c r="H159">
        <v>4.3</v>
      </c>
      <c r="I159">
        <v>1</v>
      </c>
      <c r="J159">
        <f t="shared" si="6"/>
        <v>235943</v>
      </c>
      <c r="K159" s="2">
        <f t="shared" si="7"/>
        <v>0.89894954487467871</v>
      </c>
      <c r="L159" s="2">
        <f t="shared" si="8"/>
        <v>0.40438243939225144</v>
      </c>
    </row>
    <row r="160" spans="1:12" x14ac:dyDescent="0.3">
      <c r="A160" s="1">
        <v>45707</v>
      </c>
      <c r="B160" t="s">
        <v>9</v>
      </c>
      <c r="C160" t="s">
        <v>18</v>
      </c>
      <c r="D160" t="s">
        <v>11</v>
      </c>
      <c r="E160">
        <v>49974</v>
      </c>
      <c r="F160">
        <v>26025</v>
      </c>
      <c r="G160">
        <v>53979</v>
      </c>
      <c r="H160">
        <v>4.0999999999999996</v>
      </c>
      <c r="I160">
        <v>13</v>
      </c>
      <c r="J160">
        <f t="shared" si="6"/>
        <v>23949</v>
      </c>
      <c r="K160" s="2">
        <f t="shared" si="7"/>
        <v>0.92580447951981326</v>
      </c>
      <c r="L160" s="2">
        <f t="shared" si="8"/>
        <v>0.47922919918357548</v>
      </c>
    </row>
    <row r="161" spans="1:12" x14ac:dyDescent="0.3">
      <c r="A161" s="1">
        <v>45536</v>
      </c>
      <c r="B161" t="s">
        <v>9</v>
      </c>
      <c r="C161" t="s">
        <v>10</v>
      </c>
      <c r="D161" t="s">
        <v>11</v>
      </c>
      <c r="E161">
        <v>413832</v>
      </c>
      <c r="F161">
        <v>244363</v>
      </c>
      <c r="G161">
        <v>393517</v>
      </c>
      <c r="H161">
        <v>4.3</v>
      </c>
      <c r="I161">
        <v>9</v>
      </c>
      <c r="J161">
        <f t="shared" si="6"/>
        <v>169469</v>
      </c>
      <c r="K161" s="2">
        <f t="shared" si="7"/>
        <v>1.0516241992086746</v>
      </c>
      <c r="L161" s="2">
        <f t="shared" si="8"/>
        <v>0.40951158924394443</v>
      </c>
    </row>
    <row r="162" spans="1:12" x14ac:dyDescent="0.3">
      <c r="A162" s="1">
        <v>45868</v>
      </c>
      <c r="B162" t="s">
        <v>15</v>
      </c>
      <c r="C162" t="s">
        <v>10</v>
      </c>
      <c r="D162" t="s">
        <v>11</v>
      </c>
      <c r="E162">
        <v>119996</v>
      </c>
      <c r="F162">
        <v>44416</v>
      </c>
      <c r="G162">
        <v>127755</v>
      </c>
      <c r="H162">
        <v>4.4000000000000004</v>
      </c>
      <c r="I162">
        <v>13</v>
      </c>
      <c r="J162">
        <f t="shared" si="6"/>
        <v>75580</v>
      </c>
      <c r="K162" s="2">
        <f t="shared" si="7"/>
        <v>0.93926656490939686</v>
      </c>
      <c r="L162" s="2">
        <f t="shared" si="8"/>
        <v>0.62985432847761591</v>
      </c>
    </row>
    <row r="163" spans="1:12" x14ac:dyDescent="0.3">
      <c r="A163" s="1">
        <v>45723</v>
      </c>
      <c r="B163" t="s">
        <v>19</v>
      </c>
      <c r="C163" t="s">
        <v>10</v>
      </c>
      <c r="D163" t="s">
        <v>17</v>
      </c>
      <c r="E163">
        <v>253662</v>
      </c>
      <c r="F163">
        <v>147925</v>
      </c>
      <c r="G163">
        <v>245415</v>
      </c>
      <c r="H163">
        <v>3.7</v>
      </c>
      <c r="I163">
        <v>8</v>
      </c>
      <c r="J163">
        <f t="shared" si="6"/>
        <v>105737</v>
      </c>
      <c r="K163" s="2">
        <f t="shared" si="7"/>
        <v>1.0336043029154698</v>
      </c>
      <c r="L163" s="2">
        <f t="shared" si="8"/>
        <v>0.41684209696367608</v>
      </c>
    </row>
    <row r="164" spans="1:12" x14ac:dyDescent="0.3">
      <c r="A164" s="1">
        <v>45478</v>
      </c>
      <c r="B164" t="s">
        <v>15</v>
      </c>
      <c r="C164" t="s">
        <v>10</v>
      </c>
      <c r="D164" t="s">
        <v>14</v>
      </c>
      <c r="E164">
        <v>317172</v>
      </c>
      <c r="F164">
        <v>100004</v>
      </c>
      <c r="G164">
        <v>353729</v>
      </c>
      <c r="H164">
        <v>4.4000000000000004</v>
      </c>
      <c r="I164">
        <v>5</v>
      </c>
      <c r="J164">
        <f t="shared" si="6"/>
        <v>217168</v>
      </c>
      <c r="K164" s="2">
        <f t="shared" si="7"/>
        <v>0.89665252212852209</v>
      </c>
      <c r="L164" s="2">
        <f t="shared" si="8"/>
        <v>0.6847010454895136</v>
      </c>
    </row>
    <row r="165" spans="1:12" x14ac:dyDescent="0.3">
      <c r="A165" s="1">
        <v>45353</v>
      </c>
      <c r="B165" t="s">
        <v>19</v>
      </c>
      <c r="C165" t="s">
        <v>16</v>
      </c>
      <c r="D165" t="s">
        <v>14</v>
      </c>
      <c r="E165">
        <v>296406</v>
      </c>
      <c r="F165">
        <v>173843</v>
      </c>
      <c r="G165">
        <v>287654</v>
      </c>
      <c r="H165">
        <v>4.8</v>
      </c>
      <c r="I165">
        <v>3</v>
      </c>
      <c r="J165">
        <f t="shared" si="6"/>
        <v>122563</v>
      </c>
      <c r="K165" s="2">
        <f t="shared" si="7"/>
        <v>1.0304254416764584</v>
      </c>
      <c r="L165" s="2">
        <f t="shared" si="8"/>
        <v>0.41349702772548463</v>
      </c>
    </row>
    <row r="166" spans="1:12" x14ac:dyDescent="0.3">
      <c r="A166" s="1">
        <v>45601</v>
      </c>
      <c r="B166" t="s">
        <v>19</v>
      </c>
      <c r="C166" t="s">
        <v>18</v>
      </c>
      <c r="D166" t="s">
        <v>14</v>
      </c>
      <c r="E166">
        <v>437373</v>
      </c>
      <c r="F166">
        <v>264136</v>
      </c>
      <c r="G166">
        <v>422164</v>
      </c>
      <c r="H166">
        <v>3.6</v>
      </c>
      <c r="I166">
        <v>9</v>
      </c>
      <c r="J166">
        <f t="shared" si="6"/>
        <v>173237</v>
      </c>
      <c r="K166" s="2">
        <f t="shared" si="7"/>
        <v>1.0360262836243734</v>
      </c>
      <c r="L166" s="2">
        <f t="shared" si="8"/>
        <v>0.39608526360795021</v>
      </c>
    </row>
    <row r="167" spans="1:12" x14ac:dyDescent="0.3">
      <c r="A167" s="1">
        <v>45797</v>
      </c>
      <c r="B167" t="s">
        <v>12</v>
      </c>
      <c r="C167" t="s">
        <v>13</v>
      </c>
      <c r="D167" t="s">
        <v>17</v>
      </c>
      <c r="E167">
        <v>484628</v>
      </c>
      <c r="F167">
        <v>203091</v>
      </c>
      <c r="G167">
        <v>443384</v>
      </c>
      <c r="H167">
        <v>4.3</v>
      </c>
      <c r="I167">
        <v>4</v>
      </c>
      <c r="J167">
        <f t="shared" si="6"/>
        <v>281537</v>
      </c>
      <c r="K167" s="2">
        <f t="shared" si="7"/>
        <v>1.0930209479818849</v>
      </c>
      <c r="L167" s="2">
        <f t="shared" si="8"/>
        <v>0.58093424234670721</v>
      </c>
    </row>
    <row r="168" spans="1:12" x14ac:dyDescent="0.3">
      <c r="A168" s="1">
        <v>45311</v>
      </c>
      <c r="B168" t="s">
        <v>15</v>
      </c>
      <c r="C168" t="s">
        <v>10</v>
      </c>
      <c r="D168" t="s">
        <v>14</v>
      </c>
      <c r="E168">
        <v>446090</v>
      </c>
      <c r="F168">
        <v>202812</v>
      </c>
      <c r="G168">
        <v>512513</v>
      </c>
      <c r="H168">
        <v>4.8</v>
      </c>
      <c r="I168">
        <v>1</v>
      </c>
      <c r="J168">
        <f t="shared" si="6"/>
        <v>243278</v>
      </c>
      <c r="K168" s="2">
        <f t="shared" si="7"/>
        <v>0.87039743382119084</v>
      </c>
      <c r="L168" s="2">
        <f t="shared" si="8"/>
        <v>0.54535631823174691</v>
      </c>
    </row>
    <row r="169" spans="1:12" x14ac:dyDescent="0.3">
      <c r="A169" s="1">
        <v>45411</v>
      </c>
      <c r="B169" t="s">
        <v>19</v>
      </c>
      <c r="C169" t="s">
        <v>18</v>
      </c>
      <c r="D169" t="s">
        <v>14</v>
      </c>
      <c r="E169">
        <v>200792</v>
      </c>
      <c r="F169">
        <v>86736</v>
      </c>
      <c r="G169">
        <v>176184</v>
      </c>
      <c r="H169">
        <v>4.8</v>
      </c>
      <c r="I169">
        <v>3</v>
      </c>
      <c r="J169">
        <f t="shared" si="6"/>
        <v>114056</v>
      </c>
      <c r="K169" s="2">
        <f t="shared" si="7"/>
        <v>1.1396721609226717</v>
      </c>
      <c r="L169" s="2">
        <f t="shared" si="8"/>
        <v>0.5680305988286386</v>
      </c>
    </row>
    <row r="170" spans="1:12" x14ac:dyDescent="0.3">
      <c r="A170" s="1">
        <v>45614</v>
      </c>
      <c r="B170" t="s">
        <v>12</v>
      </c>
      <c r="C170" t="s">
        <v>13</v>
      </c>
      <c r="D170" t="s">
        <v>14</v>
      </c>
      <c r="E170">
        <v>337304</v>
      </c>
      <c r="F170">
        <v>107028</v>
      </c>
      <c r="G170">
        <v>373948</v>
      </c>
      <c r="H170">
        <v>4.7</v>
      </c>
      <c r="I170">
        <v>2</v>
      </c>
      <c r="J170">
        <f t="shared" si="6"/>
        <v>230276</v>
      </c>
      <c r="K170" s="2">
        <f t="shared" si="7"/>
        <v>0.90200776578561725</v>
      </c>
      <c r="L170" s="2">
        <f t="shared" si="8"/>
        <v>0.68269572848231863</v>
      </c>
    </row>
    <row r="171" spans="1:12" x14ac:dyDescent="0.3">
      <c r="A171" s="1">
        <v>45331</v>
      </c>
      <c r="B171" t="s">
        <v>19</v>
      </c>
      <c r="C171" t="s">
        <v>10</v>
      </c>
      <c r="D171" t="s">
        <v>11</v>
      </c>
      <c r="E171">
        <v>322250</v>
      </c>
      <c r="F171">
        <v>154507</v>
      </c>
      <c r="G171">
        <v>309942</v>
      </c>
      <c r="H171">
        <v>3.9</v>
      </c>
      <c r="I171">
        <v>1</v>
      </c>
      <c r="J171">
        <f t="shared" si="6"/>
        <v>167743</v>
      </c>
      <c r="K171" s="2">
        <f t="shared" si="7"/>
        <v>1.0397106555420046</v>
      </c>
      <c r="L171" s="2">
        <f t="shared" si="8"/>
        <v>0.5205368502715283</v>
      </c>
    </row>
    <row r="172" spans="1:12" x14ac:dyDescent="0.3">
      <c r="A172" s="1">
        <v>45467</v>
      </c>
      <c r="B172" t="s">
        <v>15</v>
      </c>
      <c r="C172" t="s">
        <v>16</v>
      </c>
      <c r="D172" t="s">
        <v>17</v>
      </c>
      <c r="E172">
        <v>378676</v>
      </c>
      <c r="F172">
        <v>134678</v>
      </c>
      <c r="G172">
        <v>434508</v>
      </c>
      <c r="H172">
        <v>3.6</v>
      </c>
      <c r="I172">
        <v>12</v>
      </c>
      <c r="J172">
        <f t="shared" si="6"/>
        <v>243998</v>
      </c>
      <c r="K172" s="2">
        <f t="shared" si="7"/>
        <v>0.87150524271129648</v>
      </c>
      <c r="L172" s="2">
        <f t="shared" si="8"/>
        <v>0.64434503374916818</v>
      </c>
    </row>
    <row r="173" spans="1:12" x14ac:dyDescent="0.3">
      <c r="A173" s="1">
        <v>45592</v>
      </c>
      <c r="B173" t="s">
        <v>9</v>
      </c>
      <c r="C173" t="s">
        <v>16</v>
      </c>
      <c r="D173" t="s">
        <v>14</v>
      </c>
      <c r="E173">
        <v>94082</v>
      </c>
      <c r="F173">
        <v>42017</v>
      </c>
      <c r="G173">
        <v>98657</v>
      </c>
      <c r="H173">
        <v>4.3</v>
      </c>
      <c r="I173">
        <v>9</v>
      </c>
      <c r="J173">
        <f t="shared" si="6"/>
        <v>52065</v>
      </c>
      <c r="K173" s="2">
        <f t="shared" si="7"/>
        <v>0.95362721347699608</v>
      </c>
      <c r="L173" s="2">
        <f t="shared" si="8"/>
        <v>0.55340022533534572</v>
      </c>
    </row>
    <row r="174" spans="1:12" x14ac:dyDescent="0.3">
      <c r="A174" s="1">
        <v>45580</v>
      </c>
      <c r="B174" t="s">
        <v>15</v>
      </c>
      <c r="C174" t="s">
        <v>13</v>
      </c>
      <c r="D174" t="s">
        <v>11</v>
      </c>
      <c r="E174">
        <v>29623</v>
      </c>
      <c r="F174">
        <v>10658</v>
      </c>
      <c r="G174">
        <v>31474</v>
      </c>
      <c r="H174">
        <v>4.8</v>
      </c>
      <c r="I174">
        <v>10</v>
      </c>
      <c r="J174">
        <f t="shared" si="6"/>
        <v>18965</v>
      </c>
      <c r="K174" s="2">
        <f t="shared" si="7"/>
        <v>0.9411895532820741</v>
      </c>
      <c r="L174" s="2">
        <f t="shared" si="8"/>
        <v>0.64021199743442592</v>
      </c>
    </row>
    <row r="175" spans="1:12" x14ac:dyDescent="0.3">
      <c r="A175" s="1">
        <v>45636</v>
      </c>
      <c r="B175" t="s">
        <v>19</v>
      </c>
      <c r="C175" t="s">
        <v>16</v>
      </c>
      <c r="D175" t="s">
        <v>11</v>
      </c>
      <c r="E175">
        <v>95128</v>
      </c>
      <c r="F175">
        <v>52628</v>
      </c>
      <c r="G175">
        <v>106019</v>
      </c>
      <c r="H175">
        <v>4.9000000000000004</v>
      </c>
      <c r="I175">
        <v>5</v>
      </c>
      <c r="J175">
        <f t="shared" si="6"/>
        <v>42500</v>
      </c>
      <c r="K175" s="2">
        <f t="shared" si="7"/>
        <v>0.89727313028796729</v>
      </c>
      <c r="L175" s="2">
        <f t="shared" si="8"/>
        <v>0.44676646203010678</v>
      </c>
    </row>
    <row r="176" spans="1:12" x14ac:dyDescent="0.3">
      <c r="A176" s="1">
        <v>45322</v>
      </c>
      <c r="B176" t="s">
        <v>12</v>
      </c>
      <c r="C176" t="s">
        <v>16</v>
      </c>
      <c r="D176" t="s">
        <v>17</v>
      </c>
      <c r="E176">
        <v>12719</v>
      </c>
      <c r="F176">
        <v>7013</v>
      </c>
      <c r="G176">
        <v>14278</v>
      </c>
      <c r="H176">
        <v>3.5</v>
      </c>
      <c r="I176">
        <v>10</v>
      </c>
      <c r="J176">
        <f t="shared" si="6"/>
        <v>5706</v>
      </c>
      <c r="K176" s="2">
        <f t="shared" si="7"/>
        <v>0.89081103796049865</v>
      </c>
      <c r="L176" s="2">
        <f t="shared" si="8"/>
        <v>0.44862017454202374</v>
      </c>
    </row>
    <row r="177" spans="1:12" x14ac:dyDescent="0.3">
      <c r="A177" s="1">
        <v>45549</v>
      </c>
      <c r="B177" t="s">
        <v>15</v>
      </c>
      <c r="C177" t="s">
        <v>10</v>
      </c>
      <c r="D177" t="s">
        <v>14</v>
      </c>
      <c r="E177">
        <v>591533</v>
      </c>
      <c r="F177">
        <v>192629</v>
      </c>
      <c r="G177">
        <v>614924</v>
      </c>
      <c r="H177">
        <v>3.9</v>
      </c>
      <c r="I177">
        <v>10</v>
      </c>
      <c r="J177">
        <f t="shared" si="6"/>
        <v>398904</v>
      </c>
      <c r="K177" s="2">
        <f t="shared" si="7"/>
        <v>0.9619611529229628</v>
      </c>
      <c r="L177" s="2">
        <f t="shared" si="8"/>
        <v>0.67435629119592655</v>
      </c>
    </row>
    <row r="178" spans="1:12" x14ac:dyDescent="0.3">
      <c r="A178" s="1">
        <v>45991</v>
      </c>
      <c r="B178" t="s">
        <v>9</v>
      </c>
      <c r="C178" t="s">
        <v>13</v>
      </c>
      <c r="D178" t="s">
        <v>14</v>
      </c>
      <c r="E178">
        <v>268722</v>
      </c>
      <c r="F178">
        <v>160670</v>
      </c>
      <c r="G178">
        <v>289765</v>
      </c>
      <c r="H178">
        <v>4.3</v>
      </c>
      <c r="I178">
        <v>15</v>
      </c>
      <c r="J178">
        <f t="shared" si="6"/>
        <v>108052</v>
      </c>
      <c r="K178" s="2">
        <f t="shared" si="7"/>
        <v>0.92737908305005778</v>
      </c>
      <c r="L178" s="2">
        <f t="shared" si="8"/>
        <v>0.40209584626491318</v>
      </c>
    </row>
    <row r="179" spans="1:12" x14ac:dyDescent="0.3">
      <c r="A179" s="1">
        <v>45515</v>
      </c>
      <c r="B179" t="s">
        <v>15</v>
      </c>
      <c r="C179" t="s">
        <v>18</v>
      </c>
      <c r="D179" t="s">
        <v>11</v>
      </c>
      <c r="E179">
        <v>101357</v>
      </c>
      <c r="F179">
        <v>33329</v>
      </c>
      <c r="G179">
        <v>107070</v>
      </c>
      <c r="H179">
        <v>3.6</v>
      </c>
      <c r="I179">
        <v>5</v>
      </c>
      <c r="J179">
        <f t="shared" si="6"/>
        <v>68028</v>
      </c>
      <c r="K179" s="2">
        <f t="shared" si="7"/>
        <v>0.94664238348743812</v>
      </c>
      <c r="L179" s="2">
        <f t="shared" si="8"/>
        <v>0.67117219333642475</v>
      </c>
    </row>
    <row r="180" spans="1:12" x14ac:dyDescent="0.3">
      <c r="A180" s="1">
        <v>45483</v>
      </c>
      <c r="B180" t="s">
        <v>19</v>
      </c>
      <c r="C180" t="s">
        <v>13</v>
      </c>
      <c r="D180" t="s">
        <v>17</v>
      </c>
      <c r="E180">
        <v>336032</v>
      </c>
      <c r="F180">
        <v>159926</v>
      </c>
      <c r="G180">
        <v>291466</v>
      </c>
      <c r="H180">
        <v>3.6</v>
      </c>
      <c r="I180">
        <v>9</v>
      </c>
      <c r="J180">
        <f t="shared" si="6"/>
        <v>176106</v>
      </c>
      <c r="K180" s="2">
        <f t="shared" si="7"/>
        <v>1.1529029114888185</v>
      </c>
      <c r="L180" s="2">
        <f t="shared" si="8"/>
        <v>0.52407508808684888</v>
      </c>
    </row>
    <row r="181" spans="1:12" x14ac:dyDescent="0.3">
      <c r="A181" s="1">
        <v>45501</v>
      </c>
      <c r="B181" t="s">
        <v>15</v>
      </c>
      <c r="C181" t="s">
        <v>16</v>
      </c>
      <c r="D181" t="s">
        <v>11</v>
      </c>
      <c r="E181">
        <v>34860</v>
      </c>
      <c r="F181">
        <v>20252</v>
      </c>
      <c r="G181">
        <v>37560</v>
      </c>
      <c r="H181">
        <v>3.5</v>
      </c>
      <c r="I181">
        <v>10</v>
      </c>
      <c r="J181">
        <f t="shared" si="6"/>
        <v>14608</v>
      </c>
      <c r="K181" s="2">
        <f t="shared" si="7"/>
        <v>0.9281150159744409</v>
      </c>
      <c r="L181" s="2">
        <f t="shared" si="8"/>
        <v>0.41904761904761906</v>
      </c>
    </row>
    <row r="182" spans="1:12" x14ac:dyDescent="0.3">
      <c r="A182" s="1">
        <v>45324</v>
      </c>
      <c r="B182" t="s">
        <v>15</v>
      </c>
      <c r="C182" t="s">
        <v>18</v>
      </c>
      <c r="D182" t="s">
        <v>11</v>
      </c>
      <c r="E182">
        <v>267951</v>
      </c>
      <c r="F182">
        <v>165510</v>
      </c>
      <c r="G182">
        <v>240534</v>
      </c>
      <c r="H182">
        <v>4.2</v>
      </c>
      <c r="I182">
        <v>9</v>
      </c>
      <c r="J182">
        <f t="shared" si="6"/>
        <v>102441</v>
      </c>
      <c r="K182" s="2">
        <f t="shared" si="7"/>
        <v>1.113983885853975</v>
      </c>
      <c r="L182" s="2">
        <f t="shared" si="8"/>
        <v>0.38231243772182227</v>
      </c>
    </row>
    <row r="183" spans="1:12" x14ac:dyDescent="0.3">
      <c r="A183" s="1">
        <v>45807</v>
      </c>
      <c r="B183" t="s">
        <v>19</v>
      </c>
      <c r="C183" t="s">
        <v>18</v>
      </c>
      <c r="D183" t="s">
        <v>14</v>
      </c>
      <c r="E183">
        <v>369912</v>
      </c>
      <c r="F183">
        <v>167900</v>
      </c>
      <c r="G183">
        <v>406080</v>
      </c>
      <c r="H183">
        <v>3.9</v>
      </c>
      <c r="I183">
        <v>6</v>
      </c>
      <c r="J183">
        <f t="shared" si="6"/>
        <v>202012</v>
      </c>
      <c r="K183" s="2">
        <f t="shared" si="7"/>
        <v>0.91093380614657216</v>
      </c>
      <c r="L183" s="2">
        <f t="shared" si="8"/>
        <v>0.54610826358701525</v>
      </c>
    </row>
    <row r="184" spans="1:12" x14ac:dyDescent="0.3">
      <c r="A184" s="1">
        <v>45421</v>
      </c>
      <c r="B184" t="s">
        <v>12</v>
      </c>
      <c r="C184" t="s">
        <v>16</v>
      </c>
      <c r="D184" t="s">
        <v>17</v>
      </c>
      <c r="E184">
        <v>480474</v>
      </c>
      <c r="F184">
        <v>172770</v>
      </c>
      <c r="G184">
        <v>547245</v>
      </c>
      <c r="H184">
        <v>3.5</v>
      </c>
      <c r="I184">
        <v>10</v>
      </c>
      <c r="J184">
        <f t="shared" si="6"/>
        <v>307704</v>
      </c>
      <c r="K184" s="2">
        <f t="shared" si="7"/>
        <v>0.87798700764739745</v>
      </c>
      <c r="L184" s="2">
        <f t="shared" si="8"/>
        <v>0.64041758763221324</v>
      </c>
    </row>
    <row r="185" spans="1:12" x14ac:dyDescent="0.3">
      <c r="A185" s="1">
        <v>45312</v>
      </c>
      <c r="B185" t="s">
        <v>12</v>
      </c>
      <c r="C185" t="s">
        <v>13</v>
      </c>
      <c r="D185" t="s">
        <v>14</v>
      </c>
      <c r="E185">
        <v>431818</v>
      </c>
      <c r="F185">
        <v>210175</v>
      </c>
      <c r="G185">
        <v>402568</v>
      </c>
      <c r="H185">
        <v>5</v>
      </c>
      <c r="I185">
        <v>3</v>
      </c>
      <c r="J185">
        <f t="shared" si="6"/>
        <v>221643</v>
      </c>
      <c r="K185" s="2">
        <f t="shared" si="7"/>
        <v>1.0726585322231275</v>
      </c>
      <c r="L185" s="2">
        <f t="shared" si="8"/>
        <v>0.51327874243315474</v>
      </c>
    </row>
    <row r="186" spans="1:12" x14ac:dyDescent="0.3">
      <c r="A186" s="1">
        <v>45548</v>
      </c>
      <c r="B186" t="s">
        <v>15</v>
      </c>
      <c r="C186" t="s">
        <v>13</v>
      </c>
      <c r="D186" t="s">
        <v>17</v>
      </c>
      <c r="E186">
        <v>423198</v>
      </c>
      <c r="F186">
        <v>251658</v>
      </c>
      <c r="G186">
        <v>442453</v>
      </c>
      <c r="H186">
        <v>4.0999999999999996</v>
      </c>
      <c r="I186">
        <v>2</v>
      </c>
      <c r="J186">
        <f t="shared" si="6"/>
        <v>171540</v>
      </c>
      <c r="K186" s="2">
        <f t="shared" si="7"/>
        <v>0.95648125337606482</v>
      </c>
      <c r="L186" s="2">
        <f t="shared" si="8"/>
        <v>0.40534218025605034</v>
      </c>
    </row>
    <row r="187" spans="1:12" x14ac:dyDescent="0.3">
      <c r="A187" s="1">
        <v>45562</v>
      </c>
      <c r="B187" t="s">
        <v>9</v>
      </c>
      <c r="C187" t="s">
        <v>13</v>
      </c>
      <c r="D187" t="s">
        <v>11</v>
      </c>
      <c r="E187">
        <v>240983</v>
      </c>
      <c r="F187">
        <v>136478</v>
      </c>
      <c r="G187">
        <v>267632</v>
      </c>
      <c r="H187">
        <v>4.7</v>
      </c>
      <c r="I187">
        <v>11</v>
      </c>
      <c r="J187">
        <f t="shared" si="6"/>
        <v>104505</v>
      </c>
      <c r="K187" s="2">
        <f t="shared" si="7"/>
        <v>0.90042670532671731</v>
      </c>
      <c r="L187" s="2">
        <f t="shared" si="8"/>
        <v>0.43366129561006378</v>
      </c>
    </row>
    <row r="188" spans="1:12" x14ac:dyDescent="0.3">
      <c r="A188" s="1">
        <v>45882</v>
      </c>
      <c r="B188" t="s">
        <v>12</v>
      </c>
      <c r="C188" t="s">
        <v>16</v>
      </c>
      <c r="D188" t="s">
        <v>17</v>
      </c>
      <c r="E188">
        <v>171779</v>
      </c>
      <c r="F188">
        <v>72857</v>
      </c>
      <c r="G188">
        <v>152775</v>
      </c>
      <c r="H188">
        <v>3.5</v>
      </c>
      <c r="I188">
        <v>6</v>
      </c>
      <c r="J188">
        <f t="shared" si="6"/>
        <v>98922</v>
      </c>
      <c r="K188" s="2">
        <f t="shared" si="7"/>
        <v>1.1243920798559974</v>
      </c>
      <c r="L188" s="2">
        <f t="shared" si="8"/>
        <v>0.57586783017714627</v>
      </c>
    </row>
    <row r="189" spans="1:12" x14ac:dyDescent="0.3">
      <c r="A189" s="1">
        <v>45669</v>
      </c>
      <c r="B189" t="s">
        <v>12</v>
      </c>
      <c r="C189" t="s">
        <v>13</v>
      </c>
      <c r="D189" t="s">
        <v>17</v>
      </c>
      <c r="E189">
        <v>272670</v>
      </c>
      <c r="F189">
        <v>167863</v>
      </c>
      <c r="G189">
        <v>280713</v>
      </c>
      <c r="H189">
        <v>4.4000000000000004</v>
      </c>
      <c r="I189">
        <v>8</v>
      </c>
      <c r="J189">
        <f t="shared" si="6"/>
        <v>104807</v>
      </c>
      <c r="K189" s="2">
        <f t="shared" si="7"/>
        <v>0.97134796037233762</v>
      </c>
      <c r="L189" s="2">
        <f t="shared" si="8"/>
        <v>0.3843730516741849</v>
      </c>
    </row>
    <row r="190" spans="1:12" x14ac:dyDescent="0.3">
      <c r="A190" s="1">
        <v>45812</v>
      </c>
      <c r="B190" t="s">
        <v>15</v>
      </c>
      <c r="C190" t="s">
        <v>13</v>
      </c>
      <c r="D190" t="s">
        <v>14</v>
      </c>
      <c r="E190">
        <v>262859</v>
      </c>
      <c r="F190">
        <v>134642</v>
      </c>
      <c r="G190">
        <v>269977</v>
      </c>
      <c r="H190">
        <v>4.0999999999999996</v>
      </c>
      <c r="I190">
        <v>5</v>
      </c>
      <c r="J190">
        <f t="shared" si="6"/>
        <v>128217</v>
      </c>
      <c r="K190" s="2">
        <f t="shared" si="7"/>
        <v>0.97363479111183548</v>
      </c>
      <c r="L190" s="2">
        <f t="shared" si="8"/>
        <v>0.48777861895540953</v>
      </c>
    </row>
    <row r="191" spans="1:12" x14ac:dyDescent="0.3">
      <c r="A191" s="1">
        <v>45355</v>
      </c>
      <c r="B191" t="s">
        <v>19</v>
      </c>
      <c r="C191" t="s">
        <v>10</v>
      </c>
      <c r="D191" t="s">
        <v>14</v>
      </c>
      <c r="E191">
        <v>264225</v>
      </c>
      <c r="F191">
        <v>134292</v>
      </c>
      <c r="G191">
        <v>262634</v>
      </c>
      <c r="H191">
        <v>4.4000000000000004</v>
      </c>
      <c r="I191">
        <v>13</v>
      </c>
      <c r="J191">
        <f t="shared" si="6"/>
        <v>129933</v>
      </c>
      <c r="K191" s="2">
        <f t="shared" si="7"/>
        <v>1.0060578599876635</v>
      </c>
      <c r="L191" s="2">
        <f t="shared" si="8"/>
        <v>0.49175134828271361</v>
      </c>
    </row>
    <row r="192" spans="1:12" x14ac:dyDescent="0.3">
      <c r="A192" s="1">
        <v>45835</v>
      </c>
      <c r="B192" t="s">
        <v>12</v>
      </c>
      <c r="C192" t="s">
        <v>10</v>
      </c>
      <c r="D192" t="s">
        <v>14</v>
      </c>
      <c r="E192">
        <v>74288</v>
      </c>
      <c r="F192">
        <v>28827</v>
      </c>
      <c r="G192">
        <v>64027</v>
      </c>
      <c r="H192">
        <v>4.2</v>
      </c>
      <c r="I192">
        <v>11</v>
      </c>
      <c r="J192">
        <f t="shared" si="6"/>
        <v>45461</v>
      </c>
      <c r="K192" s="2">
        <f t="shared" si="7"/>
        <v>1.1602605150951941</v>
      </c>
      <c r="L192" s="2">
        <f t="shared" si="8"/>
        <v>0.6119561705793668</v>
      </c>
    </row>
    <row r="193" spans="1:12" x14ac:dyDescent="0.3">
      <c r="A193" s="1">
        <v>45379</v>
      </c>
      <c r="B193" t="s">
        <v>19</v>
      </c>
      <c r="C193" t="s">
        <v>10</v>
      </c>
      <c r="D193" t="s">
        <v>14</v>
      </c>
      <c r="E193">
        <v>455485</v>
      </c>
      <c r="F193">
        <v>284445</v>
      </c>
      <c r="G193">
        <v>453074</v>
      </c>
      <c r="H193">
        <v>3.8</v>
      </c>
      <c r="I193">
        <v>15</v>
      </c>
      <c r="J193">
        <f t="shared" si="6"/>
        <v>171040</v>
      </c>
      <c r="K193" s="2">
        <f t="shared" si="7"/>
        <v>1.0053214265219368</v>
      </c>
      <c r="L193" s="2">
        <f t="shared" si="8"/>
        <v>0.3755118170741078</v>
      </c>
    </row>
    <row r="194" spans="1:12" x14ac:dyDescent="0.3">
      <c r="A194" s="1">
        <v>45964</v>
      </c>
      <c r="B194" t="s">
        <v>15</v>
      </c>
      <c r="C194" t="s">
        <v>13</v>
      </c>
      <c r="D194" t="s">
        <v>17</v>
      </c>
      <c r="E194">
        <v>204555</v>
      </c>
      <c r="F194">
        <v>117340</v>
      </c>
      <c r="G194">
        <v>195388</v>
      </c>
      <c r="H194">
        <v>3.5</v>
      </c>
      <c r="I194">
        <v>0</v>
      </c>
      <c r="J194">
        <f t="shared" si="6"/>
        <v>87215</v>
      </c>
      <c r="K194" s="2">
        <f t="shared" si="7"/>
        <v>1.0469169038016664</v>
      </c>
      <c r="L194" s="2">
        <f t="shared" si="8"/>
        <v>0.42636454743223096</v>
      </c>
    </row>
    <row r="195" spans="1:12" x14ac:dyDescent="0.3">
      <c r="A195" s="1">
        <v>45407</v>
      </c>
      <c r="B195" t="s">
        <v>15</v>
      </c>
      <c r="C195" t="s">
        <v>16</v>
      </c>
      <c r="D195" t="s">
        <v>11</v>
      </c>
      <c r="E195">
        <v>118737</v>
      </c>
      <c r="F195">
        <v>48819</v>
      </c>
      <c r="G195">
        <v>129444</v>
      </c>
      <c r="H195">
        <v>3.8</v>
      </c>
      <c r="I195">
        <v>9</v>
      </c>
      <c r="J195">
        <f t="shared" ref="J195:J258" si="9">E195-F195</f>
        <v>69918</v>
      </c>
      <c r="K195" s="2">
        <f t="shared" ref="K195:K258" si="10">E195/G195</f>
        <v>0.91728469453972372</v>
      </c>
      <c r="L195" s="2">
        <f t="shared" ref="L195:L258" si="11">J195/E195</f>
        <v>0.58884762121326961</v>
      </c>
    </row>
    <row r="196" spans="1:12" x14ac:dyDescent="0.3">
      <c r="A196" s="1">
        <v>45719</v>
      </c>
      <c r="B196" t="s">
        <v>19</v>
      </c>
      <c r="C196" t="s">
        <v>13</v>
      </c>
      <c r="D196" t="s">
        <v>11</v>
      </c>
      <c r="E196">
        <v>329804</v>
      </c>
      <c r="F196">
        <v>110528</v>
      </c>
      <c r="G196">
        <v>339181</v>
      </c>
      <c r="H196">
        <v>4.4000000000000004</v>
      </c>
      <c r="I196">
        <v>2</v>
      </c>
      <c r="J196">
        <f t="shared" si="9"/>
        <v>219276</v>
      </c>
      <c r="K196" s="2">
        <f t="shared" si="10"/>
        <v>0.97235399388527066</v>
      </c>
      <c r="L196" s="2">
        <f t="shared" si="11"/>
        <v>0.66486761834301589</v>
      </c>
    </row>
    <row r="197" spans="1:12" x14ac:dyDescent="0.3">
      <c r="A197" s="1">
        <v>45514</v>
      </c>
      <c r="B197" t="s">
        <v>9</v>
      </c>
      <c r="C197" t="s">
        <v>10</v>
      </c>
      <c r="D197" t="s">
        <v>17</v>
      </c>
      <c r="E197">
        <v>100827</v>
      </c>
      <c r="F197">
        <v>33252</v>
      </c>
      <c r="G197">
        <v>104617</v>
      </c>
      <c r="H197">
        <v>4.7</v>
      </c>
      <c r="I197">
        <v>7</v>
      </c>
      <c r="J197">
        <f t="shared" si="9"/>
        <v>67575</v>
      </c>
      <c r="K197" s="2">
        <f t="shared" si="10"/>
        <v>0.96377261821692461</v>
      </c>
      <c r="L197" s="2">
        <f t="shared" si="11"/>
        <v>0.67020738492665655</v>
      </c>
    </row>
    <row r="198" spans="1:12" x14ac:dyDescent="0.3">
      <c r="A198" s="1">
        <v>45402</v>
      </c>
      <c r="B198" t="s">
        <v>12</v>
      </c>
      <c r="C198" t="s">
        <v>18</v>
      </c>
      <c r="D198" t="s">
        <v>11</v>
      </c>
      <c r="E198">
        <v>239834</v>
      </c>
      <c r="F198">
        <v>105550</v>
      </c>
      <c r="G198">
        <v>246847</v>
      </c>
      <c r="H198">
        <v>4.7</v>
      </c>
      <c r="I198">
        <v>3</v>
      </c>
      <c r="J198">
        <f t="shared" si="9"/>
        <v>134284</v>
      </c>
      <c r="K198" s="2">
        <f t="shared" si="10"/>
        <v>0.97158968915968191</v>
      </c>
      <c r="L198" s="2">
        <f t="shared" si="11"/>
        <v>0.55990393355404156</v>
      </c>
    </row>
    <row r="199" spans="1:12" x14ac:dyDescent="0.3">
      <c r="A199" s="1">
        <v>45806</v>
      </c>
      <c r="B199" t="s">
        <v>12</v>
      </c>
      <c r="C199" t="s">
        <v>10</v>
      </c>
      <c r="D199" t="s">
        <v>17</v>
      </c>
      <c r="E199">
        <v>46877</v>
      </c>
      <c r="F199">
        <v>18870</v>
      </c>
      <c r="G199">
        <v>48188</v>
      </c>
      <c r="H199">
        <v>4.5</v>
      </c>
      <c r="I199">
        <v>10</v>
      </c>
      <c r="J199">
        <f t="shared" si="9"/>
        <v>28007</v>
      </c>
      <c r="K199" s="2">
        <f t="shared" si="10"/>
        <v>0.97279405661160456</v>
      </c>
      <c r="L199" s="2">
        <f t="shared" si="11"/>
        <v>0.59745717516052643</v>
      </c>
    </row>
    <row r="200" spans="1:12" x14ac:dyDescent="0.3">
      <c r="A200" s="1">
        <v>45828</v>
      </c>
      <c r="B200" t="s">
        <v>19</v>
      </c>
      <c r="C200" t="s">
        <v>18</v>
      </c>
      <c r="D200" t="s">
        <v>17</v>
      </c>
      <c r="E200">
        <v>172962</v>
      </c>
      <c r="F200">
        <v>81455</v>
      </c>
      <c r="G200">
        <v>185637</v>
      </c>
      <c r="H200">
        <v>4.8</v>
      </c>
      <c r="I200">
        <v>6</v>
      </c>
      <c r="J200">
        <f t="shared" si="9"/>
        <v>91507</v>
      </c>
      <c r="K200" s="2">
        <f t="shared" si="10"/>
        <v>0.93172158567526953</v>
      </c>
      <c r="L200" s="2">
        <f t="shared" si="11"/>
        <v>0.52905840589262376</v>
      </c>
    </row>
    <row r="201" spans="1:12" x14ac:dyDescent="0.3">
      <c r="A201" s="1">
        <v>45600</v>
      </c>
      <c r="B201" t="s">
        <v>12</v>
      </c>
      <c r="C201" t="s">
        <v>13</v>
      </c>
      <c r="D201" t="s">
        <v>11</v>
      </c>
      <c r="E201">
        <v>230971</v>
      </c>
      <c r="F201">
        <v>137599</v>
      </c>
      <c r="G201">
        <v>241590</v>
      </c>
      <c r="H201">
        <v>4</v>
      </c>
      <c r="I201">
        <v>1</v>
      </c>
      <c r="J201">
        <f t="shared" si="9"/>
        <v>93372</v>
      </c>
      <c r="K201" s="2">
        <f t="shared" si="10"/>
        <v>0.95604536611614721</v>
      </c>
      <c r="L201" s="2">
        <f t="shared" si="11"/>
        <v>0.40425854328032523</v>
      </c>
    </row>
    <row r="202" spans="1:12" x14ac:dyDescent="0.3">
      <c r="A202" s="1">
        <v>45603</v>
      </c>
      <c r="B202" t="s">
        <v>19</v>
      </c>
      <c r="C202" t="s">
        <v>18</v>
      </c>
      <c r="D202" t="s">
        <v>11</v>
      </c>
      <c r="E202">
        <v>463531</v>
      </c>
      <c r="F202">
        <v>230384</v>
      </c>
      <c r="G202">
        <v>424672</v>
      </c>
      <c r="H202">
        <v>4.0999999999999996</v>
      </c>
      <c r="I202">
        <v>9</v>
      </c>
      <c r="J202">
        <f t="shared" si="9"/>
        <v>233147</v>
      </c>
      <c r="K202" s="2">
        <f t="shared" si="10"/>
        <v>1.091503560394846</v>
      </c>
      <c r="L202" s="2">
        <f t="shared" si="11"/>
        <v>0.50298038318904237</v>
      </c>
    </row>
    <row r="203" spans="1:12" x14ac:dyDescent="0.3">
      <c r="A203" s="1">
        <v>45498</v>
      </c>
      <c r="B203" t="s">
        <v>19</v>
      </c>
      <c r="C203" t="s">
        <v>18</v>
      </c>
      <c r="D203" t="s">
        <v>14</v>
      </c>
      <c r="E203">
        <v>475757</v>
      </c>
      <c r="F203">
        <v>185473</v>
      </c>
      <c r="G203">
        <v>510397</v>
      </c>
      <c r="H203">
        <v>4.0999999999999996</v>
      </c>
      <c r="I203">
        <v>4</v>
      </c>
      <c r="J203">
        <f t="shared" si="9"/>
        <v>290284</v>
      </c>
      <c r="K203" s="2">
        <f t="shared" si="10"/>
        <v>0.93213126252701328</v>
      </c>
      <c r="L203" s="2">
        <f t="shared" si="11"/>
        <v>0.61015182120284095</v>
      </c>
    </row>
    <row r="204" spans="1:12" x14ac:dyDescent="0.3">
      <c r="A204" s="1">
        <v>45807</v>
      </c>
      <c r="B204" t="s">
        <v>9</v>
      </c>
      <c r="C204" t="s">
        <v>13</v>
      </c>
      <c r="D204" t="s">
        <v>17</v>
      </c>
      <c r="E204">
        <v>442659</v>
      </c>
      <c r="F204">
        <v>270007</v>
      </c>
      <c r="G204">
        <v>491399</v>
      </c>
      <c r="H204">
        <v>4.4000000000000004</v>
      </c>
      <c r="I204">
        <v>11</v>
      </c>
      <c r="J204">
        <f t="shared" si="9"/>
        <v>172652</v>
      </c>
      <c r="K204" s="2">
        <f t="shared" si="10"/>
        <v>0.9008137989698799</v>
      </c>
      <c r="L204" s="2">
        <f t="shared" si="11"/>
        <v>0.39003386353829922</v>
      </c>
    </row>
    <row r="205" spans="1:12" x14ac:dyDescent="0.3">
      <c r="A205" s="1">
        <v>45711</v>
      </c>
      <c r="B205" t="s">
        <v>15</v>
      </c>
      <c r="C205" t="s">
        <v>10</v>
      </c>
      <c r="D205" t="s">
        <v>17</v>
      </c>
      <c r="E205">
        <v>425231</v>
      </c>
      <c r="F205">
        <v>152143</v>
      </c>
      <c r="G205">
        <v>415244</v>
      </c>
      <c r="H205">
        <v>3.9</v>
      </c>
      <c r="I205">
        <v>14</v>
      </c>
      <c r="J205">
        <f t="shared" si="9"/>
        <v>273088</v>
      </c>
      <c r="K205" s="2">
        <f t="shared" si="10"/>
        <v>1.0240509194594021</v>
      </c>
      <c r="L205" s="2">
        <f t="shared" si="11"/>
        <v>0.64221093946584329</v>
      </c>
    </row>
    <row r="206" spans="1:12" x14ac:dyDescent="0.3">
      <c r="A206" s="1">
        <v>45662</v>
      </c>
      <c r="B206" t="s">
        <v>15</v>
      </c>
      <c r="C206" t="s">
        <v>16</v>
      </c>
      <c r="D206" t="s">
        <v>14</v>
      </c>
      <c r="E206">
        <v>400411</v>
      </c>
      <c r="F206">
        <v>165182</v>
      </c>
      <c r="G206">
        <v>428413</v>
      </c>
      <c r="H206">
        <v>3.7</v>
      </c>
      <c r="I206">
        <v>1</v>
      </c>
      <c r="J206">
        <f t="shared" si="9"/>
        <v>235229</v>
      </c>
      <c r="K206" s="2">
        <f t="shared" si="10"/>
        <v>0.93463783778736875</v>
      </c>
      <c r="L206" s="2">
        <f t="shared" si="11"/>
        <v>0.58746887573018725</v>
      </c>
    </row>
    <row r="207" spans="1:12" x14ac:dyDescent="0.3">
      <c r="A207" s="1">
        <v>45811</v>
      </c>
      <c r="B207" t="s">
        <v>9</v>
      </c>
      <c r="C207" t="s">
        <v>13</v>
      </c>
      <c r="D207" t="s">
        <v>17</v>
      </c>
      <c r="E207">
        <v>414777</v>
      </c>
      <c r="F207">
        <v>211596</v>
      </c>
      <c r="G207">
        <v>416346</v>
      </c>
      <c r="H207">
        <v>4.0999999999999996</v>
      </c>
      <c r="I207">
        <v>11</v>
      </c>
      <c r="J207">
        <f t="shared" si="9"/>
        <v>203181</v>
      </c>
      <c r="K207" s="2">
        <f t="shared" si="10"/>
        <v>0.99623149976221703</v>
      </c>
      <c r="L207" s="2">
        <f t="shared" si="11"/>
        <v>0.48985599490810727</v>
      </c>
    </row>
    <row r="208" spans="1:12" x14ac:dyDescent="0.3">
      <c r="A208" s="1">
        <v>45844</v>
      </c>
      <c r="B208" t="s">
        <v>15</v>
      </c>
      <c r="C208" t="s">
        <v>16</v>
      </c>
      <c r="D208" t="s">
        <v>14</v>
      </c>
      <c r="E208">
        <v>108317</v>
      </c>
      <c r="F208">
        <v>45191</v>
      </c>
      <c r="G208">
        <v>95164</v>
      </c>
      <c r="H208">
        <v>4.5</v>
      </c>
      <c r="I208">
        <v>8</v>
      </c>
      <c r="J208">
        <f t="shared" si="9"/>
        <v>63126</v>
      </c>
      <c r="K208" s="2">
        <f t="shared" si="10"/>
        <v>1.1382140305157413</v>
      </c>
      <c r="L208" s="2">
        <f t="shared" si="11"/>
        <v>0.58278940517185673</v>
      </c>
    </row>
    <row r="209" spans="1:12" x14ac:dyDescent="0.3">
      <c r="A209" s="1">
        <v>45319</v>
      </c>
      <c r="B209" t="s">
        <v>15</v>
      </c>
      <c r="C209" t="s">
        <v>18</v>
      </c>
      <c r="D209" t="s">
        <v>14</v>
      </c>
      <c r="E209">
        <v>154832</v>
      </c>
      <c r="F209">
        <v>76642</v>
      </c>
      <c r="G209">
        <v>142617</v>
      </c>
      <c r="H209">
        <v>3.9</v>
      </c>
      <c r="I209">
        <v>7</v>
      </c>
      <c r="J209">
        <f t="shared" si="9"/>
        <v>78190</v>
      </c>
      <c r="K209" s="2">
        <f t="shared" si="10"/>
        <v>1.0856489759285359</v>
      </c>
      <c r="L209" s="2">
        <f t="shared" si="11"/>
        <v>0.50499896662188692</v>
      </c>
    </row>
    <row r="210" spans="1:12" x14ac:dyDescent="0.3">
      <c r="A210" s="1">
        <v>45301</v>
      </c>
      <c r="B210" t="s">
        <v>12</v>
      </c>
      <c r="C210" t="s">
        <v>16</v>
      </c>
      <c r="D210" t="s">
        <v>17</v>
      </c>
      <c r="E210">
        <v>348511</v>
      </c>
      <c r="F210">
        <v>168458</v>
      </c>
      <c r="G210">
        <v>366221</v>
      </c>
      <c r="H210">
        <v>3.7</v>
      </c>
      <c r="I210">
        <v>9</v>
      </c>
      <c r="J210">
        <f t="shared" si="9"/>
        <v>180053</v>
      </c>
      <c r="K210" s="2">
        <f t="shared" si="10"/>
        <v>0.95164122210359314</v>
      </c>
      <c r="L210" s="2">
        <f t="shared" si="11"/>
        <v>0.51663505599536308</v>
      </c>
    </row>
    <row r="211" spans="1:12" x14ac:dyDescent="0.3">
      <c r="A211" s="1">
        <v>45424</v>
      </c>
      <c r="B211" t="s">
        <v>9</v>
      </c>
      <c r="C211" t="s">
        <v>13</v>
      </c>
      <c r="D211" t="s">
        <v>11</v>
      </c>
      <c r="E211">
        <v>426715</v>
      </c>
      <c r="F211">
        <v>223701</v>
      </c>
      <c r="G211">
        <v>408697</v>
      </c>
      <c r="H211">
        <v>4.0999999999999996</v>
      </c>
      <c r="I211">
        <v>0</v>
      </c>
      <c r="J211">
        <f t="shared" si="9"/>
        <v>203014</v>
      </c>
      <c r="K211" s="2">
        <f t="shared" si="10"/>
        <v>1.0440864503531957</v>
      </c>
      <c r="L211" s="2">
        <f t="shared" si="11"/>
        <v>0.47576016779349212</v>
      </c>
    </row>
    <row r="212" spans="1:12" x14ac:dyDescent="0.3">
      <c r="A212" s="1">
        <v>45398</v>
      </c>
      <c r="B212" t="s">
        <v>19</v>
      </c>
      <c r="C212" t="s">
        <v>18</v>
      </c>
      <c r="D212" t="s">
        <v>14</v>
      </c>
      <c r="E212">
        <v>287707</v>
      </c>
      <c r="F212">
        <v>107447</v>
      </c>
      <c r="G212">
        <v>305434</v>
      </c>
      <c r="H212">
        <v>4.2</v>
      </c>
      <c r="I212">
        <v>4</v>
      </c>
      <c r="J212">
        <f t="shared" si="9"/>
        <v>180260</v>
      </c>
      <c r="K212" s="2">
        <f t="shared" si="10"/>
        <v>0.94196127477622005</v>
      </c>
      <c r="L212" s="2">
        <f t="shared" si="11"/>
        <v>0.6265401954071329</v>
      </c>
    </row>
    <row r="213" spans="1:12" x14ac:dyDescent="0.3">
      <c r="A213" s="1">
        <v>45658</v>
      </c>
      <c r="B213" t="s">
        <v>12</v>
      </c>
      <c r="C213" t="s">
        <v>16</v>
      </c>
      <c r="D213" t="s">
        <v>11</v>
      </c>
      <c r="E213">
        <v>453324</v>
      </c>
      <c r="F213">
        <v>238029</v>
      </c>
      <c r="G213">
        <v>393089</v>
      </c>
      <c r="H213">
        <v>4.3</v>
      </c>
      <c r="I213">
        <v>3</v>
      </c>
      <c r="J213">
        <f t="shared" si="9"/>
        <v>215295</v>
      </c>
      <c r="K213" s="2">
        <f t="shared" si="10"/>
        <v>1.1532350180239082</v>
      </c>
      <c r="L213" s="2">
        <f t="shared" si="11"/>
        <v>0.47492521904862744</v>
      </c>
    </row>
    <row r="214" spans="1:12" x14ac:dyDescent="0.3">
      <c r="A214" s="1">
        <v>45311</v>
      </c>
      <c r="B214" t="s">
        <v>15</v>
      </c>
      <c r="C214" t="s">
        <v>10</v>
      </c>
      <c r="D214" t="s">
        <v>14</v>
      </c>
      <c r="E214">
        <v>180102</v>
      </c>
      <c r="F214">
        <v>59044</v>
      </c>
      <c r="G214">
        <v>170168</v>
      </c>
      <c r="H214">
        <v>4.3</v>
      </c>
      <c r="I214">
        <v>4</v>
      </c>
      <c r="J214">
        <f t="shared" si="9"/>
        <v>121058</v>
      </c>
      <c r="K214" s="2">
        <f t="shared" si="10"/>
        <v>1.0583776033096703</v>
      </c>
      <c r="L214" s="2">
        <f t="shared" si="11"/>
        <v>0.67216355176511089</v>
      </c>
    </row>
    <row r="215" spans="1:12" x14ac:dyDescent="0.3">
      <c r="A215" s="1">
        <v>45497</v>
      </c>
      <c r="B215" t="s">
        <v>9</v>
      </c>
      <c r="C215" t="s">
        <v>16</v>
      </c>
      <c r="D215" t="s">
        <v>14</v>
      </c>
      <c r="E215">
        <v>176129</v>
      </c>
      <c r="F215">
        <v>71897</v>
      </c>
      <c r="G215">
        <v>150627</v>
      </c>
      <c r="H215">
        <v>4</v>
      </c>
      <c r="I215">
        <v>7</v>
      </c>
      <c r="J215">
        <f t="shared" si="9"/>
        <v>104232</v>
      </c>
      <c r="K215" s="2">
        <f t="shared" si="10"/>
        <v>1.1693056357757905</v>
      </c>
      <c r="L215" s="2">
        <f t="shared" si="11"/>
        <v>0.59179351498049726</v>
      </c>
    </row>
    <row r="216" spans="1:12" x14ac:dyDescent="0.3">
      <c r="A216" s="1">
        <v>45476</v>
      </c>
      <c r="B216" t="s">
        <v>12</v>
      </c>
      <c r="C216" t="s">
        <v>18</v>
      </c>
      <c r="D216" t="s">
        <v>11</v>
      </c>
      <c r="E216">
        <v>16570</v>
      </c>
      <c r="F216">
        <v>8271</v>
      </c>
      <c r="G216">
        <v>16730</v>
      </c>
      <c r="H216">
        <v>3.7</v>
      </c>
      <c r="I216">
        <v>1</v>
      </c>
      <c r="J216">
        <f t="shared" si="9"/>
        <v>8299</v>
      </c>
      <c r="K216" s="2">
        <f t="shared" si="10"/>
        <v>0.99043634190077701</v>
      </c>
      <c r="L216" s="2">
        <f t="shared" si="11"/>
        <v>0.50084490042245022</v>
      </c>
    </row>
    <row r="217" spans="1:12" x14ac:dyDescent="0.3">
      <c r="A217" s="1">
        <v>45929</v>
      </c>
      <c r="B217" t="s">
        <v>19</v>
      </c>
      <c r="C217" t="s">
        <v>13</v>
      </c>
      <c r="D217" t="s">
        <v>17</v>
      </c>
      <c r="E217">
        <v>315897</v>
      </c>
      <c r="F217">
        <v>132667</v>
      </c>
      <c r="G217">
        <v>360430</v>
      </c>
      <c r="H217">
        <v>3.6</v>
      </c>
      <c r="I217">
        <v>11</v>
      </c>
      <c r="J217">
        <f t="shared" si="9"/>
        <v>183230</v>
      </c>
      <c r="K217" s="2">
        <f t="shared" si="10"/>
        <v>0.87644480204200537</v>
      </c>
      <c r="L217" s="2">
        <f t="shared" si="11"/>
        <v>0.5800308328347531</v>
      </c>
    </row>
    <row r="218" spans="1:12" x14ac:dyDescent="0.3">
      <c r="A218" s="1">
        <v>45960</v>
      </c>
      <c r="B218" t="s">
        <v>9</v>
      </c>
      <c r="C218" t="s">
        <v>16</v>
      </c>
      <c r="D218" t="s">
        <v>14</v>
      </c>
      <c r="E218">
        <v>396542</v>
      </c>
      <c r="F218">
        <v>211518</v>
      </c>
      <c r="G218">
        <v>415770</v>
      </c>
      <c r="H218">
        <v>5</v>
      </c>
      <c r="I218">
        <v>5</v>
      </c>
      <c r="J218">
        <f t="shared" si="9"/>
        <v>185024</v>
      </c>
      <c r="K218" s="2">
        <f t="shared" si="10"/>
        <v>0.95375327705221635</v>
      </c>
      <c r="L218" s="2">
        <f t="shared" si="11"/>
        <v>0.46659370255861926</v>
      </c>
    </row>
    <row r="219" spans="1:12" x14ac:dyDescent="0.3">
      <c r="A219" s="1">
        <v>45718</v>
      </c>
      <c r="B219" t="s">
        <v>15</v>
      </c>
      <c r="C219" t="s">
        <v>16</v>
      </c>
      <c r="D219" t="s">
        <v>17</v>
      </c>
      <c r="E219">
        <v>38625</v>
      </c>
      <c r="F219">
        <v>13697</v>
      </c>
      <c r="G219">
        <v>41736</v>
      </c>
      <c r="H219">
        <v>3.7</v>
      </c>
      <c r="I219">
        <v>7</v>
      </c>
      <c r="J219">
        <f t="shared" si="9"/>
        <v>24928</v>
      </c>
      <c r="K219" s="2">
        <f t="shared" si="10"/>
        <v>0.92546003450258774</v>
      </c>
      <c r="L219" s="2">
        <f t="shared" si="11"/>
        <v>0.64538511326860837</v>
      </c>
    </row>
    <row r="220" spans="1:12" x14ac:dyDescent="0.3">
      <c r="A220" s="1">
        <v>45636</v>
      </c>
      <c r="B220" t="s">
        <v>15</v>
      </c>
      <c r="C220" t="s">
        <v>13</v>
      </c>
      <c r="D220" t="s">
        <v>14</v>
      </c>
      <c r="E220">
        <v>133651</v>
      </c>
      <c r="F220">
        <v>51047</v>
      </c>
      <c r="G220">
        <v>140345</v>
      </c>
      <c r="H220">
        <v>4.4000000000000004</v>
      </c>
      <c r="I220">
        <v>15</v>
      </c>
      <c r="J220">
        <f t="shared" si="9"/>
        <v>82604</v>
      </c>
      <c r="K220" s="2">
        <f t="shared" si="10"/>
        <v>0.95230325269870675</v>
      </c>
      <c r="L220" s="2">
        <f t="shared" si="11"/>
        <v>0.61805747805852551</v>
      </c>
    </row>
    <row r="221" spans="1:12" x14ac:dyDescent="0.3">
      <c r="A221" s="1">
        <v>45511</v>
      </c>
      <c r="B221" t="s">
        <v>15</v>
      </c>
      <c r="C221" t="s">
        <v>16</v>
      </c>
      <c r="D221" t="s">
        <v>17</v>
      </c>
      <c r="E221">
        <v>15704</v>
      </c>
      <c r="F221">
        <v>5571</v>
      </c>
      <c r="G221">
        <v>17034</v>
      </c>
      <c r="H221">
        <v>4.4000000000000004</v>
      </c>
      <c r="I221">
        <v>8</v>
      </c>
      <c r="J221">
        <f t="shared" si="9"/>
        <v>10133</v>
      </c>
      <c r="K221" s="2">
        <f t="shared" si="10"/>
        <v>0.92192086415404484</v>
      </c>
      <c r="L221" s="2">
        <f t="shared" si="11"/>
        <v>0.64524961793173718</v>
      </c>
    </row>
    <row r="222" spans="1:12" x14ac:dyDescent="0.3">
      <c r="A222" s="1">
        <v>45780</v>
      </c>
      <c r="B222" t="s">
        <v>12</v>
      </c>
      <c r="C222" t="s">
        <v>13</v>
      </c>
      <c r="D222" t="s">
        <v>17</v>
      </c>
      <c r="E222">
        <v>386188</v>
      </c>
      <c r="F222">
        <v>197685</v>
      </c>
      <c r="G222">
        <v>405604</v>
      </c>
      <c r="H222">
        <v>4.7</v>
      </c>
      <c r="I222">
        <v>5</v>
      </c>
      <c r="J222">
        <f t="shared" si="9"/>
        <v>188503</v>
      </c>
      <c r="K222" s="2">
        <f t="shared" si="10"/>
        <v>0.95213064959911642</v>
      </c>
      <c r="L222" s="2">
        <f t="shared" si="11"/>
        <v>0.48811200762323015</v>
      </c>
    </row>
    <row r="223" spans="1:12" x14ac:dyDescent="0.3">
      <c r="A223" s="1">
        <v>45885</v>
      </c>
      <c r="B223" t="s">
        <v>19</v>
      </c>
      <c r="C223" t="s">
        <v>10</v>
      </c>
      <c r="D223" t="s">
        <v>11</v>
      </c>
      <c r="E223">
        <v>166498</v>
      </c>
      <c r="F223">
        <v>63044</v>
      </c>
      <c r="G223">
        <v>147527</v>
      </c>
      <c r="H223">
        <v>4.3</v>
      </c>
      <c r="I223">
        <v>12</v>
      </c>
      <c r="J223">
        <f t="shared" si="9"/>
        <v>103454</v>
      </c>
      <c r="K223" s="2">
        <f t="shared" si="10"/>
        <v>1.1285934100198607</v>
      </c>
      <c r="L223" s="2">
        <f t="shared" si="11"/>
        <v>0.62135280904275125</v>
      </c>
    </row>
    <row r="224" spans="1:12" x14ac:dyDescent="0.3">
      <c r="A224" s="1">
        <v>45892</v>
      </c>
      <c r="B224" t="s">
        <v>19</v>
      </c>
      <c r="C224" t="s">
        <v>18</v>
      </c>
      <c r="D224" t="s">
        <v>14</v>
      </c>
      <c r="E224">
        <v>37723</v>
      </c>
      <c r="F224">
        <v>18829</v>
      </c>
      <c r="G224">
        <v>39935</v>
      </c>
      <c r="H224">
        <v>4.0999999999999996</v>
      </c>
      <c r="I224">
        <v>9</v>
      </c>
      <c r="J224">
        <f t="shared" si="9"/>
        <v>18894</v>
      </c>
      <c r="K224" s="2">
        <f t="shared" si="10"/>
        <v>0.94460999123575806</v>
      </c>
      <c r="L224" s="2">
        <f t="shared" si="11"/>
        <v>0.50086154335551258</v>
      </c>
    </row>
    <row r="225" spans="1:12" x14ac:dyDescent="0.3">
      <c r="A225" s="1">
        <v>45764</v>
      </c>
      <c r="B225" t="s">
        <v>19</v>
      </c>
      <c r="C225" t="s">
        <v>10</v>
      </c>
      <c r="D225" t="s">
        <v>14</v>
      </c>
      <c r="E225">
        <v>368690</v>
      </c>
      <c r="F225">
        <v>227702</v>
      </c>
      <c r="G225">
        <v>378319</v>
      </c>
      <c r="H225">
        <v>3.8</v>
      </c>
      <c r="I225">
        <v>11</v>
      </c>
      <c r="J225">
        <f t="shared" si="9"/>
        <v>140988</v>
      </c>
      <c r="K225" s="2">
        <f t="shared" si="10"/>
        <v>0.97454793441513643</v>
      </c>
      <c r="L225" s="2">
        <f t="shared" si="11"/>
        <v>0.38240256041661014</v>
      </c>
    </row>
    <row r="226" spans="1:12" x14ac:dyDescent="0.3">
      <c r="A226" s="1">
        <v>45294</v>
      </c>
      <c r="B226" t="s">
        <v>19</v>
      </c>
      <c r="C226" t="s">
        <v>16</v>
      </c>
      <c r="D226" t="s">
        <v>17</v>
      </c>
      <c r="E226">
        <v>250069</v>
      </c>
      <c r="F226">
        <v>153619</v>
      </c>
      <c r="G226">
        <v>238159</v>
      </c>
      <c r="H226">
        <v>4.0999999999999996</v>
      </c>
      <c r="I226">
        <v>11</v>
      </c>
      <c r="J226">
        <f t="shared" si="9"/>
        <v>96450</v>
      </c>
      <c r="K226" s="2">
        <f t="shared" si="10"/>
        <v>1.0500086076948594</v>
      </c>
      <c r="L226" s="2">
        <f t="shared" si="11"/>
        <v>0.38569354858059174</v>
      </c>
    </row>
    <row r="227" spans="1:12" x14ac:dyDescent="0.3">
      <c r="A227" s="1">
        <v>45595</v>
      </c>
      <c r="B227" t="s">
        <v>19</v>
      </c>
      <c r="C227" t="s">
        <v>18</v>
      </c>
      <c r="D227" t="s">
        <v>11</v>
      </c>
      <c r="E227">
        <v>345914</v>
      </c>
      <c r="F227">
        <v>160910</v>
      </c>
      <c r="G227">
        <v>371533</v>
      </c>
      <c r="H227">
        <v>4.5999999999999996</v>
      </c>
      <c r="I227">
        <v>15</v>
      </c>
      <c r="J227">
        <f t="shared" si="9"/>
        <v>185004</v>
      </c>
      <c r="K227" s="2">
        <f t="shared" si="10"/>
        <v>0.93104515615032846</v>
      </c>
      <c r="L227" s="2">
        <f t="shared" si="11"/>
        <v>0.5348265753915713</v>
      </c>
    </row>
    <row r="228" spans="1:12" x14ac:dyDescent="0.3">
      <c r="A228" s="1">
        <v>45718</v>
      </c>
      <c r="B228" t="s">
        <v>19</v>
      </c>
      <c r="C228" t="s">
        <v>10</v>
      </c>
      <c r="D228" t="s">
        <v>11</v>
      </c>
      <c r="E228">
        <v>336250</v>
      </c>
      <c r="F228">
        <v>115328</v>
      </c>
      <c r="G228">
        <v>293002</v>
      </c>
      <c r="H228">
        <v>4.9000000000000004</v>
      </c>
      <c r="I228">
        <v>6</v>
      </c>
      <c r="J228">
        <f t="shared" si="9"/>
        <v>220922</v>
      </c>
      <c r="K228" s="2">
        <f t="shared" si="10"/>
        <v>1.1476030880335288</v>
      </c>
      <c r="L228" s="2">
        <f t="shared" si="11"/>
        <v>0.65701710037174721</v>
      </c>
    </row>
    <row r="229" spans="1:12" x14ac:dyDescent="0.3">
      <c r="A229" s="1">
        <v>46006</v>
      </c>
      <c r="B229" t="s">
        <v>12</v>
      </c>
      <c r="C229" t="s">
        <v>18</v>
      </c>
      <c r="D229" t="s">
        <v>14</v>
      </c>
      <c r="E229">
        <v>307080</v>
      </c>
      <c r="F229">
        <v>169395</v>
      </c>
      <c r="G229">
        <v>276341</v>
      </c>
      <c r="H229">
        <v>4.4000000000000004</v>
      </c>
      <c r="I229">
        <v>5</v>
      </c>
      <c r="J229">
        <f t="shared" si="9"/>
        <v>137685</v>
      </c>
      <c r="K229" s="2">
        <f t="shared" si="10"/>
        <v>1.1112357558234212</v>
      </c>
      <c r="L229" s="2">
        <f t="shared" si="11"/>
        <v>0.44836850332160999</v>
      </c>
    </row>
    <row r="230" spans="1:12" x14ac:dyDescent="0.3">
      <c r="A230" s="1">
        <v>45664</v>
      </c>
      <c r="B230" t="s">
        <v>9</v>
      </c>
      <c r="C230" t="s">
        <v>16</v>
      </c>
      <c r="D230" t="s">
        <v>11</v>
      </c>
      <c r="E230">
        <v>183724</v>
      </c>
      <c r="F230">
        <v>86041</v>
      </c>
      <c r="G230">
        <v>188184</v>
      </c>
      <c r="H230">
        <v>3.6</v>
      </c>
      <c r="I230">
        <v>14</v>
      </c>
      <c r="J230">
        <f t="shared" si="9"/>
        <v>97683</v>
      </c>
      <c r="K230" s="2">
        <f t="shared" si="10"/>
        <v>0.97629979169323644</v>
      </c>
      <c r="L230" s="2">
        <f t="shared" si="11"/>
        <v>0.53168339465720316</v>
      </c>
    </row>
    <row r="231" spans="1:12" x14ac:dyDescent="0.3">
      <c r="A231" s="1">
        <v>45961</v>
      </c>
      <c r="B231" t="s">
        <v>15</v>
      </c>
      <c r="C231" t="s">
        <v>16</v>
      </c>
      <c r="D231" t="s">
        <v>14</v>
      </c>
      <c r="E231">
        <v>184668</v>
      </c>
      <c r="F231">
        <v>84809</v>
      </c>
      <c r="G231">
        <v>163794</v>
      </c>
      <c r="H231">
        <v>4.8</v>
      </c>
      <c r="I231">
        <v>8</v>
      </c>
      <c r="J231">
        <f t="shared" si="9"/>
        <v>99859</v>
      </c>
      <c r="K231" s="2">
        <f t="shared" si="10"/>
        <v>1.1274405655884832</v>
      </c>
      <c r="L231" s="2">
        <f t="shared" si="11"/>
        <v>0.54074880325773822</v>
      </c>
    </row>
    <row r="232" spans="1:12" x14ac:dyDescent="0.3">
      <c r="A232" s="1">
        <v>45330</v>
      </c>
      <c r="B232" t="s">
        <v>19</v>
      </c>
      <c r="C232" t="s">
        <v>18</v>
      </c>
      <c r="D232" t="s">
        <v>11</v>
      </c>
      <c r="E232">
        <v>492238</v>
      </c>
      <c r="F232">
        <v>185070</v>
      </c>
      <c r="G232">
        <v>445755</v>
      </c>
      <c r="H232">
        <v>4.9000000000000004</v>
      </c>
      <c r="I232">
        <v>7</v>
      </c>
      <c r="J232">
        <f t="shared" si="9"/>
        <v>307168</v>
      </c>
      <c r="K232" s="2">
        <f t="shared" si="10"/>
        <v>1.104279256542271</v>
      </c>
      <c r="L232" s="2">
        <f t="shared" si="11"/>
        <v>0.62402333830382861</v>
      </c>
    </row>
    <row r="233" spans="1:12" x14ac:dyDescent="0.3">
      <c r="A233" s="1">
        <v>45375</v>
      </c>
      <c r="B233" t="s">
        <v>9</v>
      </c>
      <c r="C233" t="s">
        <v>16</v>
      </c>
      <c r="D233" t="s">
        <v>11</v>
      </c>
      <c r="E233">
        <v>331333</v>
      </c>
      <c r="F233">
        <v>161672</v>
      </c>
      <c r="G233">
        <v>333967</v>
      </c>
      <c r="H233">
        <v>3.7</v>
      </c>
      <c r="I233">
        <v>0</v>
      </c>
      <c r="J233">
        <f t="shared" si="9"/>
        <v>169661</v>
      </c>
      <c r="K233" s="2">
        <f t="shared" si="10"/>
        <v>0.99211299319992696</v>
      </c>
      <c r="L233" s="2">
        <f t="shared" si="11"/>
        <v>0.51205584713867924</v>
      </c>
    </row>
    <row r="234" spans="1:12" x14ac:dyDescent="0.3">
      <c r="A234" s="1">
        <v>45432</v>
      </c>
      <c r="B234" t="s">
        <v>12</v>
      </c>
      <c r="C234" t="s">
        <v>16</v>
      </c>
      <c r="D234" t="s">
        <v>17</v>
      </c>
      <c r="E234">
        <v>175140</v>
      </c>
      <c r="F234">
        <v>75649</v>
      </c>
      <c r="G234">
        <v>190573</v>
      </c>
      <c r="H234">
        <v>4.5</v>
      </c>
      <c r="I234">
        <v>5</v>
      </c>
      <c r="J234">
        <f t="shared" si="9"/>
        <v>99491</v>
      </c>
      <c r="K234" s="2">
        <f t="shared" si="10"/>
        <v>0.91901790914767567</v>
      </c>
      <c r="L234" s="2">
        <f t="shared" si="11"/>
        <v>0.56806554756195049</v>
      </c>
    </row>
    <row r="235" spans="1:12" x14ac:dyDescent="0.3">
      <c r="A235" s="1">
        <v>45669</v>
      </c>
      <c r="B235" t="s">
        <v>19</v>
      </c>
      <c r="C235" t="s">
        <v>10</v>
      </c>
      <c r="D235" t="s">
        <v>17</v>
      </c>
      <c r="E235">
        <v>212903</v>
      </c>
      <c r="F235">
        <v>98575</v>
      </c>
      <c r="G235">
        <v>197295</v>
      </c>
      <c r="H235">
        <v>4</v>
      </c>
      <c r="I235">
        <v>15</v>
      </c>
      <c r="J235">
        <f t="shared" si="9"/>
        <v>114328</v>
      </c>
      <c r="K235" s="2">
        <f t="shared" si="10"/>
        <v>1.0791099622392863</v>
      </c>
      <c r="L235" s="2">
        <f t="shared" si="11"/>
        <v>0.53699572105606774</v>
      </c>
    </row>
    <row r="236" spans="1:12" x14ac:dyDescent="0.3">
      <c r="A236" s="1">
        <v>45955</v>
      </c>
      <c r="B236" t="s">
        <v>12</v>
      </c>
      <c r="C236" t="s">
        <v>13</v>
      </c>
      <c r="D236" t="s">
        <v>11</v>
      </c>
      <c r="E236">
        <v>308185</v>
      </c>
      <c r="F236">
        <v>181009</v>
      </c>
      <c r="G236">
        <v>319636</v>
      </c>
      <c r="H236">
        <v>4.2</v>
      </c>
      <c r="I236">
        <v>8</v>
      </c>
      <c r="J236">
        <f t="shared" si="9"/>
        <v>127176</v>
      </c>
      <c r="K236" s="2">
        <f t="shared" si="10"/>
        <v>0.96417487391908296</v>
      </c>
      <c r="L236" s="2">
        <f t="shared" si="11"/>
        <v>0.41266122621152879</v>
      </c>
    </row>
    <row r="237" spans="1:12" x14ac:dyDescent="0.3">
      <c r="A237" s="1">
        <v>45533</v>
      </c>
      <c r="B237" t="s">
        <v>19</v>
      </c>
      <c r="C237" t="s">
        <v>18</v>
      </c>
      <c r="D237" t="s">
        <v>14</v>
      </c>
      <c r="E237">
        <v>256242</v>
      </c>
      <c r="F237">
        <v>93057</v>
      </c>
      <c r="G237">
        <v>234467</v>
      </c>
      <c r="H237">
        <v>3.6</v>
      </c>
      <c r="I237">
        <v>11</v>
      </c>
      <c r="J237">
        <f t="shared" si="9"/>
        <v>163185</v>
      </c>
      <c r="K237" s="2">
        <f t="shared" si="10"/>
        <v>1.092870212012778</v>
      </c>
      <c r="L237" s="2">
        <f t="shared" si="11"/>
        <v>0.63683939401034961</v>
      </c>
    </row>
    <row r="238" spans="1:12" x14ac:dyDescent="0.3">
      <c r="A238" s="1">
        <v>45723</v>
      </c>
      <c r="B238" t="s">
        <v>19</v>
      </c>
      <c r="C238" t="s">
        <v>18</v>
      </c>
      <c r="D238" t="s">
        <v>11</v>
      </c>
      <c r="E238">
        <v>174827</v>
      </c>
      <c r="F238">
        <v>78320</v>
      </c>
      <c r="G238">
        <v>160768</v>
      </c>
      <c r="H238">
        <v>4.0999999999999996</v>
      </c>
      <c r="I238">
        <v>6</v>
      </c>
      <c r="J238">
        <f t="shared" si="9"/>
        <v>96507</v>
      </c>
      <c r="K238" s="2">
        <f t="shared" si="10"/>
        <v>1.0874489948248407</v>
      </c>
      <c r="L238" s="2">
        <f t="shared" si="11"/>
        <v>0.5520142769709484</v>
      </c>
    </row>
    <row r="239" spans="1:12" x14ac:dyDescent="0.3">
      <c r="A239" s="1">
        <v>45800</v>
      </c>
      <c r="B239" t="s">
        <v>19</v>
      </c>
      <c r="C239" t="s">
        <v>16</v>
      </c>
      <c r="D239" t="s">
        <v>14</v>
      </c>
      <c r="E239">
        <v>27727</v>
      </c>
      <c r="F239">
        <v>11780</v>
      </c>
      <c r="G239">
        <v>29189</v>
      </c>
      <c r="H239">
        <v>4.2</v>
      </c>
      <c r="I239">
        <v>2</v>
      </c>
      <c r="J239">
        <f t="shared" si="9"/>
        <v>15947</v>
      </c>
      <c r="K239" s="2">
        <f t="shared" si="10"/>
        <v>0.94991263832265582</v>
      </c>
      <c r="L239" s="2">
        <f t="shared" si="11"/>
        <v>0.57514336206585637</v>
      </c>
    </row>
    <row r="240" spans="1:12" x14ac:dyDescent="0.3">
      <c r="A240" s="1">
        <v>45928</v>
      </c>
      <c r="B240" t="s">
        <v>12</v>
      </c>
      <c r="C240" t="s">
        <v>10</v>
      </c>
      <c r="D240" t="s">
        <v>14</v>
      </c>
      <c r="E240">
        <v>327898</v>
      </c>
      <c r="F240">
        <v>167120</v>
      </c>
      <c r="G240">
        <v>359249</v>
      </c>
      <c r="H240">
        <v>4.4000000000000004</v>
      </c>
      <c r="I240">
        <v>6</v>
      </c>
      <c r="J240">
        <f t="shared" si="9"/>
        <v>160778</v>
      </c>
      <c r="K240" s="2">
        <f t="shared" si="10"/>
        <v>0.91273183780608991</v>
      </c>
      <c r="L240" s="2">
        <f t="shared" si="11"/>
        <v>0.4903293097243655</v>
      </c>
    </row>
    <row r="241" spans="1:12" x14ac:dyDescent="0.3">
      <c r="A241" s="1">
        <v>45393</v>
      </c>
      <c r="B241" t="s">
        <v>15</v>
      </c>
      <c r="C241" t="s">
        <v>13</v>
      </c>
      <c r="D241" t="s">
        <v>11</v>
      </c>
      <c r="E241">
        <v>180604</v>
      </c>
      <c r="F241">
        <v>75928</v>
      </c>
      <c r="G241">
        <v>185791</v>
      </c>
      <c r="H241">
        <v>4.0999999999999996</v>
      </c>
      <c r="I241">
        <v>7</v>
      </c>
      <c r="J241">
        <f t="shared" si="9"/>
        <v>104676</v>
      </c>
      <c r="K241" s="2">
        <f t="shared" si="10"/>
        <v>0.97208153247466234</v>
      </c>
      <c r="L241" s="2">
        <f t="shared" si="11"/>
        <v>0.57958849194923701</v>
      </c>
    </row>
    <row r="242" spans="1:12" x14ac:dyDescent="0.3">
      <c r="A242" s="1">
        <v>45644</v>
      </c>
      <c r="B242" t="s">
        <v>12</v>
      </c>
      <c r="C242" t="s">
        <v>16</v>
      </c>
      <c r="D242" t="s">
        <v>14</v>
      </c>
      <c r="E242">
        <v>477684</v>
      </c>
      <c r="F242">
        <v>226076</v>
      </c>
      <c r="G242">
        <v>525241</v>
      </c>
      <c r="H242">
        <v>4.5</v>
      </c>
      <c r="I242">
        <v>3</v>
      </c>
      <c r="J242">
        <f t="shared" si="9"/>
        <v>251608</v>
      </c>
      <c r="K242" s="2">
        <f t="shared" si="10"/>
        <v>0.90945680173482268</v>
      </c>
      <c r="L242" s="2">
        <f t="shared" si="11"/>
        <v>0.52672478039875736</v>
      </c>
    </row>
    <row r="243" spans="1:12" x14ac:dyDescent="0.3">
      <c r="A243" s="1">
        <v>45719</v>
      </c>
      <c r="B243" t="s">
        <v>12</v>
      </c>
      <c r="C243" t="s">
        <v>13</v>
      </c>
      <c r="D243" t="s">
        <v>14</v>
      </c>
      <c r="E243">
        <v>135703</v>
      </c>
      <c r="F243">
        <v>58644</v>
      </c>
      <c r="G243">
        <v>143036</v>
      </c>
      <c r="H243">
        <v>3.8</v>
      </c>
      <c r="I243">
        <v>5</v>
      </c>
      <c r="J243">
        <f t="shared" si="9"/>
        <v>77059</v>
      </c>
      <c r="K243" s="2">
        <f t="shared" si="10"/>
        <v>0.94873318605106405</v>
      </c>
      <c r="L243" s="2">
        <f t="shared" si="11"/>
        <v>0.56785037913679137</v>
      </c>
    </row>
    <row r="244" spans="1:12" x14ac:dyDescent="0.3">
      <c r="A244" s="1">
        <v>45349</v>
      </c>
      <c r="B244" t="s">
        <v>12</v>
      </c>
      <c r="C244" t="s">
        <v>16</v>
      </c>
      <c r="D244" t="s">
        <v>17</v>
      </c>
      <c r="E244">
        <v>408465</v>
      </c>
      <c r="F244">
        <v>203602</v>
      </c>
      <c r="G244">
        <v>391670</v>
      </c>
      <c r="H244">
        <v>5</v>
      </c>
      <c r="I244">
        <v>6</v>
      </c>
      <c r="J244">
        <f t="shared" si="9"/>
        <v>204863</v>
      </c>
      <c r="K244" s="2">
        <f t="shared" si="10"/>
        <v>1.0428804861235224</v>
      </c>
      <c r="L244" s="2">
        <f t="shared" si="11"/>
        <v>0.50154358390559783</v>
      </c>
    </row>
    <row r="245" spans="1:12" x14ac:dyDescent="0.3">
      <c r="A245" s="1">
        <v>45762</v>
      </c>
      <c r="B245" t="s">
        <v>15</v>
      </c>
      <c r="C245" t="s">
        <v>13</v>
      </c>
      <c r="D245" t="s">
        <v>17</v>
      </c>
      <c r="E245">
        <v>185915</v>
      </c>
      <c r="F245">
        <v>103258</v>
      </c>
      <c r="G245">
        <v>196512</v>
      </c>
      <c r="H245">
        <v>3.8</v>
      </c>
      <c r="I245">
        <v>4</v>
      </c>
      <c r="J245">
        <f t="shared" si="9"/>
        <v>82657</v>
      </c>
      <c r="K245" s="2">
        <f t="shared" si="10"/>
        <v>0.94607453997720237</v>
      </c>
      <c r="L245" s="2">
        <f t="shared" si="11"/>
        <v>0.44459564854906813</v>
      </c>
    </row>
    <row r="246" spans="1:12" x14ac:dyDescent="0.3">
      <c r="A246" s="1">
        <v>45499</v>
      </c>
      <c r="B246" t="s">
        <v>15</v>
      </c>
      <c r="C246" t="s">
        <v>16</v>
      </c>
      <c r="D246" t="s">
        <v>17</v>
      </c>
      <c r="E246">
        <v>240008</v>
      </c>
      <c r="F246">
        <v>124258</v>
      </c>
      <c r="G246">
        <v>251882</v>
      </c>
      <c r="H246">
        <v>4.7</v>
      </c>
      <c r="I246">
        <v>11</v>
      </c>
      <c r="J246">
        <f t="shared" si="9"/>
        <v>115750</v>
      </c>
      <c r="K246" s="2">
        <f t="shared" si="10"/>
        <v>0.95285887836367822</v>
      </c>
      <c r="L246" s="2">
        <f t="shared" si="11"/>
        <v>0.48227559081363952</v>
      </c>
    </row>
    <row r="247" spans="1:12" x14ac:dyDescent="0.3">
      <c r="A247" s="1">
        <v>45947</v>
      </c>
      <c r="B247" t="s">
        <v>15</v>
      </c>
      <c r="C247" t="s">
        <v>10</v>
      </c>
      <c r="D247" t="s">
        <v>11</v>
      </c>
      <c r="E247">
        <v>112747</v>
      </c>
      <c r="F247">
        <v>35205</v>
      </c>
      <c r="G247">
        <v>127189</v>
      </c>
      <c r="H247">
        <v>4.3</v>
      </c>
      <c r="I247">
        <v>5</v>
      </c>
      <c r="J247">
        <f t="shared" si="9"/>
        <v>77542</v>
      </c>
      <c r="K247" s="2">
        <f t="shared" si="10"/>
        <v>0.886452444786892</v>
      </c>
      <c r="L247" s="2">
        <f t="shared" si="11"/>
        <v>0.68775222400596026</v>
      </c>
    </row>
    <row r="248" spans="1:12" x14ac:dyDescent="0.3">
      <c r="A248" s="1">
        <v>45924</v>
      </c>
      <c r="B248" t="s">
        <v>15</v>
      </c>
      <c r="C248" t="s">
        <v>10</v>
      </c>
      <c r="D248" t="s">
        <v>17</v>
      </c>
      <c r="E248">
        <v>393381</v>
      </c>
      <c r="F248">
        <v>138703</v>
      </c>
      <c r="G248">
        <v>406183</v>
      </c>
      <c r="H248">
        <v>4.3</v>
      </c>
      <c r="I248">
        <v>6</v>
      </c>
      <c r="J248">
        <f t="shared" si="9"/>
        <v>254678</v>
      </c>
      <c r="K248" s="2">
        <f t="shared" si="10"/>
        <v>0.96848218660062091</v>
      </c>
      <c r="L248" s="2">
        <f t="shared" si="11"/>
        <v>0.64740798360876606</v>
      </c>
    </row>
    <row r="249" spans="1:12" x14ac:dyDescent="0.3">
      <c r="A249" s="1">
        <v>45791</v>
      </c>
      <c r="B249" t="s">
        <v>15</v>
      </c>
      <c r="C249" t="s">
        <v>10</v>
      </c>
      <c r="D249" t="s">
        <v>17</v>
      </c>
      <c r="E249">
        <v>419379</v>
      </c>
      <c r="F249">
        <v>209478</v>
      </c>
      <c r="G249">
        <v>404395</v>
      </c>
      <c r="H249">
        <v>4</v>
      </c>
      <c r="I249">
        <v>1</v>
      </c>
      <c r="J249">
        <f t="shared" si="9"/>
        <v>209901</v>
      </c>
      <c r="K249" s="2">
        <f t="shared" si="10"/>
        <v>1.0370528814649043</v>
      </c>
      <c r="L249" s="2">
        <f t="shared" si="11"/>
        <v>0.5005043170974226</v>
      </c>
    </row>
    <row r="250" spans="1:12" x14ac:dyDescent="0.3">
      <c r="A250" s="1">
        <v>45740</v>
      </c>
      <c r="B250" t="s">
        <v>12</v>
      </c>
      <c r="C250" t="s">
        <v>18</v>
      </c>
      <c r="D250" t="s">
        <v>17</v>
      </c>
      <c r="E250">
        <v>263334</v>
      </c>
      <c r="F250">
        <v>115293</v>
      </c>
      <c r="G250">
        <v>264572</v>
      </c>
      <c r="H250">
        <v>4.9000000000000004</v>
      </c>
      <c r="I250">
        <v>9</v>
      </c>
      <c r="J250">
        <f t="shared" si="9"/>
        <v>148041</v>
      </c>
      <c r="K250" s="2">
        <f t="shared" si="10"/>
        <v>0.99532074444763619</v>
      </c>
      <c r="L250" s="2">
        <f t="shared" si="11"/>
        <v>0.56217958941876101</v>
      </c>
    </row>
    <row r="251" spans="1:12" x14ac:dyDescent="0.3">
      <c r="A251" s="1">
        <v>45434</v>
      </c>
      <c r="B251" t="s">
        <v>15</v>
      </c>
      <c r="C251" t="s">
        <v>13</v>
      </c>
      <c r="D251" t="s">
        <v>14</v>
      </c>
      <c r="E251">
        <v>231427</v>
      </c>
      <c r="F251">
        <v>117760</v>
      </c>
      <c r="G251">
        <v>234185</v>
      </c>
      <c r="H251">
        <v>4.4000000000000004</v>
      </c>
      <c r="I251">
        <v>14</v>
      </c>
      <c r="J251">
        <f t="shared" si="9"/>
        <v>113667</v>
      </c>
      <c r="K251" s="2">
        <f t="shared" si="10"/>
        <v>0.98822298610073234</v>
      </c>
      <c r="L251" s="2">
        <f t="shared" si="11"/>
        <v>0.49115703872063327</v>
      </c>
    </row>
    <row r="252" spans="1:12" x14ac:dyDescent="0.3">
      <c r="A252" s="1">
        <v>45449</v>
      </c>
      <c r="B252" t="s">
        <v>9</v>
      </c>
      <c r="C252" t="s">
        <v>16</v>
      </c>
      <c r="D252" t="s">
        <v>17</v>
      </c>
      <c r="E252">
        <v>476381</v>
      </c>
      <c r="F252">
        <v>270401</v>
      </c>
      <c r="G252">
        <v>435219</v>
      </c>
      <c r="H252">
        <v>4.7</v>
      </c>
      <c r="I252">
        <v>5</v>
      </c>
      <c r="J252">
        <f t="shared" si="9"/>
        <v>205980</v>
      </c>
      <c r="K252" s="2">
        <f t="shared" si="10"/>
        <v>1.0945776723902219</v>
      </c>
      <c r="L252" s="2">
        <f t="shared" si="11"/>
        <v>0.43238500276039554</v>
      </c>
    </row>
    <row r="253" spans="1:12" x14ac:dyDescent="0.3">
      <c r="A253" s="1">
        <v>45690</v>
      </c>
      <c r="B253" t="s">
        <v>19</v>
      </c>
      <c r="C253" t="s">
        <v>18</v>
      </c>
      <c r="D253" t="s">
        <v>17</v>
      </c>
      <c r="E253">
        <v>459370</v>
      </c>
      <c r="F253">
        <v>245724</v>
      </c>
      <c r="G253">
        <v>522394</v>
      </c>
      <c r="H253">
        <v>4.4000000000000004</v>
      </c>
      <c r="I253">
        <v>1</v>
      </c>
      <c r="J253">
        <f t="shared" si="9"/>
        <v>213646</v>
      </c>
      <c r="K253" s="2">
        <f t="shared" si="10"/>
        <v>0.87935542904397834</v>
      </c>
      <c r="L253" s="2">
        <f t="shared" si="11"/>
        <v>0.46508479003853104</v>
      </c>
    </row>
    <row r="254" spans="1:12" x14ac:dyDescent="0.3">
      <c r="A254" s="1">
        <v>45557</v>
      </c>
      <c r="B254" t="s">
        <v>19</v>
      </c>
      <c r="C254" t="s">
        <v>16</v>
      </c>
      <c r="D254" t="s">
        <v>14</v>
      </c>
      <c r="E254">
        <v>466956</v>
      </c>
      <c r="F254">
        <v>240894</v>
      </c>
      <c r="G254">
        <v>481857</v>
      </c>
      <c r="H254">
        <v>3.7</v>
      </c>
      <c r="I254">
        <v>5</v>
      </c>
      <c r="J254">
        <f t="shared" si="9"/>
        <v>226062</v>
      </c>
      <c r="K254" s="2">
        <f t="shared" si="10"/>
        <v>0.96907588765961683</v>
      </c>
      <c r="L254" s="2">
        <f t="shared" si="11"/>
        <v>0.48411841800940558</v>
      </c>
    </row>
    <row r="255" spans="1:12" x14ac:dyDescent="0.3">
      <c r="A255" s="1">
        <v>45627</v>
      </c>
      <c r="B255" t="s">
        <v>15</v>
      </c>
      <c r="C255" t="s">
        <v>16</v>
      </c>
      <c r="D255" t="s">
        <v>14</v>
      </c>
      <c r="E255">
        <v>148918</v>
      </c>
      <c r="F255">
        <v>54867</v>
      </c>
      <c r="G255">
        <v>156347</v>
      </c>
      <c r="H255">
        <v>3.7</v>
      </c>
      <c r="I255">
        <v>8</v>
      </c>
      <c r="J255">
        <f t="shared" si="9"/>
        <v>94051</v>
      </c>
      <c r="K255" s="2">
        <f t="shared" si="10"/>
        <v>0.95248389799612398</v>
      </c>
      <c r="L255" s="2">
        <f t="shared" si="11"/>
        <v>0.63156233631931669</v>
      </c>
    </row>
    <row r="256" spans="1:12" x14ac:dyDescent="0.3">
      <c r="A256" s="1">
        <v>45828</v>
      </c>
      <c r="B256" t="s">
        <v>12</v>
      </c>
      <c r="C256" t="s">
        <v>13</v>
      </c>
      <c r="D256" t="s">
        <v>14</v>
      </c>
      <c r="E256">
        <v>401099</v>
      </c>
      <c r="F256">
        <v>133266</v>
      </c>
      <c r="G256">
        <v>392976</v>
      </c>
      <c r="H256">
        <v>4</v>
      </c>
      <c r="I256">
        <v>11</v>
      </c>
      <c r="J256">
        <f t="shared" si="9"/>
        <v>267833</v>
      </c>
      <c r="K256" s="2">
        <f t="shared" si="10"/>
        <v>1.0206704735149221</v>
      </c>
      <c r="L256" s="2">
        <f t="shared" si="11"/>
        <v>0.66774786274710229</v>
      </c>
    </row>
    <row r="257" spans="1:12" x14ac:dyDescent="0.3">
      <c r="A257" s="1">
        <v>45823</v>
      </c>
      <c r="B257" t="s">
        <v>15</v>
      </c>
      <c r="C257" t="s">
        <v>10</v>
      </c>
      <c r="D257" t="s">
        <v>11</v>
      </c>
      <c r="E257">
        <v>486269</v>
      </c>
      <c r="F257">
        <v>197882</v>
      </c>
      <c r="G257">
        <v>435506</v>
      </c>
      <c r="H257">
        <v>3.6</v>
      </c>
      <c r="I257">
        <v>1</v>
      </c>
      <c r="J257">
        <f t="shared" si="9"/>
        <v>288387</v>
      </c>
      <c r="K257" s="2">
        <f t="shared" si="10"/>
        <v>1.1165609658649938</v>
      </c>
      <c r="L257" s="2">
        <f t="shared" si="11"/>
        <v>0.59306063104989215</v>
      </c>
    </row>
    <row r="258" spans="1:12" x14ac:dyDescent="0.3">
      <c r="A258" s="1">
        <v>45758</v>
      </c>
      <c r="B258" t="s">
        <v>15</v>
      </c>
      <c r="C258" t="s">
        <v>16</v>
      </c>
      <c r="D258" t="s">
        <v>14</v>
      </c>
      <c r="E258">
        <v>260497</v>
      </c>
      <c r="F258">
        <v>152303</v>
      </c>
      <c r="G258">
        <v>275738</v>
      </c>
      <c r="H258">
        <v>5</v>
      </c>
      <c r="I258">
        <v>1</v>
      </c>
      <c r="J258">
        <f t="shared" si="9"/>
        <v>108194</v>
      </c>
      <c r="K258" s="2">
        <f t="shared" si="10"/>
        <v>0.94472651575045874</v>
      </c>
      <c r="L258" s="2">
        <f t="shared" si="11"/>
        <v>0.41533683689255541</v>
      </c>
    </row>
    <row r="259" spans="1:12" x14ac:dyDescent="0.3">
      <c r="A259" s="1">
        <v>45374</v>
      </c>
      <c r="B259" t="s">
        <v>19</v>
      </c>
      <c r="C259" t="s">
        <v>18</v>
      </c>
      <c r="D259" t="s">
        <v>14</v>
      </c>
      <c r="E259">
        <v>212056</v>
      </c>
      <c r="F259">
        <v>112605</v>
      </c>
      <c r="G259">
        <v>186675</v>
      </c>
      <c r="H259">
        <v>4.5</v>
      </c>
      <c r="I259">
        <v>11</v>
      </c>
      <c r="J259">
        <f t="shared" ref="J259:J322" si="12">E259-F259</f>
        <v>99451</v>
      </c>
      <c r="K259" s="2">
        <f t="shared" ref="K259:K322" si="13">E259/G259</f>
        <v>1.1359635730547744</v>
      </c>
      <c r="L259" s="2">
        <f t="shared" ref="L259:L322" si="14">J259/E259</f>
        <v>0.46898460783943863</v>
      </c>
    </row>
    <row r="260" spans="1:12" x14ac:dyDescent="0.3">
      <c r="A260" s="1">
        <v>45900</v>
      </c>
      <c r="B260" t="s">
        <v>9</v>
      </c>
      <c r="C260" t="s">
        <v>13</v>
      </c>
      <c r="D260" t="s">
        <v>11</v>
      </c>
      <c r="E260">
        <v>64823</v>
      </c>
      <c r="F260">
        <v>34369</v>
      </c>
      <c r="G260">
        <v>59393</v>
      </c>
      <c r="H260">
        <v>3.8</v>
      </c>
      <c r="I260">
        <v>0</v>
      </c>
      <c r="J260">
        <f t="shared" si="12"/>
        <v>30454</v>
      </c>
      <c r="K260" s="2">
        <f t="shared" si="13"/>
        <v>1.09142491539407</v>
      </c>
      <c r="L260" s="2">
        <f t="shared" si="14"/>
        <v>0.469802384955957</v>
      </c>
    </row>
    <row r="261" spans="1:12" x14ac:dyDescent="0.3">
      <c r="A261" s="1">
        <v>45711</v>
      </c>
      <c r="B261" t="s">
        <v>9</v>
      </c>
      <c r="C261" t="s">
        <v>16</v>
      </c>
      <c r="D261" t="s">
        <v>11</v>
      </c>
      <c r="E261">
        <v>329153</v>
      </c>
      <c r="F261">
        <v>128492</v>
      </c>
      <c r="G261">
        <v>319752</v>
      </c>
      <c r="H261">
        <v>4.5</v>
      </c>
      <c r="I261">
        <v>14</v>
      </c>
      <c r="J261">
        <f t="shared" si="12"/>
        <v>200661</v>
      </c>
      <c r="K261" s="2">
        <f t="shared" si="13"/>
        <v>1.0294009107057971</v>
      </c>
      <c r="L261" s="2">
        <f t="shared" si="14"/>
        <v>0.60962834912639408</v>
      </c>
    </row>
    <row r="262" spans="1:12" x14ac:dyDescent="0.3">
      <c r="A262" s="1">
        <v>45774</v>
      </c>
      <c r="B262" t="s">
        <v>12</v>
      </c>
      <c r="C262" t="s">
        <v>18</v>
      </c>
      <c r="D262" t="s">
        <v>17</v>
      </c>
      <c r="E262">
        <v>109853</v>
      </c>
      <c r="F262">
        <v>43053</v>
      </c>
      <c r="G262">
        <v>118728</v>
      </c>
      <c r="H262">
        <v>3.5</v>
      </c>
      <c r="I262">
        <v>6</v>
      </c>
      <c r="J262">
        <f t="shared" si="12"/>
        <v>66800</v>
      </c>
      <c r="K262" s="2">
        <f t="shared" si="13"/>
        <v>0.92524930934573146</v>
      </c>
      <c r="L262" s="2">
        <f t="shared" si="14"/>
        <v>0.60808535042283784</v>
      </c>
    </row>
    <row r="263" spans="1:12" x14ac:dyDescent="0.3">
      <c r="A263" s="1">
        <v>45677</v>
      </c>
      <c r="B263" t="s">
        <v>15</v>
      </c>
      <c r="C263" t="s">
        <v>18</v>
      </c>
      <c r="D263" t="s">
        <v>14</v>
      </c>
      <c r="E263">
        <v>126981</v>
      </c>
      <c r="F263">
        <v>48241</v>
      </c>
      <c r="G263">
        <v>113156</v>
      </c>
      <c r="H263">
        <v>4.3</v>
      </c>
      <c r="I263">
        <v>4</v>
      </c>
      <c r="J263">
        <f t="shared" si="12"/>
        <v>78740</v>
      </c>
      <c r="K263" s="2">
        <f t="shared" si="13"/>
        <v>1.1221764643501007</v>
      </c>
      <c r="L263" s="2">
        <f t="shared" si="14"/>
        <v>0.62009276978445593</v>
      </c>
    </row>
    <row r="264" spans="1:12" x14ac:dyDescent="0.3">
      <c r="A264" s="1">
        <v>45356</v>
      </c>
      <c r="B264" t="s">
        <v>19</v>
      </c>
      <c r="C264" t="s">
        <v>10</v>
      </c>
      <c r="D264" t="s">
        <v>17</v>
      </c>
      <c r="E264">
        <v>493569</v>
      </c>
      <c r="F264">
        <v>163488</v>
      </c>
      <c r="G264">
        <v>538217</v>
      </c>
      <c r="H264">
        <v>4.9000000000000004</v>
      </c>
      <c r="I264">
        <v>12</v>
      </c>
      <c r="J264">
        <f t="shared" si="12"/>
        <v>330081</v>
      </c>
      <c r="K264" s="2">
        <f t="shared" si="13"/>
        <v>0.91704461211741728</v>
      </c>
      <c r="L264" s="2">
        <f t="shared" si="14"/>
        <v>0.66876363791080884</v>
      </c>
    </row>
    <row r="265" spans="1:12" x14ac:dyDescent="0.3">
      <c r="A265" s="1">
        <v>45455</v>
      </c>
      <c r="B265" t="s">
        <v>19</v>
      </c>
      <c r="C265" t="s">
        <v>18</v>
      </c>
      <c r="D265" t="s">
        <v>14</v>
      </c>
      <c r="E265">
        <v>473547</v>
      </c>
      <c r="F265">
        <v>229048</v>
      </c>
      <c r="G265">
        <v>522467</v>
      </c>
      <c r="H265">
        <v>3.6</v>
      </c>
      <c r="I265">
        <v>10</v>
      </c>
      <c r="J265">
        <f t="shared" si="12"/>
        <v>244499</v>
      </c>
      <c r="K265" s="2">
        <f t="shared" si="13"/>
        <v>0.90636729209691713</v>
      </c>
      <c r="L265" s="2">
        <f t="shared" si="14"/>
        <v>0.5163141145440685</v>
      </c>
    </row>
    <row r="266" spans="1:12" x14ac:dyDescent="0.3">
      <c r="A266" s="1">
        <v>45801</v>
      </c>
      <c r="B266" t="s">
        <v>9</v>
      </c>
      <c r="C266" t="s">
        <v>16</v>
      </c>
      <c r="D266" t="s">
        <v>17</v>
      </c>
      <c r="E266">
        <v>293367</v>
      </c>
      <c r="F266">
        <v>144111</v>
      </c>
      <c r="G266">
        <v>284079</v>
      </c>
      <c r="H266">
        <v>4.2</v>
      </c>
      <c r="I266">
        <v>2</v>
      </c>
      <c r="J266">
        <f t="shared" si="12"/>
        <v>149256</v>
      </c>
      <c r="K266" s="2">
        <f t="shared" si="13"/>
        <v>1.0326951305798739</v>
      </c>
      <c r="L266" s="2">
        <f t="shared" si="14"/>
        <v>0.50876887993537101</v>
      </c>
    </row>
    <row r="267" spans="1:12" x14ac:dyDescent="0.3">
      <c r="A267" s="1">
        <v>45312</v>
      </c>
      <c r="B267" t="s">
        <v>15</v>
      </c>
      <c r="C267" t="s">
        <v>10</v>
      </c>
      <c r="D267" t="s">
        <v>14</v>
      </c>
      <c r="E267">
        <v>63352</v>
      </c>
      <c r="F267">
        <v>32903</v>
      </c>
      <c r="G267">
        <v>66927</v>
      </c>
      <c r="H267">
        <v>4.2</v>
      </c>
      <c r="I267">
        <v>7</v>
      </c>
      <c r="J267">
        <f t="shared" si="12"/>
        <v>30449</v>
      </c>
      <c r="K267" s="2">
        <f t="shared" si="13"/>
        <v>0.94658359107684487</v>
      </c>
      <c r="L267" s="2">
        <f t="shared" si="14"/>
        <v>0.48063202424548557</v>
      </c>
    </row>
    <row r="268" spans="1:12" x14ac:dyDescent="0.3">
      <c r="A268" s="1">
        <v>45320</v>
      </c>
      <c r="B268" t="s">
        <v>19</v>
      </c>
      <c r="C268" t="s">
        <v>16</v>
      </c>
      <c r="D268" t="s">
        <v>17</v>
      </c>
      <c r="E268">
        <v>423497</v>
      </c>
      <c r="F268">
        <v>152235</v>
      </c>
      <c r="G268">
        <v>418602</v>
      </c>
      <c r="H268">
        <v>4.5</v>
      </c>
      <c r="I268">
        <v>15</v>
      </c>
      <c r="J268">
        <f t="shared" si="12"/>
        <v>271262</v>
      </c>
      <c r="K268" s="2">
        <f t="shared" si="13"/>
        <v>1.0116936851711171</v>
      </c>
      <c r="L268" s="2">
        <f t="shared" si="14"/>
        <v>0.64052874046333264</v>
      </c>
    </row>
    <row r="269" spans="1:12" x14ac:dyDescent="0.3">
      <c r="A269" s="1">
        <v>46017</v>
      </c>
      <c r="B269" t="s">
        <v>9</v>
      </c>
      <c r="C269" t="s">
        <v>10</v>
      </c>
      <c r="D269" t="s">
        <v>11</v>
      </c>
      <c r="E269">
        <v>572198</v>
      </c>
      <c r="F269">
        <v>278554</v>
      </c>
      <c r="G269">
        <v>637850</v>
      </c>
      <c r="H269">
        <v>3.7</v>
      </c>
      <c r="I269">
        <v>11</v>
      </c>
      <c r="J269">
        <f t="shared" si="12"/>
        <v>293644</v>
      </c>
      <c r="K269" s="2">
        <f t="shared" si="13"/>
        <v>0.89707297954064436</v>
      </c>
      <c r="L269" s="2">
        <f t="shared" si="14"/>
        <v>0.51318599505765483</v>
      </c>
    </row>
    <row r="270" spans="1:12" x14ac:dyDescent="0.3">
      <c r="A270" s="1">
        <v>45740</v>
      </c>
      <c r="B270" t="s">
        <v>12</v>
      </c>
      <c r="C270" t="s">
        <v>10</v>
      </c>
      <c r="D270" t="s">
        <v>14</v>
      </c>
      <c r="E270">
        <v>259031</v>
      </c>
      <c r="F270">
        <v>101575</v>
      </c>
      <c r="G270">
        <v>271389</v>
      </c>
      <c r="H270">
        <v>4.7</v>
      </c>
      <c r="I270">
        <v>8</v>
      </c>
      <c r="J270">
        <f t="shared" si="12"/>
        <v>157456</v>
      </c>
      <c r="K270" s="2">
        <f t="shared" si="13"/>
        <v>0.95446388762993339</v>
      </c>
      <c r="L270" s="2">
        <f t="shared" si="14"/>
        <v>0.60786546783975659</v>
      </c>
    </row>
    <row r="271" spans="1:12" x14ac:dyDescent="0.3">
      <c r="A271" s="1">
        <v>45774</v>
      </c>
      <c r="B271" t="s">
        <v>9</v>
      </c>
      <c r="C271" t="s">
        <v>10</v>
      </c>
      <c r="D271" t="s">
        <v>14</v>
      </c>
      <c r="E271">
        <v>157603</v>
      </c>
      <c r="F271">
        <v>77496</v>
      </c>
      <c r="G271">
        <v>155803</v>
      </c>
      <c r="H271">
        <v>5</v>
      </c>
      <c r="I271">
        <v>4</v>
      </c>
      <c r="J271">
        <f t="shared" si="12"/>
        <v>80107</v>
      </c>
      <c r="K271" s="2">
        <f t="shared" si="13"/>
        <v>1.0115530509682098</v>
      </c>
      <c r="L271" s="2">
        <f t="shared" si="14"/>
        <v>0.50828347176132438</v>
      </c>
    </row>
    <row r="272" spans="1:12" x14ac:dyDescent="0.3">
      <c r="A272" s="1">
        <v>45727</v>
      </c>
      <c r="B272" t="s">
        <v>12</v>
      </c>
      <c r="C272" t="s">
        <v>18</v>
      </c>
      <c r="D272" t="s">
        <v>11</v>
      </c>
      <c r="E272">
        <v>135426</v>
      </c>
      <c r="F272">
        <v>69818</v>
      </c>
      <c r="G272">
        <v>131856</v>
      </c>
      <c r="H272">
        <v>4.3</v>
      </c>
      <c r="I272">
        <v>11</v>
      </c>
      <c r="J272">
        <f t="shared" si="12"/>
        <v>65608</v>
      </c>
      <c r="K272" s="2">
        <f t="shared" si="13"/>
        <v>1.0270749908991628</v>
      </c>
      <c r="L272" s="2">
        <f t="shared" si="14"/>
        <v>0.48445645592426861</v>
      </c>
    </row>
    <row r="273" spans="1:12" x14ac:dyDescent="0.3">
      <c r="A273" s="1">
        <v>45643</v>
      </c>
      <c r="B273" t="s">
        <v>9</v>
      </c>
      <c r="C273" t="s">
        <v>13</v>
      </c>
      <c r="D273" t="s">
        <v>17</v>
      </c>
      <c r="E273">
        <v>377612</v>
      </c>
      <c r="F273">
        <v>227831</v>
      </c>
      <c r="G273">
        <v>430612</v>
      </c>
      <c r="H273">
        <v>3.9</v>
      </c>
      <c r="I273">
        <v>14</v>
      </c>
      <c r="J273">
        <f t="shared" si="12"/>
        <v>149781</v>
      </c>
      <c r="K273" s="2">
        <f t="shared" si="13"/>
        <v>0.87691936128115333</v>
      </c>
      <c r="L273" s="2">
        <f t="shared" si="14"/>
        <v>0.39665317839475439</v>
      </c>
    </row>
    <row r="274" spans="1:12" x14ac:dyDescent="0.3">
      <c r="A274" s="1">
        <v>45651</v>
      </c>
      <c r="B274" t="s">
        <v>19</v>
      </c>
      <c r="C274" t="s">
        <v>10</v>
      </c>
      <c r="D274" t="s">
        <v>17</v>
      </c>
      <c r="E274">
        <v>599920</v>
      </c>
      <c r="F274">
        <v>359275</v>
      </c>
      <c r="G274">
        <v>555900</v>
      </c>
      <c r="H274">
        <v>3.9</v>
      </c>
      <c r="I274">
        <v>1</v>
      </c>
      <c r="J274">
        <f t="shared" si="12"/>
        <v>240645</v>
      </c>
      <c r="K274" s="2">
        <f t="shared" si="13"/>
        <v>1.079186904119446</v>
      </c>
      <c r="L274" s="2">
        <f t="shared" si="14"/>
        <v>0.40112848379783972</v>
      </c>
    </row>
    <row r="275" spans="1:12" x14ac:dyDescent="0.3">
      <c r="A275" s="1">
        <v>45908</v>
      </c>
      <c r="B275" t="s">
        <v>19</v>
      </c>
      <c r="C275" t="s">
        <v>10</v>
      </c>
      <c r="D275" t="s">
        <v>17</v>
      </c>
      <c r="E275">
        <v>464774</v>
      </c>
      <c r="F275">
        <v>166043</v>
      </c>
      <c r="G275">
        <v>439985</v>
      </c>
      <c r="H275">
        <v>3.7</v>
      </c>
      <c r="I275">
        <v>13</v>
      </c>
      <c r="J275">
        <f t="shared" si="12"/>
        <v>298731</v>
      </c>
      <c r="K275" s="2">
        <f t="shared" si="13"/>
        <v>1.0563405570644453</v>
      </c>
      <c r="L275" s="2">
        <f t="shared" si="14"/>
        <v>0.64274464578483304</v>
      </c>
    </row>
    <row r="276" spans="1:12" x14ac:dyDescent="0.3">
      <c r="A276" s="1">
        <v>45779</v>
      </c>
      <c r="B276" t="s">
        <v>15</v>
      </c>
      <c r="C276" t="s">
        <v>16</v>
      </c>
      <c r="D276" t="s">
        <v>14</v>
      </c>
      <c r="E276">
        <v>118212</v>
      </c>
      <c r="F276">
        <v>45685</v>
      </c>
      <c r="G276">
        <v>123761</v>
      </c>
      <c r="H276">
        <v>3.7</v>
      </c>
      <c r="I276">
        <v>15</v>
      </c>
      <c r="J276">
        <f t="shared" si="12"/>
        <v>72527</v>
      </c>
      <c r="K276" s="2">
        <f t="shared" si="13"/>
        <v>0.95516358141902535</v>
      </c>
      <c r="L276" s="2">
        <f t="shared" si="14"/>
        <v>0.61353331303082592</v>
      </c>
    </row>
    <row r="277" spans="1:12" x14ac:dyDescent="0.3">
      <c r="A277" s="1">
        <v>45564</v>
      </c>
      <c r="B277" t="s">
        <v>9</v>
      </c>
      <c r="C277" t="s">
        <v>16</v>
      </c>
      <c r="D277" t="s">
        <v>11</v>
      </c>
      <c r="E277">
        <v>186072</v>
      </c>
      <c r="F277">
        <v>93631</v>
      </c>
      <c r="G277">
        <v>188868</v>
      </c>
      <c r="H277">
        <v>4.0999999999999996</v>
      </c>
      <c r="I277">
        <v>8</v>
      </c>
      <c r="J277">
        <f t="shared" si="12"/>
        <v>92441</v>
      </c>
      <c r="K277" s="2">
        <f t="shared" si="13"/>
        <v>0.98519600991168432</v>
      </c>
      <c r="L277" s="2">
        <f t="shared" si="14"/>
        <v>0.49680231308310763</v>
      </c>
    </row>
    <row r="278" spans="1:12" x14ac:dyDescent="0.3">
      <c r="A278" s="1">
        <v>45917</v>
      </c>
      <c r="B278" t="s">
        <v>15</v>
      </c>
      <c r="C278" t="s">
        <v>13</v>
      </c>
      <c r="D278" t="s">
        <v>17</v>
      </c>
      <c r="E278">
        <v>417507</v>
      </c>
      <c r="F278">
        <v>200898</v>
      </c>
      <c r="G278">
        <v>356473</v>
      </c>
      <c r="H278">
        <v>5</v>
      </c>
      <c r="I278">
        <v>15</v>
      </c>
      <c r="J278">
        <f t="shared" si="12"/>
        <v>216609</v>
      </c>
      <c r="K278" s="2">
        <f t="shared" si="13"/>
        <v>1.1712163333548404</v>
      </c>
      <c r="L278" s="2">
        <f t="shared" si="14"/>
        <v>0.51881525339694901</v>
      </c>
    </row>
    <row r="279" spans="1:12" x14ac:dyDescent="0.3">
      <c r="A279" s="1">
        <v>45413</v>
      </c>
      <c r="B279" t="s">
        <v>9</v>
      </c>
      <c r="C279" t="s">
        <v>16</v>
      </c>
      <c r="D279" t="s">
        <v>11</v>
      </c>
      <c r="E279">
        <v>348416</v>
      </c>
      <c r="F279">
        <v>120664</v>
      </c>
      <c r="G279">
        <v>322519</v>
      </c>
      <c r="H279">
        <v>4.5999999999999996</v>
      </c>
      <c r="I279">
        <v>11</v>
      </c>
      <c r="J279">
        <f t="shared" si="12"/>
        <v>227752</v>
      </c>
      <c r="K279" s="2">
        <f t="shared" si="13"/>
        <v>1.0802960445741181</v>
      </c>
      <c r="L279" s="2">
        <f t="shared" si="14"/>
        <v>0.65367836149889791</v>
      </c>
    </row>
    <row r="280" spans="1:12" x14ac:dyDescent="0.3">
      <c r="A280" s="1">
        <v>45952</v>
      </c>
      <c r="B280" t="s">
        <v>15</v>
      </c>
      <c r="C280" t="s">
        <v>13</v>
      </c>
      <c r="D280" t="s">
        <v>17</v>
      </c>
      <c r="E280">
        <v>427127</v>
      </c>
      <c r="F280">
        <v>177322</v>
      </c>
      <c r="G280">
        <v>385793</v>
      </c>
      <c r="H280">
        <v>4.3</v>
      </c>
      <c r="I280">
        <v>6</v>
      </c>
      <c r="J280">
        <f t="shared" si="12"/>
        <v>249805</v>
      </c>
      <c r="K280" s="2">
        <f t="shared" si="13"/>
        <v>1.1071403576529382</v>
      </c>
      <c r="L280" s="2">
        <f t="shared" si="14"/>
        <v>0.58484947100042839</v>
      </c>
    </row>
    <row r="281" spans="1:12" x14ac:dyDescent="0.3">
      <c r="A281" s="1">
        <v>45526</v>
      </c>
      <c r="B281" t="s">
        <v>19</v>
      </c>
      <c r="C281" t="s">
        <v>16</v>
      </c>
      <c r="D281" t="s">
        <v>14</v>
      </c>
      <c r="E281">
        <v>189980</v>
      </c>
      <c r="F281">
        <v>108215</v>
      </c>
      <c r="G281">
        <v>200540</v>
      </c>
      <c r="H281">
        <v>3.6</v>
      </c>
      <c r="I281">
        <v>1</v>
      </c>
      <c r="J281">
        <f t="shared" si="12"/>
        <v>81765</v>
      </c>
      <c r="K281" s="2">
        <f t="shared" si="13"/>
        <v>0.94734217612446392</v>
      </c>
      <c r="L281" s="2">
        <f t="shared" si="14"/>
        <v>0.43038740920096852</v>
      </c>
    </row>
    <row r="282" spans="1:12" x14ac:dyDescent="0.3">
      <c r="A282" s="1">
        <v>45853</v>
      </c>
      <c r="B282" t="s">
        <v>12</v>
      </c>
      <c r="C282" t="s">
        <v>18</v>
      </c>
      <c r="D282" t="s">
        <v>11</v>
      </c>
      <c r="E282">
        <v>187558</v>
      </c>
      <c r="F282">
        <v>95895</v>
      </c>
      <c r="G282">
        <v>182686</v>
      </c>
      <c r="H282">
        <v>4.5999999999999996</v>
      </c>
      <c r="I282">
        <v>7</v>
      </c>
      <c r="J282">
        <f t="shared" si="12"/>
        <v>91663</v>
      </c>
      <c r="K282" s="2">
        <f t="shared" si="13"/>
        <v>1.0266687102459959</v>
      </c>
      <c r="L282" s="2">
        <f t="shared" si="14"/>
        <v>0.48871815651691741</v>
      </c>
    </row>
    <row r="283" spans="1:12" x14ac:dyDescent="0.3">
      <c r="A283" s="1">
        <v>45644</v>
      </c>
      <c r="B283" t="s">
        <v>9</v>
      </c>
      <c r="C283" t="s">
        <v>18</v>
      </c>
      <c r="D283" t="s">
        <v>11</v>
      </c>
      <c r="E283">
        <v>505503</v>
      </c>
      <c r="F283">
        <v>282338</v>
      </c>
      <c r="G283">
        <v>443895</v>
      </c>
      <c r="H283">
        <v>4.4000000000000004</v>
      </c>
      <c r="I283">
        <v>2</v>
      </c>
      <c r="J283">
        <f t="shared" si="12"/>
        <v>223165</v>
      </c>
      <c r="K283" s="2">
        <f t="shared" si="13"/>
        <v>1.1387895786165647</v>
      </c>
      <c r="L283" s="2">
        <f t="shared" si="14"/>
        <v>0.44147116832145405</v>
      </c>
    </row>
    <row r="284" spans="1:12" x14ac:dyDescent="0.3">
      <c r="A284" s="1">
        <v>45572</v>
      </c>
      <c r="B284" t="s">
        <v>9</v>
      </c>
      <c r="C284" t="s">
        <v>10</v>
      </c>
      <c r="D284" t="s">
        <v>11</v>
      </c>
      <c r="E284">
        <v>360343</v>
      </c>
      <c r="F284">
        <v>162365</v>
      </c>
      <c r="G284">
        <v>394044</v>
      </c>
      <c r="H284">
        <v>4.5999999999999996</v>
      </c>
      <c r="I284">
        <v>9</v>
      </c>
      <c r="J284">
        <f t="shared" si="12"/>
        <v>197978</v>
      </c>
      <c r="K284" s="2">
        <f t="shared" si="13"/>
        <v>0.91447401812995499</v>
      </c>
      <c r="L284" s="2">
        <f t="shared" si="14"/>
        <v>0.54941541808776639</v>
      </c>
    </row>
    <row r="285" spans="1:12" x14ac:dyDescent="0.3">
      <c r="A285" s="1">
        <v>45806</v>
      </c>
      <c r="B285" t="s">
        <v>19</v>
      </c>
      <c r="C285" t="s">
        <v>13</v>
      </c>
      <c r="D285" t="s">
        <v>11</v>
      </c>
      <c r="E285">
        <v>31727</v>
      </c>
      <c r="F285">
        <v>12372</v>
      </c>
      <c r="G285">
        <v>28909</v>
      </c>
      <c r="H285">
        <v>4.3</v>
      </c>
      <c r="I285">
        <v>15</v>
      </c>
      <c r="J285">
        <f t="shared" si="12"/>
        <v>19355</v>
      </c>
      <c r="K285" s="2">
        <f t="shared" si="13"/>
        <v>1.0974782939568992</v>
      </c>
      <c r="L285" s="2">
        <f t="shared" si="14"/>
        <v>0.61004822391023417</v>
      </c>
    </row>
    <row r="286" spans="1:12" x14ac:dyDescent="0.3">
      <c r="A286" s="1">
        <v>45593</v>
      </c>
      <c r="B286" t="s">
        <v>12</v>
      </c>
      <c r="C286" t="s">
        <v>18</v>
      </c>
      <c r="D286" t="s">
        <v>11</v>
      </c>
      <c r="E286">
        <v>86865</v>
      </c>
      <c r="F286">
        <v>43729</v>
      </c>
      <c r="G286">
        <v>87873</v>
      </c>
      <c r="H286">
        <v>4.3</v>
      </c>
      <c r="I286">
        <v>8</v>
      </c>
      <c r="J286">
        <f t="shared" si="12"/>
        <v>43136</v>
      </c>
      <c r="K286" s="2">
        <f t="shared" si="13"/>
        <v>0.98852889966201218</v>
      </c>
      <c r="L286" s="2">
        <f t="shared" si="14"/>
        <v>0.49658665745697345</v>
      </c>
    </row>
    <row r="287" spans="1:12" x14ac:dyDescent="0.3">
      <c r="A287" s="1">
        <v>45525</v>
      </c>
      <c r="B287" t="s">
        <v>15</v>
      </c>
      <c r="C287" t="s">
        <v>16</v>
      </c>
      <c r="D287" t="s">
        <v>17</v>
      </c>
      <c r="E287">
        <v>176923</v>
      </c>
      <c r="F287">
        <v>70970</v>
      </c>
      <c r="G287">
        <v>190652</v>
      </c>
      <c r="H287">
        <v>4.5</v>
      </c>
      <c r="I287">
        <v>13</v>
      </c>
      <c r="J287">
        <f t="shared" si="12"/>
        <v>105953</v>
      </c>
      <c r="K287" s="2">
        <f t="shared" si="13"/>
        <v>0.92798921595367478</v>
      </c>
      <c r="L287" s="2">
        <f t="shared" si="14"/>
        <v>0.59886504298480125</v>
      </c>
    </row>
    <row r="288" spans="1:12" x14ac:dyDescent="0.3">
      <c r="A288" s="1">
        <v>45361</v>
      </c>
      <c r="B288" t="s">
        <v>9</v>
      </c>
      <c r="C288" t="s">
        <v>18</v>
      </c>
      <c r="D288" t="s">
        <v>14</v>
      </c>
      <c r="E288">
        <v>354761</v>
      </c>
      <c r="F288">
        <v>173970</v>
      </c>
      <c r="G288">
        <v>370019</v>
      </c>
      <c r="H288">
        <v>4.7</v>
      </c>
      <c r="I288">
        <v>3</v>
      </c>
      <c r="J288">
        <f t="shared" si="12"/>
        <v>180791</v>
      </c>
      <c r="K288" s="2">
        <f t="shared" si="13"/>
        <v>0.95876427967212496</v>
      </c>
      <c r="L288" s="2">
        <f t="shared" si="14"/>
        <v>0.50961351445057379</v>
      </c>
    </row>
    <row r="289" spans="1:12" x14ac:dyDescent="0.3">
      <c r="A289" s="1">
        <v>45518</v>
      </c>
      <c r="B289" t="s">
        <v>15</v>
      </c>
      <c r="C289" t="s">
        <v>10</v>
      </c>
      <c r="D289" t="s">
        <v>17</v>
      </c>
      <c r="E289">
        <v>519654</v>
      </c>
      <c r="F289">
        <v>311417</v>
      </c>
      <c r="G289">
        <v>467722</v>
      </c>
      <c r="H289">
        <v>3.8</v>
      </c>
      <c r="I289">
        <v>4</v>
      </c>
      <c r="J289">
        <f t="shared" si="12"/>
        <v>208237</v>
      </c>
      <c r="K289" s="2">
        <f t="shared" si="13"/>
        <v>1.1110317667332303</v>
      </c>
      <c r="L289" s="2">
        <f t="shared" si="14"/>
        <v>0.40072240375326662</v>
      </c>
    </row>
    <row r="290" spans="1:12" x14ac:dyDescent="0.3">
      <c r="A290" s="1">
        <v>45311</v>
      </c>
      <c r="B290" t="s">
        <v>19</v>
      </c>
      <c r="C290" t="s">
        <v>18</v>
      </c>
      <c r="D290" t="s">
        <v>11</v>
      </c>
      <c r="E290">
        <v>78099</v>
      </c>
      <c r="F290">
        <v>33684</v>
      </c>
      <c r="G290">
        <v>67903</v>
      </c>
      <c r="H290">
        <v>4.4000000000000004</v>
      </c>
      <c r="I290">
        <v>12</v>
      </c>
      <c r="J290">
        <f t="shared" si="12"/>
        <v>44415</v>
      </c>
      <c r="K290" s="2">
        <f t="shared" si="13"/>
        <v>1.1501553686876869</v>
      </c>
      <c r="L290" s="2">
        <f t="shared" si="14"/>
        <v>0.56870126378058616</v>
      </c>
    </row>
    <row r="291" spans="1:12" x14ac:dyDescent="0.3">
      <c r="A291" s="1">
        <v>45346</v>
      </c>
      <c r="B291" t="s">
        <v>9</v>
      </c>
      <c r="C291" t="s">
        <v>13</v>
      </c>
      <c r="D291" t="s">
        <v>17</v>
      </c>
      <c r="E291">
        <v>119079</v>
      </c>
      <c r="F291">
        <v>50273</v>
      </c>
      <c r="G291">
        <v>122728</v>
      </c>
      <c r="H291">
        <v>3.5</v>
      </c>
      <c r="I291">
        <v>1</v>
      </c>
      <c r="J291">
        <f t="shared" si="12"/>
        <v>68806</v>
      </c>
      <c r="K291" s="2">
        <f t="shared" si="13"/>
        <v>0.9702675835995046</v>
      </c>
      <c r="L291" s="2">
        <f t="shared" si="14"/>
        <v>0.57781808715222671</v>
      </c>
    </row>
    <row r="292" spans="1:12" x14ac:dyDescent="0.3">
      <c r="A292" s="1">
        <v>45610</v>
      </c>
      <c r="B292" t="s">
        <v>15</v>
      </c>
      <c r="C292" t="s">
        <v>18</v>
      </c>
      <c r="D292" t="s">
        <v>17</v>
      </c>
      <c r="E292">
        <v>453031</v>
      </c>
      <c r="F292">
        <v>150138</v>
      </c>
      <c r="G292">
        <v>413595</v>
      </c>
      <c r="H292">
        <v>4.7</v>
      </c>
      <c r="I292">
        <v>13</v>
      </c>
      <c r="J292">
        <f t="shared" si="12"/>
        <v>302893</v>
      </c>
      <c r="K292" s="2">
        <f t="shared" si="13"/>
        <v>1.0953493151512954</v>
      </c>
      <c r="L292" s="2">
        <f t="shared" si="14"/>
        <v>0.6685922155437487</v>
      </c>
    </row>
    <row r="293" spans="1:12" x14ac:dyDescent="0.3">
      <c r="A293" s="1">
        <v>45310</v>
      </c>
      <c r="B293" t="s">
        <v>9</v>
      </c>
      <c r="C293" t="s">
        <v>10</v>
      </c>
      <c r="D293" t="s">
        <v>17</v>
      </c>
      <c r="E293">
        <v>300998</v>
      </c>
      <c r="F293">
        <v>141407</v>
      </c>
      <c r="G293">
        <v>263848</v>
      </c>
      <c r="H293">
        <v>3.8</v>
      </c>
      <c r="I293">
        <v>0</v>
      </c>
      <c r="J293">
        <f t="shared" si="12"/>
        <v>159591</v>
      </c>
      <c r="K293" s="2">
        <f t="shared" si="13"/>
        <v>1.1408007640762863</v>
      </c>
      <c r="L293" s="2">
        <f t="shared" si="14"/>
        <v>0.53020618077196524</v>
      </c>
    </row>
    <row r="294" spans="1:12" x14ac:dyDescent="0.3">
      <c r="A294" s="1">
        <v>45767</v>
      </c>
      <c r="B294" t="s">
        <v>12</v>
      </c>
      <c r="C294" t="s">
        <v>18</v>
      </c>
      <c r="D294" t="s">
        <v>11</v>
      </c>
      <c r="E294">
        <v>419400</v>
      </c>
      <c r="F294">
        <v>223190</v>
      </c>
      <c r="G294">
        <v>378317</v>
      </c>
      <c r="H294">
        <v>4.5</v>
      </c>
      <c r="I294">
        <v>11</v>
      </c>
      <c r="J294">
        <f t="shared" si="12"/>
        <v>196210</v>
      </c>
      <c r="K294" s="2">
        <f t="shared" si="13"/>
        <v>1.1085941155168813</v>
      </c>
      <c r="L294" s="2">
        <f t="shared" si="14"/>
        <v>0.4678350023843586</v>
      </c>
    </row>
    <row r="295" spans="1:12" x14ac:dyDescent="0.3">
      <c r="A295" s="1">
        <v>45951</v>
      </c>
      <c r="B295" t="s">
        <v>9</v>
      </c>
      <c r="C295" t="s">
        <v>18</v>
      </c>
      <c r="D295" t="s">
        <v>11</v>
      </c>
      <c r="E295">
        <v>171326</v>
      </c>
      <c r="F295">
        <v>68844</v>
      </c>
      <c r="G295">
        <v>183660</v>
      </c>
      <c r="H295">
        <v>4.9000000000000004</v>
      </c>
      <c r="I295">
        <v>13</v>
      </c>
      <c r="J295">
        <f t="shared" si="12"/>
        <v>102482</v>
      </c>
      <c r="K295" s="2">
        <f t="shared" si="13"/>
        <v>0.93284329739736471</v>
      </c>
      <c r="L295" s="2">
        <f t="shared" si="14"/>
        <v>0.59816957146025707</v>
      </c>
    </row>
    <row r="296" spans="1:12" x14ac:dyDescent="0.3">
      <c r="A296" s="1">
        <v>45796</v>
      </c>
      <c r="B296" t="s">
        <v>9</v>
      </c>
      <c r="C296" t="s">
        <v>10</v>
      </c>
      <c r="D296" t="s">
        <v>17</v>
      </c>
      <c r="E296">
        <v>175937</v>
      </c>
      <c r="F296">
        <v>104883</v>
      </c>
      <c r="G296">
        <v>150823</v>
      </c>
      <c r="H296">
        <v>4.7</v>
      </c>
      <c r="I296">
        <v>2</v>
      </c>
      <c r="J296">
        <f t="shared" si="12"/>
        <v>71054</v>
      </c>
      <c r="K296" s="2">
        <f t="shared" si="13"/>
        <v>1.1665130649834574</v>
      </c>
      <c r="L296" s="2">
        <f t="shared" si="14"/>
        <v>0.40386047278287113</v>
      </c>
    </row>
    <row r="297" spans="1:12" x14ac:dyDescent="0.3">
      <c r="A297" s="1">
        <v>46001</v>
      </c>
      <c r="B297" t="s">
        <v>19</v>
      </c>
      <c r="C297" t="s">
        <v>18</v>
      </c>
      <c r="D297" t="s">
        <v>14</v>
      </c>
      <c r="E297">
        <v>585295</v>
      </c>
      <c r="F297">
        <v>346002</v>
      </c>
      <c r="G297">
        <v>647229</v>
      </c>
      <c r="H297">
        <v>3.8</v>
      </c>
      <c r="I297">
        <v>4</v>
      </c>
      <c r="J297">
        <f t="shared" si="12"/>
        <v>239293</v>
      </c>
      <c r="K297" s="2">
        <f t="shared" si="13"/>
        <v>0.90430898491878453</v>
      </c>
      <c r="L297" s="2">
        <f t="shared" si="14"/>
        <v>0.40884169521352481</v>
      </c>
    </row>
    <row r="298" spans="1:12" x14ac:dyDescent="0.3">
      <c r="A298" s="1">
        <v>45872</v>
      </c>
      <c r="B298" t="s">
        <v>19</v>
      </c>
      <c r="C298" t="s">
        <v>13</v>
      </c>
      <c r="D298" t="s">
        <v>14</v>
      </c>
      <c r="E298">
        <v>315107</v>
      </c>
      <c r="F298">
        <v>147925</v>
      </c>
      <c r="G298">
        <v>356450</v>
      </c>
      <c r="H298">
        <v>4.5999999999999996</v>
      </c>
      <c r="I298">
        <v>0</v>
      </c>
      <c r="J298">
        <f t="shared" si="12"/>
        <v>167182</v>
      </c>
      <c r="K298" s="2">
        <f t="shared" si="13"/>
        <v>0.88401458830130453</v>
      </c>
      <c r="L298" s="2">
        <f t="shared" si="14"/>
        <v>0.53055628722941728</v>
      </c>
    </row>
    <row r="299" spans="1:12" x14ac:dyDescent="0.3">
      <c r="A299" s="1">
        <v>45893</v>
      </c>
      <c r="B299" t="s">
        <v>9</v>
      </c>
      <c r="C299" t="s">
        <v>16</v>
      </c>
      <c r="D299" t="s">
        <v>11</v>
      </c>
      <c r="E299">
        <v>459830</v>
      </c>
      <c r="F299">
        <v>151368</v>
      </c>
      <c r="G299">
        <v>498485</v>
      </c>
      <c r="H299">
        <v>3.5</v>
      </c>
      <c r="I299">
        <v>1</v>
      </c>
      <c r="J299">
        <f t="shared" si="12"/>
        <v>308462</v>
      </c>
      <c r="K299" s="2">
        <f t="shared" si="13"/>
        <v>0.92245503876746537</v>
      </c>
      <c r="L299" s="2">
        <f t="shared" si="14"/>
        <v>0.67081747602374786</v>
      </c>
    </row>
    <row r="300" spans="1:12" x14ac:dyDescent="0.3">
      <c r="A300" s="1">
        <v>45473</v>
      </c>
      <c r="B300" t="s">
        <v>15</v>
      </c>
      <c r="C300" t="s">
        <v>13</v>
      </c>
      <c r="D300" t="s">
        <v>14</v>
      </c>
      <c r="E300">
        <v>148782</v>
      </c>
      <c r="F300">
        <v>48951</v>
      </c>
      <c r="G300">
        <v>129542</v>
      </c>
      <c r="H300">
        <v>3.6</v>
      </c>
      <c r="I300">
        <v>8</v>
      </c>
      <c r="J300">
        <f t="shared" si="12"/>
        <v>99831</v>
      </c>
      <c r="K300" s="2">
        <f t="shared" si="13"/>
        <v>1.1485232588658505</v>
      </c>
      <c r="L300" s="2">
        <f t="shared" si="14"/>
        <v>0.67098842601927655</v>
      </c>
    </row>
    <row r="301" spans="1:12" x14ac:dyDescent="0.3">
      <c r="A301" s="1">
        <v>45705</v>
      </c>
      <c r="B301" t="s">
        <v>15</v>
      </c>
      <c r="C301" t="s">
        <v>13</v>
      </c>
      <c r="D301" t="s">
        <v>11</v>
      </c>
      <c r="E301">
        <v>141234</v>
      </c>
      <c r="F301">
        <v>77839</v>
      </c>
      <c r="G301">
        <v>131571</v>
      </c>
      <c r="H301">
        <v>4.5999999999999996</v>
      </c>
      <c r="I301">
        <v>13</v>
      </c>
      <c r="J301">
        <f t="shared" si="12"/>
        <v>63395</v>
      </c>
      <c r="K301" s="2">
        <f t="shared" si="13"/>
        <v>1.0734432359714527</v>
      </c>
      <c r="L301" s="2">
        <f t="shared" si="14"/>
        <v>0.44886500417746433</v>
      </c>
    </row>
    <row r="302" spans="1:12" x14ac:dyDescent="0.3">
      <c r="A302" s="1">
        <v>45909</v>
      </c>
      <c r="B302" t="s">
        <v>19</v>
      </c>
      <c r="C302" t="s">
        <v>10</v>
      </c>
      <c r="D302" t="s">
        <v>17</v>
      </c>
      <c r="E302">
        <v>261435</v>
      </c>
      <c r="F302">
        <v>122803</v>
      </c>
      <c r="G302">
        <v>224856</v>
      </c>
      <c r="H302">
        <v>3.6</v>
      </c>
      <c r="I302">
        <v>8</v>
      </c>
      <c r="J302">
        <f t="shared" si="12"/>
        <v>138632</v>
      </c>
      <c r="K302" s="2">
        <f t="shared" si="13"/>
        <v>1.1626774468993488</v>
      </c>
      <c r="L302" s="2">
        <f t="shared" si="14"/>
        <v>0.53027329929045464</v>
      </c>
    </row>
    <row r="303" spans="1:12" x14ac:dyDescent="0.3">
      <c r="A303" s="1">
        <v>45541</v>
      </c>
      <c r="B303" t="s">
        <v>12</v>
      </c>
      <c r="C303" t="s">
        <v>10</v>
      </c>
      <c r="D303" t="s">
        <v>14</v>
      </c>
      <c r="E303">
        <v>319443</v>
      </c>
      <c r="F303">
        <v>152908</v>
      </c>
      <c r="G303">
        <v>304813</v>
      </c>
      <c r="H303">
        <v>4.8</v>
      </c>
      <c r="I303">
        <v>1</v>
      </c>
      <c r="J303">
        <f t="shared" si="12"/>
        <v>166535</v>
      </c>
      <c r="K303" s="2">
        <f t="shared" si="13"/>
        <v>1.0479966405632306</v>
      </c>
      <c r="L303" s="2">
        <f t="shared" si="14"/>
        <v>0.5213293138368974</v>
      </c>
    </row>
    <row r="304" spans="1:12" x14ac:dyDescent="0.3">
      <c r="A304" s="1">
        <v>45963</v>
      </c>
      <c r="B304" t="s">
        <v>9</v>
      </c>
      <c r="C304" t="s">
        <v>18</v>
      </c>
      <c r="D304" t="s">
        <v>11</v>
      </c>
      <c r="E304">
        <v>248511</v>
      </c>
      <c r="F304">
        <v>122755</v>
      </c>
      <c r="G304">
        <v>272954</v>
      </c>
      <c r="H304">
        <v>4.7</v>
      </c>
      <c r="I304">
        <v>6</v>
      </c>
      <c r="J304">
        <f t="shared" si="12"/>
        <v>125756</v>
      </c>
      <c r="K304" s="2">
        <f t="shared" si="13"/>
        <v>0.91045011247316399</v>
      </c>
      <c r="L304" s="2">
        <f t="shared" si="14"/>
        <v>0.50603796210228114</v>
      </c>
    </row>
    <row r="305" spans="1:12" x14ac:dyDescent="0.3">
      <c r="A305" s="1">
        <v>45433</v>
      </c>
      <c r="B305" t="s">
        <v>19</v>
      </c>
      <c r="C305" t="s">
        <v>10</v>
      </c>
      <c r="D305" t="s">
        <v>17</v>
      </c>
      <c r="E305">
        <v>261924</v>
      </c>
      <c r="F305">
        <v>146287</v>
      </c>
      <c r="G305">
        <v>279616</v>
      </c>
      <c r="H305">
        <v>3.8</v>
      </c>
      <c r="I305">
        <v>1</v>
      </c>
      <c r="J305">
        <f t="shared" si="12"/>
        <v>115637</v>
      </c>
      <c r="K305" s="2">
        <f t="shared" si="13"/>
        <v>0.93672751201647975</v>
      </c>
      <c r="L305" s="2">
        <f t="shared" si="14"/>
        <v>0.4414906614132344</v>
      </c>
    </row>
    <row r="306" spans="1:12" x14ac:dyDescent="0.3">
      <c r="A306" s="1">
        <v>45596</v>
      </c>
      <c r="B306" t="s">
        <v>12</v>
      </c>
      <c r="C306" t="s">
        <v>18</v>
      </c>
      <c r="D306" t="s">
        <v>14</v>
      </c>
      <c r="E306">
        <v>72292</v>
      </c>
      <c r="F306">
        <v>24564</v>
      </c>
      <c r="G306">
        <v>65417</v>
      </c>
      <c r="H306">
        <v>3.5</v>
      </c>
      <c r="I306">
        <v>15</v>
      </c>
      <c r="J306">
        <f t="shared" si="12"/>
        <v>47728</v>
      </c>
      <c r="K306" s="2">
        <f t="shared" si="13"/>
        <v>1.1050950058853204</v>
      </c>
      <c r="L306" s="2">
        <f t="shared" si="14"/>
        <v>0.66021136501964262</v>
      </c>
    </row>
    <row r="307" spans="1:12" x14ac:dyDescent="0.3">
      <c r="A307" s="1">
        <v>45920</v>
      </c>
      <c r="B307" t="s">
        <v>9</v>
      </c>
      <c r="C307" t="s">
        <v>18</v>
      </c>
      <c r="D307" t="s">
        <v>17</v>
      </c>
      <c r="E307">
        <v>418568</v>
      </c>
      <c r="F307">
        <v>170304</v>
      </c>
      <c r="G307">
        <v>424231</v>
      </c>
      <c r="H307">
        <v>5</v>
      </c>
      <c r="I307">
        <v>6</v>
      </c>
      <c r="J307">
        <f t="shared" si="12"/>
        <v>248264</v>
      </c>
      <c r="K307" s="2">
        <f t="shared" si="13"/>
        <v>0.98665114053428438</v>
      </c>
      <c r="L307" s="2">
        <f t="shared" si="14"/>
        <v>0.59312704267884786</v>
      </c>
    </row>
    <row r="308" spans="1:12" x14ac:dyDescent="0.3">
      <c r="A308" s="1">
        <v>45864</v>
      </c>
      <c r="B308" t="s">
        <v>15</v>
      </c>
      <c r="C308" t="s">
        <v>13</v>
      </c>
      <c r="D308" t="s">
        <v>17</v>
      </c>
      <c r="E308">
        <v>290618</v>
      </c>
      <c r="F308">
        <v>129426</v>
      </c>
      <c r="G308">
        <v>300461</v>
      </c>
      <c r="H308">
        <v>3.8</v>
      </c>
      <c r="I308">
        <v>5</v>
      </c>
      <c r="J308">
        <f t="shared" si="12"/>
        <v>161192</v>
      </c>
      <c r="K308" s="2">
        <f t="shared" si="13"/>
        <v>0.96724034067649378</v>
      </c>
      <c r="L308" s="2">
        <f t="shared" si="14"/>
        <v>0.5546524991569689</v>
      </c>
    </row>
    <row r="309" spans="1:12" x14ac:dyDescent="0.3">
      <c r="A309" s="1">
        <v>45901</v>
      </c>
      <c r="B309" t="s">
        <v>19</v>
      </c>
      <c r="C309" t="s">
        <v>16</v>
      </c>
      <c r="D309" t="s">
        <v>14</v>
      </c>
      <c r="E309">
        <v>398612</v>
      </c>
      <c r="F309">
        <v>160538</v>
      </c>
      <c r="G309">
        <v>364661</v>
      </c>
      <c r="H309">
        <v>3.6</v>
      </c>
      <c r="I309">
        <v>1</v>
      </c>
      <c r="J309">
        <f t="shared" si="12"/>
        <v>238074</v>
      </c>
      <c r="K309" s="2">
        <f t="shared" si="13"/>
        <v>1.0931029092773836</v>
      </c>
      <c r="L309" s="2">
        <f t="shared" si="14"/>
        <v>0.59725748346763263</v>
      </c>
    </row>
    <row r="310" spans="1:12" x14ac:dyDescent="0.3">
      <c r="A310" s="1">
        <v>45435</v>
      </c>
      <c r="B310" t="s">
        <v>9</v>
      </c>
      <c r="C310" t="s">
        <v>18</v>
      </c>
      <c r="D310" t="s">
        <v>14</v>
      </c>
      <c r="E310">
        <v>79286</v>
      </c>
      <c r="F310">
        <v>41452</v>
      </c>
      <c r="G310">
        <v>86111</v>
      </c>
      <c r="H310">
        <v>3.7</v>
      </c>
      <c r="I310">
        <v>5</v>
      </c>
      <c r="J310">
        <f t="shared" si="12"/>
        <v>37834</v>
      </c>
      <c r="K310" s="2">
        <f t="shared" si="13"/>
        <v>0.9207418332152687</v>
      </c>
      <c r="L310" s="2">
        <f t="shared" si="14"/>
        <v>0.47718386600408647</v>
      </c>
    </row>
    <row r="311" spans="1:12" x14ac:dyDescent="0.3">
      <c r="A311" s="1">
        <v>45862</v>
      </c>
      <c r="B311" t="s">
        <v>15</v>
      </c>
      <c r="C311" t="s">
        <v>18</v>
      </c>
      <c r="D311" t="s">
        <v>11</v>
      </c>
      <c r="E311">
        <v>110158</v>
      </c>
      <c r="F311">
        <v>60852</v>
      </c>
      <c r="G311">
        <v>99077</v>
      </c>
      <c r="H311">
        <v>4</v>
      </c>
      <c r="I311">
        <v>15</v>
      </c>
      <c r="J311">
        <f t="shared" si="12"/>
        <v>49306</v>
      </c>
      <c r="K311" s="2">
        <f t="shared" si="13"/>
        <v>1.1118423044702606</v>
      </c>
      <c r="L311" s="2">
        <f t="shared" si="14"/>
        <v>0.44759345667132666</v>
      </c>
    </row>
    <row r="312" spans="1:12" x14ac:dyDescent="0.3">
      <c r="A312" s="1">
        <v>45505</v>
      </c>
      <c r="B312" t="s">
        <v>12</v>
      </c>
      <c r="C312" t="s">
        <v>13</v>
      </c>
      <c r="D312" t="s">
        <v>14</v>
      </c>
      <c r="E312">
        <v>368478</v>
      </c>
      <c r="F312">
        <v>206905</v>
      </c>
      <c r="G312">
        <v>341449</v>
      </c>
      <c r="H312">
        <v>4.9000000000000004</v>
      </c>
      <c r="I312">
        <v>5</v>
      </c>
      <c r="J312">
        <f t="shared" si="12"/>
        <v>161573</v>
      </c>
      <c r="K312" s="2">
        <f t="shared" si="13"/>
        <v>1.0791596988129999</v>
      </c>
      <c r="L312" s="2">
        <f t="shared" si="14"/>
        <v>0.43848750807375203</v>
      </c>
    </row>
    <row r="313" spans="1:12" x14ac:dyDescent="0.3">
      <c r="A313" s="1">
        <v>45971</v>
      </c>
      <c r="B313" t="s">
        <v>15</v>
      </c>
      <c r="C313" t="s">
        <v>13</v>
      </c>
      <c r="D313" t="s">
        <v>17</v>
      </c>
      <c r="E313">
        <v>301262</v>
      </c>
      <c r="F313">
        <v>143045</v>
      </c>
      <c r="G313">
        <v>338246</v>
      </c>
      <c r="H313">
        <v>4.3</v>
      </c>
      <c r="I313">
        <v>7</v>
      </c>
      <c r="J313">
        <f t="shared" si="12"/>
        <v>158217</v>
      </c>
      <c r="K313" s="2">
        <f t="shared" si="13"/>
        <v>0.89065946086576042</v>
      </c>
      <c r="L313" s="2">
        <f t="shared" si="14"/>
        <v>0.52518073968837753</v>
      </c>
    </row>
    <row r="314" spans="1:12" x14ac:dyDescent="0.3">
      <c r="A314" s="1">
        <v>45518</v>
      </c>
      <c r="B314" t="s">
        <v>15</v>
      </c>
      <c r="C314" t="s">
        <v>18</v>
      </c>
      <c r="D314" t="s">
        <v>11</v>
      </c>
      <c r="E314">
        <v>360808</v>
      </c>
      <c r="F314">
        <v>139746</v>
      </c>
      <c r="G314">
        <v>411084</v>
      </c>
      <c r="H314">
        <v>3.8</v>
      </c>
      <c r="I314">
        <v>10</v>
      </c>
      <c r="J314">
        <f t="shared" si="12"/>
        <v>221062</v>
      </c>
      <c r="K314" s="2">
        <f t="shared" si="13"/>
        <v>0.87769896176937079</v>
      </c>
      <c r="L314" s="2">
        <f t="shared" si="14"/>
        <v>0.61268597148621984</v>
      </c>
    </row>
    <row r="315" spans="1:12" x14ac:dyDescent="0.3">
      <c r="A315" s="1">
        <v>45877</v>
      </c>
      <c r="B315" t="s">
        <v>9</v>
      </c>
      <c r="C315" t="s">
        <v>13</v>
      </c>
      <c r="D315" t="s">
        <v>14</v>
      </c>
      <c r="E315">
        <v>348083</v>
      </c>
      <c r="F315">
        <v>145368</v>
      </c>
      <c r="G315">
        <v>379192</v>
      </c>
      <c r="H315">
        <v>4.0999999999999996</v>
      </c>
      <c r="I315">
        <v>4</v>
      </c>
      <c r="J315">
        <f t="shared" si="12"/>
        <v>202715</v>
      </c>
      <c r="K315" s="2">
        <f t="shared" si="13"/>
        <v>0.91795976708369376</v>
      </c>
      <c r="L315" s="2">
        <f t="shared" si="14"/>
        <v>0.58237546792000761</v>
      </c>
    </row>
    <row r="316" spans="1:12" x14ac:dyDescent="0.3">
      <c r="A316" s="1">
        <v>45529</v>
      </c>
      <c r="B316" t="s">
        <v>9</v>
      </c>
      <c r="C316" t="s">
        <v>16</v>
      </c>
      <c r="D316" t="s">
        <v>17</v>
      </c>
      <c r="E316">
        <v>410187</v>
      </c>
      <c r="F316">
        <v>179930</v>
      </c>
      <c r="G316">
        <v>369090</v>
      </c>
      <c r="H316">
        <v>4.4000000000000004</v>
      </c>
      <c r="I316">
        <v>3</v>
      </c>
      <c r="J316">
        <f t="shared" si="12"/>
        <v>230257</v>
      </c>
      <c r="K316" s="2">
        <f t="shared" si="13"/>
        <v>1.111346825977404</v>
      </c>
      <c r="L316" s="2">
        <f t="shared" si="14"/>
        <v>0.56134641029579191</v>
      </c>
    </row>
    <row r="317" spans="1:12" x14ac:dyDescent="0.3">
      <c r="A317" s="1">
        <v>45550</v>
      </c>
      <c r="B317" t="s">
        <v>12</v>
      </c>
      <c r="C317" t="s">
        <v>16</v>
      </c>
      <c r="D317" t="s">
        <v>11</v>
      </c>
      <c r="E317">
        <v>14135</v>
      </c>
      <c r="F317">
        <v>8025</v>
      </c>
      <c r="G317">
        <v>12871</v>
      </c>
      <c r="H317">
        <v>3.8</v>
      </c>
      <c r="I317">
        <v>5</v>
      </c>
      <c r="J317">
        <f t="shared" si="12"/>
        <v>6110</v>
      </c>
      <c r="K317" s="2">
        <f t="shared" si="13"/>
        <v>1.0982052676559708</v>
      </c>
      <c r="L317" s="2">
        <f t="shared" si="14"/>
        <v>0.43226034665723384</v>
      </c>
    </row>
    <row r="318" spans="1:12" x14ac:dyDescent="0.3">
      <c r="A318" s="1">
        <v>45904</v>
      </c>
      <c r="B318" t="s">
        <v>9</v>
      </c>
      <c r="C318" t="s">
        <v>13</v>
      </c>
      <c r="D318" t="s">
        <v>11</v>
      </c>
      <c r="E318">
        <v>231796</v>
      </c>
      <c r="F318">
        <v>84935</v>
      </c>
      <c r="G318">
        <v>264323</v>
      </c>
      <c r="H318">
        <v>4.8</v>
      </c>
      <c r="I318">
        <v>3</v>
      </c>
      <c r="J318">
        <f t="shared" si="12"/>
        <v>146861</v>
      </c>
      <c r="K318" s="2">
        <f t="shared" si="13"/>
        <v>0.87694222598865779</v>
      </c>
      <c r="L318" s="2">
        <f t="shared" si="14"/>
        <v>0.63357866399765306</v>
      </c>
    </row>
    <row r="319" spans="1:12" x14ac:dyDescent="0.3">
      <c r="A319" s="1">
        <v>45940</v>
      </c>
      <c r="B319" t="s">
        <v>9</v>
      </c>
      <c r="C319" t="s">
        <v>18</v>
      </c>
      <c r="D319" t="s">
        <v>17</v>
      </c>
      <c r="E319">
        <v>382598</v>
      </c>
      <c r="F319">
        <v>127586</v>
      </c>
      <c r="G319">
        <v>380917</v>
      </c>
      <c r="H319">
        <v>3.7</v>
      </c>
      <c r="I319">
        <v>15</v>
      </c>
      <c r="J319">
        <f t="shared" si="12"/>
        <v>255012</v>
      </c>
      <c r="K319" s="2">
        <f t="shared" si="13"/>
        <v>1.0044130348606126</v>
      </c>
      <c r="L319" s="2">
        <f t="shared" si="14"/>
        <v>0.66652726883046953</v>
      </c>
    </row>
    <row r="320" spans="1:12" x14ac:dyDescent="0.3">
      <c r="A320" s="1">
        <v>45961</v>
      </c>
      <c r="B320" t="s">
        <v>19</v>
      </c>
      <c r="C320" t="s">
        <v>16</v>
      </c>
      <c r="D320" t="s">
        <v>17</v>
      </c>
      <c r="E320">
        <v>208137</v>
      </c>
      <c r="F320">
        <v>89740</v>
      </c>
      <c r="G320">
        <v>185022</v>
      </c>
      <c r="H320">
        <v>4.5</v>
      </c>
      <c r="I320">
        <v>14</v>
      </c>
      <c r="J320">
        <f t="shared" si="12"/>
        <v>118397</v>
      </c>
      <c r="K320" s="2">
        <f t="shared" si="13"/>
        <v>1.1249310892758699</v>
      </c>
      <c r="L320" s="2">
        <f t="shared" si="14"/>
        <v>0.56884167639583538</v>
      </c>
    </row>
    <row r="321" spans="1:12" x14ac:dyDescent="0.3">
      <c r="A321" s="1">
        <v>45422</v>
      </c>
      <c r="B321" t="s">
        <v>19</v>
      </c>
      <c r="C321" t="s">
        <v>13</v>
      </c>
      <c r="D321" t="s">
        <v>14</v>
      </c>
      <c r="E321">
        <v>364195</v>
      </c>
      <c r="F321">
        <v>196328</v>
      </c>
      <c r="G321">
        <v>350977</v>
      </c>
      <c r="H321">
        <v>5</v>
      </c>
      <c r="I321">
        <v>1</v>
      </c>
      <c r="J321">
        <f t="shared" si="12"/>
        <v>167867</v>
      </c>
      <c r="K321" s="2">
        <f t="shared" si="13"/>
        <v>1.0376605874459011</v>
      </c>
      <c r="L321" s="2">
        <f t="shared" si="14"/>
        <v>0.46092615219868477</v>
      </c>
    </row>
    <row r="322" spans="1:12" x14ac:dyDescent="0.3">
      <c r="A322" s="1">
        <v>45767</v>
      </c>
      <c r="B322" t="s">
        <v>19</v>
      </c>
      <c r="C322" t="s">
        <v>10</v>
      </c>
      <c r="D322" t="s">
        <v>17</v>
      </c>
      <c r="E322">
        <v>105665</v>
      </c>
      <c r="F322">
        <v>41941</v>
      </c>
      <c r="G322">
        <v>99779</v>
      </c>
      <c r="H322">
        <v>4.2</v>
      </c>
      <c r="I322">
        <v>5</v>
      </c>
      <c r="J322">
        <f t="shared" si="12"/>
        <v>63724</v>
      </c>
      <c r="K322" s="2">
        <f t="shared" si="13"/>
        <v>1.0589903687148599</v>
      </c>
      <c r="L322" s="2">
        <f t="shared" si="14"/>
        <v>0.60307575829271753</v>
      </c>
    </row>
    <row r="323" spans="1:12" x14ac:dyDescent="0.3">
      <c r="A323" s="1">
        <v>45655</v>
      </c>
      <c r="B323" t="s">
        <v>9</v>
      </c>
      <c r="C323" t="s">
        <v>10</v>
      </c>
      <c r="D323" t="s">
        <v>14</v>
      </c>
      <c r="E323">
        <v>267234</v>
      </c>
      <c r="F323">
        <v>95195</v>
      </c>
      <c r="G323">
        <v>297684</v>
      </c>
      <c r="H323">
        <v>4.3</v>
      </c>
      <c r="I323">
        <v>1</v>
      </c>
      <c r="J323">
        <f t="shared" ref="J323:J386" si="15">E323-F323</f>
        <v>172039</v>
      </c>
      <c r="K323" s="2">
        <f t="shared" ref="K323:K386" si="16">E323/G323</f>
        <v>0.89771032369895598</v>
      </c>
      <c r="L323" s="2">
        <f t="shared" ref="L323:L386" si="17">J323/E323</f>
        <v>0.64377661525105334</v>
      </c>
    </row>
    <row r="324" spans="1:12" x14ac:dyDescent="0.3">
      <c r="A324" s="1">
        <v>45568</v>
      </c>
      <c r="B324" t="s">
        <v>9</v>
      </c>
      <c r="C324" t="s">
        <v>13</v>
      </c>
      <c r="D324" t="s">
        <v>17</v>
      </c>
      <c r="E324">
        <v>231373</v>
      </c>
      <c r="F324">
        <v>122173</v>
      </c>
      <c r="G324">
        <v>206521</v>
      </c>
      <c r="H324">
        <v>4</v>
      </c>
      <c r="I324">
        <v>0</v>
      </c>
      <c r="J324">
        <f t="shared" si="15"/>
        <v>109200</v>
      </c>
      <c r="K324" s="2">
        <f t="shared" si="16"/>
        <v>1.1203364306777519</v>
      </c>
      <c r="L324" s="2">
        <f t="shared" si="17"/>
        <v>0.47196518176278129</v>
      </c>
    </row>
    <row r="325" spans="1:12" x14ac:dyDescent="0.3">
      <c r="A325" s="1">
        <v>45629</v>
      </c>
      <c r="B325" t="s">
        <v>15</v>
      </c>
      <c r="C325" t="s">
        <v>18</v>
      </c>
      <c r="D325" t="s">
        <v>14</v>
      </c>
      <c r="E325">
        <v>427668</v>
      </c>
      <c r="F325">
        <v>166182</v>
      </c>
      <c r="G325">
        <v>466953</v>
      </c>
      <c r="H325">
        <v>4.8</v>
      </c>
      <c r="I325">
        <v>5</v>
      </c>
      <c r="J325">
        <f t="shared" si="15"/>
        <v>261486</v>
      </c>
      <c r="K325" s="2">
        <f t="shared" si="16"/>
        <v>0.91586947722790091</v>
      </c>
      <c r="L325" s="2">
        <f t="shared" si="17"/>
        <v>0.61142287942983808</v>
      </c>
    </row>
    <row r="326" spans="1:12" x14ac:dyDescent="0.3">
      <c r="A326" s="1">
        <v>45580</v>
      </c>
      <c r="B326" t="s">
        <v>9</v>
      </c>
      <c r="C326" t="s">
        <v>10</v>
      </c>
      <c r="D326" t="s">
        <v>17</v>
      </c>
      <c r="E326">
        <v>142161</v>
      </c>
      <c r="F326">
        <v>56594</v>
      </c>
      <c r="G326">
        <v>123806</v>
      </c>
      <c r="H326">
        <v>3.8</v>
      </c>
      <c r="I326">
        <v>2</v>
      </c>
      <c r="J326">
        <f t="shared" si="15"/>
        <v>85567</v>
      </c>
      <c r="K326" s="2">
        <f t="shared" si="16"/>
        <v>1.1482561426748299</v>
      </c>
      <c r="L326" s="2">
        <f t="shared" si="17"/>
        <v>0.6019020687811707</v>
      </c>
    </row>
    <row r="327" spans="1:12" x14ac:dyDescent="0.3">
      <c r="A327" s="1">
        <v>45492</v>
      </c>
      <c r="B327" t="s">
        <v>9</v>
      </c>
      <c r="C327" t="s">
        <v>13</v>
      </c>
      <c r="D327" t="s">
        <v>14</v>
      </c>
      <c r="E327">
        <v>31447</v>
      </c>
      <c r="F327">
        <v>16610</v>
      </c>
      <c r="G327">
        <v>32794</v>
      </c>
      <c r="H327">
        <v>4.5</v>
      </c>
      <c r="I327">
        <v>6</v>
      </c>
      <c r="J327">
        <f t="shared" si="15"/>
        <v>14837</v>
      </c>
      <c r="K327" s="2">
        <f t="shared" si="16"/>
        <v>0.95892541318533875</v>
      </c>
      <c r="L327" s="2">
        <f t="shared" si="17"/>
        <v>0.47180971157821094</v>
      </c>
    </row>
    <row r="328" spans="1:12" x14ac:dyDescent="0.3">
      <c r="A328" s="1">
        <v>45434</v>
      </c>
      <c r="B328" t="s">
        <v>12</v>
      </c>
      <c r="C328" t="s">
        <v>10</v>
      </c>
      <c r="D328" t="s">
        <v>11</v>
      </c>
      <c r="E328">
        <v>412744</v>
      </c>
      <c r="F328">
        <v>200390</v>
      </c>
      <c r="G328">
        <v>444845</v>
      </c>
      <c r="H328">
        <v>4.9000000000000004</v>
      </c>
      <c r="I328">
        <v>4</v>
      </c>
      <c r="J328">
        <f t="shared" si="15"/>
        <v>212354</v>
      </c>
      <c r="K328" s="2">
        <f t="shared" si="16"/>
        <v>0.92783778619519164</v>
      </c>
      <c r="L328" s="2">
        <f t="shared" si="17"/>
        <v>0.51449324520768325</v>
      </c>
    </row>
    <row r="329" spans="1:12" x14ac:dyDescent="0.3">
      <c r="A329" s="1">
        <v>45692</v>
      </c>
      <c r="B329" t="s">
        <v>12</v>
      </c>
      <c r="C329" t="s">
        <v>10</v>
      </c>
      <c r="D329" t="s">
        <v>11</v>
      </c>
      <c r="E329">
        <v>60939</v>
      </c>
      <c r="F329">
        <v>21593</v>
      </c>
      <c r="G329">
        <v>63695</v>
      </c>
      <c r="H329">
        <v>4.8</v>
      </c>
      <c r="I329">
        <v>12</v>
      </c>
      <c r="J329">
        <f t="shared" si="15"/>
        <v>39346</v>
      </c>
      <c r="K329" s="2">
        <f t="shared" si="16"/>
        <v>0.95673129759007769</v>
      </c>
      <c r="L329" s="2">
        <f t="shared" si="17"/>
        <v>0.64566205549812106</v>
      </c>
    </row>
    <row r="330" spans="1:12" x14ac:dyDescent="0.3">
      <c r="A330" s="1">
        <v>45510</v>
      </c>
      <c r="B330" t="s">
        <v>12</v>
      </c>
      <c r="C330" t="s">
        <v>18</v>
      </c>
      <c r="D330" t="s">
        <v>11</v>
      </c>
      <c r="E330">
        <v>486513</v>
      </c>
      <c r="F330">
        <v>243329</v>
      </c>
      <c r="G330">
        <v>446628</v>
      </c>
      <c r="H330">
        <v>4.0999999999999996</v>
      </c>
      <c r="I330">
        <v>7</v>
      </c>
      <c r="J330">
        <f t="shared" si="15"/>
        <v>243184</v>
      </c>
      <c r="K330" s="2">
        <f t="shared" si="16"/>
        <v>1.0893025067841693</v>
      </c>
      <c r="L330" s="2">
        <f t="shared" si="17"/>
        <v>0.49985098034379349</v>
      </c>
    </row>
    <row r="331" spans="1:12" x14ac:dyDescent="0.3">
      <c r="A331" s="1">
        <v>45993</v>
      </c>
      <c r="B331" t="s">
        <v>12</v>
      </c>
      <c r="C331" t="s">
        <v>18</v>
      </c>
      <c r="D331" t="s">
        <v>17</v>
      </c>
      <c r="E331">
        <v>569872</v>
      </c>
      <c r="F331">
        <v>274837</v>
      </c>
      <c r="G331">
        <v>487468</v>
      </c>
      <c r="H331">
        <v>4.0999999999999996</v>
      </c>
      <c r="I331">
        <v>13</v>
      </c>
      <c r="J331">
        <f t="shared" si="15"/>
        <v>295035</v>
      </c>
      <c r="K331" s="2">
        <f t="shared" si="16"/>
        <v>1.1690449424372471</v>
      </c>
      <c r="L331" s="2">
        <f t="shared" si="17"/>
        <v>0.51772152342982281</v>
      </c>
    </row>
    <row r="332" spans="1:12" x14ac:dyDescent="0.3">
      <c r="A332" s="1">
        <v>45561</v>
      </c>
      <c r="B332" t="s">
        <v>15</v>
      </c>
      <c r="C332" t="s">
        <v>16</v>
      </c>
      <c r="D332" t="s">
        <v>11</v>
      </c>
      <c r="E332">
        <v>63909</v>
      </c>
      <c r="F332">
        <v>19950</v>
      </c>
      <c r="G332">
        <v>70160</v>
      </c>
      <c r="H332">
        <v>4.5</v>
      </c>
      <c r="I332">
        <v>2</v>
      </c>
      <c r="J332">
        <f t="shared" si="15"/>
        <v>43959</v>
      </c>
      <c r="K332" s="2">
        <f t="shared" si="16"/>
        <v>0.91090364880273655</v>
      </c>
      <c r="L332" s="2">
        <f t="shared" si="17"/>
        <v>0.68783739379430131</v>
      </c>
    </row>
    <row r="333" spans="1:12" x14ac:dyDescent="0.3">
      <c r="A333" s="1">
        <v>45575</v>
      </c>
      <c r="B333" t="s">
        <v>9</v>
      </c>
      <c r="C333" t="s">
        <v>10</v>
      </c>
      <c r="D333" t="s">
        <v>11</v>
      </c>
      <c r="E333">
        <v>38365</v>
      </c>
      <c r="F333">
        <v>17657</v>
      </c>
      <c r="G333">
        <v>39840</v>
      </c>
      <c r="H333">
        <v>4.3</v>
      </c>
      <c r="I333">
        <v>14</v>
      </c>
      <c r="J333">
        <f t="shared" si="15"/>
        <v>20708</v>
      </c>
      <c r="K333" s="2">
        <f t="shared" si="16"/>
        <v>0.96297690763052213</v>
      </c>
      <c r="L333" s="2">
        <f t="shared" si="17"/>
        <v>0.53976280463964554</v>
      </c>
    </row>
    <row r="334" spans="1:12" x14ac:dyDescent="0.3">
      <c r="A334" s="1">
        <v>45689</v>
      </c>
      <c r="B334" t="s">
        <v>9</v>
      </c>
      <c r="C334" t="s">
        <v>16</v>
      </c>
      <c r="D334" t="s">
        <v>14</v>
      </c>
      <c r="E334">
        <v>220748</v>
      </c>
      <c r="F334">
        <v>127380</v>
      </c>
      <c r="G334">
        <v>203655</v>
      </c>
      <c r="H334">
        <v>3.5</v>
      </c>
      <c r="I334">
        <v>3</v>
      </c>
      <c r="J334">
        <f t="shared" si="15"/>
        <v>93368</v>
      </c>
      <c r="K334" s="2">
        <f t="shared" si="16"/>
        <v>1.0839311580859787</v>
      </c>
      <c r="L334" s="2">
        <f t="shared" si="17"/>
        <v>0.42296192943990435</v>
      </c>
    </row>
    <row r="335" spans="1:12" x14ac:dyDescent="0.3">
      <c r="A335" s="1">
        <v>45667</v>
      </c>
      <c r="B335" t="s">
        <v>9</v>
      </c>
      <c r="C335" t="s">
        <v>10</v>
      </c>
      <c r="D335" t="s">
        <v>17</v>
      </c>
      <c r="E335">
        <v>400346</v>
      </c>
      <c r="F335">
        <v>207710</v>
      </c>
      <c r="G335">
        <v>376315</v>
      </c>
      <c r="H335">
        <v>4.5999999999999996</v>
      </c>
      <c r="I335">
        <v>4</v>
      </c>
      <c r="J335">
        <f t="shared" si="15"/>
        <v>192636</v>
      </c>
      <c r="K335" s="2">
        <f t="shared" si="16"/>
        <v>1.0638587353679763</v>
      </c>
      <c r="L335" s="2">
        <f t="shared" si="17"/>
        <v>0.48117378467625505</v>
      </c>
    </row>
    <row r="336" spans="1:12" x14ac:dyDescent="0.3">
      <c r="A336" s="1">
        <v>45999</v>
      </c>
      <c r="B336" t="s">
        <v>12</v>
      </c>
      <c r="C336" t="s">
        <v>13</v>
      </c>
      <c r="D336" t="s">
        <v>17</v>
      </c>
      <c r="E336">
        <v>424694</v>
      </c>
      <c r="F336">
        <v>189427</v>
      </c>
      <c r="G336">
        <v>474676</v>
      </c>
      <c r="H336">
        <v>3.8</v>
      </c>
      <c r="I336">
        <v>12</v>
      </c>
      <c r="J336">
        <f t="shared" si="15"/>
        <v>235267</v>
      </c>
      <c r="K336" s="2">
        <f t="shared" si="16"/>
        <v>0.89470291314496631</v>
      </c>
      <c r="L336" s="2">
        <f t="shared" si="17"/>
        <v>0.55396826891832707</v>
      </c>
    </row>
    <row r="337" spans="1:12" x14ac:dyDescent="0.3">
      <c r="A337" s="1">
        <v>45986</v>
      </c>
      <c r="B337" t="s">
        <v>9</v>
      </c>
      <c r="C337" t="s">
        <v>10</v>
      </c>
      <c r="D337" t="s">
        <v>17</v>
      </c>
      <c r="E337">
        <v>107136</v>
      </c>
      <c r="F337">
        <v>66381</v>
      </c>
      <c r="G337">
        <v>109797</v>
      </c>
      <c r="H337">
        <v>5</v>
      </c>
      <c r="I337">
        <v>15</v>
      </c>
      <c r="J337">
        <f t="shared" si="15"/>
        <v>40755</v>
      </c>
      <c r="K337" s="2">
        <f t="shared" si="16"/>
        <v>0.97576436514658871</v>
      </c>
      <c r="L337" s="2">
        <f t="shared" si="17"/>
        <v>0.38040434587813621</v>
      </c>
    </row>
    <row r="338" spans="1:12" x14ac:dyDescent="0.3">
      <c r="A338" s="1">
        <v>45853</v>
      </c>
      <c r="B338" t="s">
        <v>19</v>
      </c>
      <c r="C338" t="s">
        <v>18</v>
      </c>
      <c r="D338" t="s">
        <v>14</v>
      </c>
      <c r="E338">
        <v>191572</v>
      </c>
      <c r="F338">
        <v>72909</v>
      </c>
      <c r="G338">
        <v>197260</v>
      </c>
      <c r="H338">
        <v>3.7</v>
      </c>
      <c r="I338">
        <v>15</v>
      </c>
      <c r="J338">
        <f t="shared" si="15"/>
        <v>118663</v>
      </c>
      <c r="K338" s="2">
        <f t="shared" si="16"/>
        <v>0.97116495995133323</v>
      </c>
      <c r="L338" s="2">
        <f t="shared" si="17"/>
        <v>0.61941724260330322</v>
      </c>
    </row>
    <row r="339" spans="1:12" x14ac:dyDescent="0.3">
      <c r="A339" s="1">
        <v>45492</v>
      </c>
      <c r="B339" t="s">
        <v>19</v>
      </c>
      <c r="C339" t="s">
        <v>10</v>
      </c>
      <c r="D339" t="s">
        <v>11</v>
      </c>
      <c r="E339">
        <v>281312</v>
      </c>
      <c r="F339">
        <v>95169</v>
      </c>
      <c r="G339">
        <v>287369</v>
      </c>
      <c r="H339">
        <v>4.3</v>
      </c>
      <c r="I339">
        <v>1</v>
      </c>
      <c r="J339">
        <f t="shared" si="15"/>
        <v>186143</v>
      </c>
      <c r="K339" s="2">
        <f t="shared" si="16"/>
        <v>0.9789225699362144</v>
      </c>
      <c r="L339" s="2">
        <f t="shared" si="17"/>
        <v>0.66169591059037647</v>
      </c>
    </row>
    <row r="340" spans="1:12" x14ac:dyDescent="0.3">
      <c r="A340" s="1">
        <v>45722</v>
      </c>
      <c r="B340" t="s">
        <v>9</v>
      </c>
      <c r="C340" t="s">
        <v>13</v>
      </c>
      <c r="D340" t="s">
        <v>17</v>
      </c>
      <c r="E340">
        <v>120155</v>
      </c>
      <c r="F340">
        <v>47321</v>
      </c>
      <c r="G340">
        <v>123828</v>
      </c>
      <c r="H340">
        <v>4.8</v>
      </c>
      <c r="I340">
        <v>13</v>
      </c>
      <c r="J340">
        <f t="shared" si="15"/>
        <v>72834</v>
      </c>
      <c r="K340" s="2">
        <f t="shared" si="16"/>
        <v>0.97033788803824661</v>
      </c>
      <c r="L340" s="2">
        <f t="shared" si="17"/>
        <v>0.60616703424743035</v>
      </c>
    </row>
    <row r="341" spans="1:12" x14ac:dyDescent="0.3">
      <c r="A341" s="1">
        <v>45896</v>
      </c>
      <c r="B341" t="s">
        <v>15</v>
      </c>
      <c r="C341" t="s">
        <v>13</v>
      </c>
      <c r="D341" t="s">
        <v>14</v>
      </c>
      <c r="E341">
        <v>362050</v>
      </c>
      <c r="F341">
        <v>146706</v>
      </c>
      <c r="G341">
        <v>333531</v>
      </c>
      <c r="H341">
        <v>4.3</v>
      </c>
      <c r="I341">
        <v>8</v>
      </c>
      <c r="J341">
        <f t="shared" si="15"/>
        <v>215344</v>
      </c>
      <c r="K341" s="2">
        <f t="shared" si="16"/>
        <v>1.085506294767203</v>
      </c>
      <c r="L341" s="2">
        <f t="shared" si="17"/>
        <v>0.59479077475486808</v>
      </c>
    </row>
    <row r="342" spans="1:12" x14ac:dyDescent="0.3">
      <c r="A342" s="1">
        <v>45831</v>
      </c>
      <c r="B342" t="s">
        <v>9</v>
      </c>
      <c r="C342" t="s">
        <v>16</v>
      </c>
      <c r="D342" t="s">
        <v>14</v>
      </c>
      <c r="E342">
        <v>280914</v>
      </c>
      <c r="F342">
        <v>149220</v>
      </c>
      <c r="G342">
        <v>261663</v>
      </c>
      <c r="H342">
        <v>4.2</v>
      </c>
      <c r="I342">
        <v>5</v>
      </c>
      <c r="J342">
        <f t="shared" si="15"/>
        <v>131694</v>
      </c>
      <c r="K342" s="2">
        <f t="shared" si="16"/>
        <v>1.0735717315784044</v>
      </c>
      <c r="L342" s="2">
        <f t="shared" si="17"/>
        <v>0.46880539951729</v>
      </c>
    </row>
    <row r="343" spans="1:12" x14ac:dyDescent="0.3">
      <c r="A343" s="1">
        <v>45652</v>
      </c>
      <c r="B343" t="s">
        <v>19</v>
      </c>
      <c r="C343" t="s">
        <v>13</v>
      </c>
      <c r="D343" t="s">
        <v>11</v>
      </c>
      <c r="E343">
        <v>586969</v>
      </c>
      <c r="F343">
        <v>201069</v>
      </c>
      <c r="G343">
        <v>499438</v>
      </c>
      <c r="H343">
        <v>3.6</v>
      </c>
      <c r="I343">
        <v>5</v>
      </c>
      <c r="J343">
        <f t="shared" si="15"/>
        <v>385900</v>
      </c>
      <c r="K343" s="2">
        <f t="shared" si="16"/>
        <v>1.1752589911060032</v>
      </c>
      <c r="L343" s="2">
        <f t="shared" si="17"/>
        <v>0.6574452824595507</v>
      </c>
    </row>
    <row r="344" spans="1:12" x14ac:dyDescent="0.3">
      <c r="A344" s="1">
        <v>45553</v>
      </c>
      <c r="B344" t="s">
        <v>15</v>
      </c>
      <c r="C344" t="s">
        <v>18</v>
      </c>
      <c r="D344" t="s">
        <v>11</v>
      </c>
      <c r="E344">
        <v>357515</v>
      </c>
      <c r="F344">
        <v>184690</v>
      </c>
      <c r="G344">
        <v>355588</v>
      </c>
      <c r="H344">
        <v>3.8</v>
      </c>
      <c r="I344">
        <v>8</v>
      </c>
      <c r="J344">
        <f t="shared" si="15"/>
        <v>172825</v>
      </c>
      <c r="K344" s="2">
        <f t="shared" si="16"/>
        <v>1.0054191929986389</v>
      </c>
      <c r="L344" s="2">
        <f t="shared" si="17"/>
        <v>0.48340629064514773</v>
      </c>
    </row>
    <row r="345" spans="1:12" x14ac:dyDescent="0.3">
      <c r="A345" s="1">
        <v>45582</v>
      </c>
      <c r="B345" t="s">
        <v>9</v>
      </c>
      <c r="C345" t="s">
        <v>10</v>
      </c>
      <c r="D345" t="s">
        <v>14</v>
      </c>
      <c r="E345">
        <v>410012</v>
      </c>
      <c r="F345">
        <v>255170</v>
      </c>
      <c r="G345">
        <v>349452</v>
      </c>
      <c r="H345">
        <v>3.8</v>
      </c>
      <c r="I345">
        <v>12</v>
      </c>
      <c r="J345">
        <f t="shared" si="15"/>
        <v>154842</v>
      </c>
      <c r="K345" s="2">
        <f t="shared" si="16"/>
        <v>1.1732999095727024</v>
      </c>
      <c r="L345" s="2">
        <f t="shared" si="17"/>
        <v>0.37765236139430064</v>
      </c>
    </row>
    <row r="346" spans="1:12" x14ac:dyDescent="0.3">
      <c r="A346" s="1">
        <v>45846</v>
      </c>
      <c r="B346" t="s">
        <v>9</v>
      </c>
      <c r="C346" t="s">
        <v>13</v>
      </c>
      <c r="D346" t="s">
        <v>14</v>
      </c>
      <c r="E346">
        <v>368182</v>
      </c>
      <c r="F346">
        <v>175416</v>
      </c>
      <c r="G346">
        <v>337090</v>
      </c>
      <c r="H346">
        <v>4.0999999999999996</v>
      </c>
      <c r="I346">
        <v>4</v>
      </c>
      <c r="J346">
        <f t="shared" si="15"/>
        <v>192766</v>
      </c>
      <c r="K346" s="2">
        <f t="shared" si="16"/>
        <v>1.0922364947046783</v>
      </c>
      <c r="L346" s="2">
        <f t="shared" si="17"/>
        <v>0.52356171675964602</v>
      </c>
    </row>
    <row r="347" spans="1:12" x14ac:dyDescent="0.3">
      <c r="A347" s="1">
        <v>45673</v>
      </c>
      <c r="B347" t="s">
        <v>19</v>
      </c>
      <c r="C347" t="s">
        <v>10</v>
      </c>
      <c r="D347" t="s">
        <v>14</v>
      </c>
      <c r="E347">
        <v>80448</v>
      </c>
      <c r="F347">
        <v>29809</v>
      </c>
      <c r="G347">
        <v>81210</v>
      </c>
      <c r="H347">
        <v>4.8</v>
      </c>
      <c r="I347">
        <v>8</v>
      </c>
      <c r="J347">
        <f t="shared" si="15"/>
        <v>50639</v>
      </c>
      <c r="K347" s="2">
        <f t="shared" si="16"/>
        <v>0.99061691909863314</v>
      </c>
      <c r="L347" s="2">
        <f t="shared" si="17"/>
        <v>0.62946250994431185</v>
      </c>
    </row>
    <row r="348" spans="1:12" x14ac:dyDescent="0.3">
      <c r="A348" s="1">
        <v>45474</v>
      </c>
      <c r="B348" t="s">
        <v>19</v>
      </c>
      <c r="C348" t="s">
        <v>18</v>
      </c>
      <c r="D348" t="s">
        <v>14</v>
      </c>
      <c r="E348">
        <v>32207</v>
      </c>
      <c r="F348">
        <v>19534</v>
      </c>
      <c r="G348">
        <v>31729</v>
      </c>
      <c r="H348">
        <v>4.9000000000000004</v>
      </c>
      <c r="I348">
        <v>10</v>
      </c>
      <c r="J348">
        <f t="shared" si="15"/>
        <v>12673</v>
      </c>
      <c r="K348" s="2">
        <f t="shared" si="16"/>
        <v>1.0150650824167167</v>
      </c>
      <c r="L348" s="2">
        <f t="shared" si="17"/>
        <v>0.39348588816095881</v>
      </c>
    </row>
    <row r="349" spans="1:12" x14ac:dyDescent="0.3">
      <c r="A349" s="1">
        <v>45848</v>
      </c>
      <c r="B349" t="s">
        <v>19</v>
      </c>
      <c r="C349" t="s">
        <v>13</v>
      </c>
      <c r="D349" t="s">
        <v>11</v>
      </c>
      <c r="E349">
        <v>54363</v>
      </c>
      <c r="F349">
        <v>18576</v>
      </c>
      <c r="G349">
        <v>57853</v>
      </c>
      <c r="H349">
        <v>4.4000000000000004</v>
      </c>
      <c r="I349">
        <v>7</v>
      </c>
      <c r="J349">
        <f t="shared" si="15"/>
        <v>35787</v>
      </c>
      <c r="K349" s="2">
        <f t="shared" si="16"/>
        <v>0.93967469275577753</v>
      </c>
      <c r="L349" s="2">
        <f t="shared" si="17"/>
        <v>0.65829700347662934</v>
      </c>
    </row>
    <row r="350" spans="1:12" x14ac:dyDescent="0.3">
      <c r="A350" s="1">
        <v>45531</v>
      </c>
      <c r="B350" t="s">
        <v>19</v>
      </c>
      <c r="C350" t="s">
        <v>10</v>
      </c>
      <c r="D350" t="s">
        <v>17</v>
      </c>
      <c r="E350">
        <v>458614</v>
      </c>
      <c r="F350">
        <v>172273</v>
      </c>
      <c r="G350">
        <v>390037</v>
      </c>
      <c r="H350">
        <v>4.5</v>
      </c>
      <c r="I350">
        <v>11</v>
      </c>
      <c r="J350">
        <f t="shared" si="15"/>
        <v>286341</v>
      </c>
      <c r="K350" s="2">
        <f t="shared" si="16"/>
        <v>1.1758217810105196</v>
      </c>
      <c r="L350" s="2">
        <f t="shared" si="17"/>
        <v>0.62436166362125889</v>
      </c>
    </row>
    <row r="351" spans="1:12" x14ac:dyDescent="0.3">
      <c r="A351" s="1">
        <v>45634</v>
      </c>
      <c r="B351" t="s">
        <v>15</v>
      </c>
      <c r="C351" t="s">
        <v>10</v>
      </c>
      <c r="D351" t="s">
        <v>11</v>
      </c>
      <c r="E351">
        <v>467411</v>
      </c>
      <c r="F351">
        <v>245386</v>
      </c>
      <c r="G351">
        <v>490588</v>
      </c>
      <c r="H351">
        <v>4.7</v>
      </c>
      <c r="I351">
        <v>1</v>
      </c>
      <c r="J351">
        <f t="shared" si="15"/>
        <v>222025</v>
      </c>
      <c r="K351" s="2">
        <f t="shared" si="16"/>
        <v>0.95275669196963642</v>
      </c>
      <c r="L351" s="2">
        <f t="shared" si="17"/>
        <v>0.47501021584857867</v>
      </c>
    </row>
    <row r="352" spans="1:12" x14ac:dyDescent="0.3">
      <c r="A352" s="1">
        <v>45711</v>
      </c>
      <c r="B352" t="s">
        <v>15</v>
      </c>
      <c r="C352" t="s">
        <v>10</v>
      </c>
      <c r="D352" t="s">
        <v>11</v>
      </c>
      <c r="E352">
        <v>44542</v>
      </c>
      <c r="F352">
        <v>14961</v>
      </c>
      <c r="G352">
        <v>43262</v>
      </c>
      <c r="H352">
        <v>4</v>
      </c>
      <c r="I352">
        <v>3</v>
      </c>
      <c r="J352">
        <f t="shared" si="15"/>
        <v>29581</v>
      </c>
      <c r="K352" s="2">
        <f t="shared" si="16"/>
        <v>1.0295871665665017</v>
      </c>
      <c r="L352" s="2">
        <f t="shared" si="17"/>
        <v>0.66411476808405545</v>
      </c>
    </row>
    <row r="353" spans="1:12" x14ac:dyDescent="0.3">
      <c r="A353" s="1">
        <v>45332</v>
      </c>
      <c r="B353" t="s">
        <v>12</v>
      </c>
      <c r="C353" t="s">
        <v>16</v>
      </c>
      <c r="D353" t="s">
        <v>11</v>
      </c>
      <c r="E353">
        <v>439852</v>
      </c>
      <c r="F353">
        <v>185646</v>
      </c>
      <c r="G353">
        <v>491055</v>
      </c>
      <c r="H353">
        <v>4.4000000000000004</v>
      </c>
      <c r="I353">
        <v>8</v>
      </c>
      <c r="J353">
        <f t="shared" si="15"/>
        <v>254206</v>
      </c>
      <c r="K353" s="2">
        <f t="shared" si="16"/>
        <v>0.89572858437445912</v>
      </c>
      <c r="L353" s="2">
        <f t="shared" si="17"/>
        <v>0.57793530551185401</v>
      </c>
    </row>
    <row r="354" spans="1:12" x14ac:dyDescent="0.3">
      <c r="A354" s="1">
        <v>45501</v>
      </c>
      <c r="B354" t="s">
        <v>12</v>
      </c>
      <c r="C354" t="s">
        <v>16</v>
      </c>
      <c r="D354" t="s">
        <v>14</v>
      </c>
      <c r="E354">
        <v>115848</v>
      </c>
      <c r="F354">
        <v>40534</v>
      </c>
      <c r="G354">
        <v>123632</v>
      </c>
      <c r="H354">
        <v>3.7</v>
      </c>
      <c r="I354">
        <v>6</v>
      </c>
      <c r="J354">
        <f t="shared" si="15"/>
        <v>75314</v>
      </c>
      <c r="K354" s="2">
        <f t="shared" si="16"/>
        <v>0.93703895431603468</v>
      </c>
      <c r="L354" s="2">
        <f t="shared" si="17"/>
        <v>0.6501104896070713</v>
      </c>
    </row>
    <row r="355" spans="1:12" x14ac:dyDescent="0.3">
      <c r="A355" s="1">
        <v>45805</v>
      </c>
      <c r="B355" t="s">
        <v>19</v>
      </c>
      <c r="C355" t="s">
        <v>16</v>
      </c>
      <c r="D355" t="s">
        <v>11</v>
      </c>
      <c r="E355">
        <v>147103</v>
      </c>
      <c r="F355">
        <v>85813</v>
      </c>
      <c r="G355">
        <v>125554</v>
      </c>
      <c r="H355">
        <v>4.0999999999999996</v>
      </c>
      <c r="I355">
        <v>13</v>
      </c>
      <c r="J355">
        <f t="shared" si="15"/>
        <v>61290</v>
      </c>
      <c r="K355" s="2">
        <f t="shared" si="16"/>
        <v>1.1716313299456806</v>
      </c>
      <c r="L355" s="2">
        <f t="shared" si="17"/>
        <v>0.41664683928947743</v>
      </c>
    </row>
    <row r="356" spans="1:12" x14ac:dyDescent="0.3">
      <c r="A356" s="1">
        <v>45710</v>
      </c>
      <c r="B356" t="s">
        <v>12</v>
      </c>
      <c r="C356" t="s">
        <v>10</v>
      </c>
      <c r="D356" t="s">
        <v>11</v>
      </c>
      <c r="E356">
        <v>230972</v>
      </c>
      <c r="F356">
        <v>142019</v>
      </c>
      <c r="G356">
        <v>204849</v>
      </c>
      <c r="H356">
        <v>4.3</v>
      </c>
      <c r="I356">
        <v>14</v>
      </c>
      <c r="J356">
        <f t="shared" si="15"/>
        <v>88953</v>
      </c>
      <c r="K356" s="2">
        <f t="shared" si="16"/>
        <v>1.1275232000156212</v>
      </c>
      <c r="L356" s="2">
        <f t="shared" si="17"/>
        <v>0.3851246038480855</v>
      </c>
    </row>
    <row r="357" spans="1:12" x14ac:dyDescent="0.3">
      <c r="A357" s="1">
        <v>45514</v>
      </c>
      <c r="B357" t="s">
        <v>19</v>
      </c>
      <c r="C357" t="s">
        <v>18</v>
      </c>
      <c r="D357" t="s">
        <v>14</v>
      </c>
      <c r="E357">
        <v>17461</v>
      </c>
      <c r="F357">
        <v>8831</v>
      </c>
      <c r="G357">
        <v>19304</v>
      </c>
      <c r="H357">
        <v>4.0999999999999996</v>
      </c>
      <c r="I357">
        <v>11</v>
      </c>
      <c r="J357">
        <f t="shared" si="15"/>
        <v>8630</v>
      </c>
      <c r="K357" s="2">
        <f t="shared" si="16"/>
        <v>0.90452755905511806</v>
      </c>
      <c r="L357" s="2">
        <f t="shared" si="17"/>
        <v>0.49424431590401469</v>
      </c>
    </row>
    <row r="358" spans="1:12" x14ac:dyDescent="0.3">
      <c r="A358" s="1">
        <v>45720</v>
      </c>
      <c r="B358" t="s">
        <v>12</v>
      </c>
      <c r="C358" t="s">
        <v>10</v>
      </c>
      <c r="D358" t="s">
        <v>14</v>
      </c>
      <c r="E358">
        <v>216821</v>
      </c>
      <c r="F358">
        <v>95599</v>
      </c>
      <c r="G358">
        <v>199016</v>
      </c>
      <c r="H358">
        <v>4.0999999999999996</v>
      </c>
      <c r="I358">
        <v>9</v>
      </c>
      <c r="J358">
        <f t="shared" si="15"/>
        <v>121222</v>
      </c>
      <c r="K358" s="2">
        <f t="shared" si="16"/>
        <v>1.0894651686296579</v>
      </c>
      <c r="L358" s="2">
        <f t="shared" si="17"/>
        <v>0.55908791122631107</v>
      </c>
    </row>
    <row r="359" spans="1:12" x14ac:dyDescent="0.3">
      <c r="A359" s="1">
        <v>45486</v>
      </c>
      <c r="B359" t="s">
        <v>9</v>
      </c>
      <c r="C359" t="s">
        <v>13</v>
      </c>
      <c r="D359" t="s">
        <v>11</v>
      </c>
      <c r="E359">
        <v>326456</v>
      </c>
      <c r="F359">
        <v>195331</v>
      </c>
      <c r="G359">
        <v>364617</v>
      </c>
      <c r="H359">
        <v>3.5</v>
      </c>
      <c r="I359">
        <v>14</v>
      </c>
      <c r="J359">
        <f t="shared" si="15"/>
        <v>131125</v>
      </c>
      <c r="K359" s="2">
        <f t="shared" si="16"/>
        <v>0.89533949322165451</v>
      </c>
      <c r="L359" s="2">
        <f t="shared" si="17"/>
        <v>0.4016620922880878</v>
      </c>
    </row>
    <row r="360" spans="1:12" x14ac:dyDescent="0.3">
      <c r="A360" s="1">
        <v>45409</v>
      </c>
      <c r="B360" t="s">
        <v>9</v>
      </c>
      <c r="C360" t="s">
        <v>13</v>
      </c>
      <c r="D360" t="s">
        <v>14</v>
      </c>
      <c r="E360">
        <v>249511</v>
      </c>
      <c r="F360">
        <v>114399</v>
      </c>
      <c r="G360">
        <v>224482</v>
      </c>
      <c r="H360">
        <v>4.5</v>
      </c>
      <c r="I360">
        <v>6</v>
      </c>
      <c r="J360">
        <f t="shared" si="15"/>
        <v>135112</v>
      </c>
      <c r="K360" s="2">
        <f t="shared" si="16"/>
        <v>1.1114966901577854</v>
      </c>
      <c r="L360" s="2">
        <f t="shared" si="17"/>
        <v>0.5415071880598451</v>
      </c>
    </row>
    <row r="361" spans="1:12" x14ac:dyDescent="0.3">
      <c r="A361" s="1">
        <v>45712</v>
      </c>
      <c r="B361" t="s">
        <v>9</v>
      </c>
      <c r="C361" t="s">
        <v>10</v>
      </c>
      <c r="D361" t="s">
        <v>14</v>
      </c>
      <c r="E361">
        <v>487742</v>
      </c>
      <c r="F361">
        <v>245855</v>
      </c>
      <c r="G361">
        <v>490264</v>
      </c>
      <c r="H361">
        <v>4.0999999999999996</v>
      </c>
      <c r="I361">
        <v>3</v>
      </c>
      <c r="J361">
        <f t="shared" si="15"/>
        <v>241887</v>
      </c>
      <c r="K361" s="2">
        <f t="shared" si="16"/>
        <v>0.99485583277581058</v>
      </c>
      <c r="L361" s="2">
        <f t="shared" si="17"/>
        <v>0.49593227567033393</v>
      </c>
    </row>
    <row r="362" spans="1:12" x14ac:dyDescent="0.3">
      <c r="A362" s="1">
        <v>45710</v>
      </c>
      <c r="B362" t="s">
        <v>12</v>
      </c>
      <c r="C362" t="s">
        <v>18</v>
      </c>
      <c r="D362" t="s">
        <v>11</v>
      </c>
      <c r="E362">
        <v>414954</v>
      </c>
      <c r="F362">
        <v>185568</v>
      </c>
      <c r="G362">
        <v>365316</v>
      </c>
      <c r="H362">
        <v>4.8</v>
      </c>
      <c r="I362">
        <v>13</v>
      </c>
      <c r="J362">
        <f t="shared" si="15"/>
        <v>229386</v>
      </c>
      <c r="K362" s="2">
        <f t="shared" si="16"/>
        <v>1.1358768846697107</v>
      </c>
      <c r="L362" s="2">
        <f t="shared" si="17"/>
        <v>0.55279862346187769</v>
      </c>
    </row>
    <row r="363" spans="1:12" x14ac:dyDescent="0.3">
      <c r="A363" s="1">
        <v>45683</v>
      </c>
      <c r="B363" t="s">
        <v>15</v>
      </c>
      <c r="C363" t="s">
        <v>13</v>
      </c>
      <c r="D363" t="s">
        <v>17</v>
      </c>
      <c r="E363">
        <v>105040</v>
      </c>
      <c r="F363">
        <v>58594</v>
      </c>
      <c r="G363">
        <v>104585</v>
      </c>
      <c r="H363">
        <v>3.5</v>
      </c>
      <c r="I363">
        <v>0</v>
      </c>
      <c r="J363">
        <f t="shared" si="15"/>
        <v>46446</v>
      </c>
      <c r="K363" s="2">
        <f t="shared" si="16"/>
        <v>1.0043505282784337</v>
      </c>
      <c r="L363" s="2">
        <f t="shared" si="17"/>
        <v>0.44217440974866717</v>
      </c>
    </row>
    <row r="364" spans="1:12" x14ac:dyDescent="0.3">
      <c r="A364" s="1">
        <v>45734</v>
      </c>
      <c r="B364" t="s">
        <v>12</v>
      </c>
      <c r="C364" t="s">
        <v>18</v>
      </c>
      <c r="D364" t="s">
        <v>14</v>
      </c>
      <c r="E364">
        <v>230931</v>
      </c>
      <c r="F364">
        <v>140013</v>
      </c>
      <c r="G364">
        <v>198435</v>
      </c>
      <c r="H364">
        <v>4.0999999999999996</v>
      </c>
      <c r="I364">
        <v>9</v>
      </c>
      <c r="J364">
        <f t="shared" si="15"/>
        <v>90918</v>
      </c>
      <c r="K364" s="2">
        <f t="shared" si="16"/>
        <v>1.1637614332149067</v>
      </c>
      <c r="L364" s="2">
        <f t="shared" si="17"/>
        <v>0.39370201488756384</v>
      </c>
    </row>
    <row r="365" spans="1:12" x14ac:dyDescent="0.3">
      <c r="A365" s="1">
        <v>45525</v>
      </c>
      <c r="B365" t="s">
        <v>12</v>
      </c>
      <c r="C365" t="s">
        <v>16</v>
      </c>
      <c r="D365" t="s">
        <v>17</v>
      </c>
      <c r="E365">
        <v>482890</v>
      </c>
      <c r="F365">
        <v>234898</v>
      </c>
      <c r="G365">
        <v>452358</v>
      </c>
      <c r="H365">
        <v>4.9000000000000004</v>
      </c>
      <c r="I365">
        <v>12</v>
      </c>
      <c r="J365">
        <f t="shared" si="15"/>
        <v>247992</v>
      </c>
      <c r="K365" s="2">
        <f t="shared" si="16"/>
        <v>1.0674952139676981</v>
      </c>
      <c r="L365" s="2">
        <f t="shared" si="17"/>
        <v>0.51355795315703368</v>
      </c>
    </row>
    <row r="366" spans="1:12" x14ac:dyDescent="0.3">
      <c r="A366" s="1">
        <v>45416</v>
      </c>
      <c r="B366" t="s">
        <v>19</v>
      </c>
      <c r="C366" t="s">
        <v>16</v>
      </c>
      <c r="D366" t="s">
        <v>14</v>
      </c>
      <c r="E366">
        <v>41778</v>
      </c>
      <c r="F366">
        <v>20001</v>
      </c>
      <c r="G366">
        <v>47980</v>
      </c>
      <c r="H366">
        <v>4.3</v>
      </c>
      <c r="I366">
        <v>6</v>
      </c>
      <c r="J366">
        <f t="shared" si="15"/>
        <v>21777</v>
      </c>
      <c r="K366" s="2">
        <f t="shared" si="16"/>
        <v>0.87073780741975826</v>
      </c>
      <c r="L366" s="2">
        <f t="shared" si="17"/>
        <v>0.52125520608932929</v>
      </c>
    </row>
    <row r="367" spans="1:12" x14ac:dyDescent="0.3">
      <c r="A367" s="1">
        <v>45368</v>
      </c>
      <c r="B367" t="s">
        <v>12</v>
      </c>
      <c r="C367" t="s">
        <v>18</v>
      </c>
      <c r="D367" t="s">
        <v>17</v>
      </c>
      <c r="E367">
        <v>343299</v>
      </c>
      <c r="F367">
        <v>166275</v>
      </c>
      <c r="G367">
        <v>326860</v>
      </c>
      <c r="H367">
        <v>4.3</v>
      </c>
      <c r="I367">
        <v>0</v>
      </c>
      <c r="J367">
        <f t="shared" si="15"/>
        <v>177024</v>
      </c>
      <c r="K367" s="2">
        <f t="shared" si="16"/>
        <v>1.050293703726366</v>
      </c>
      <c r="L367" s="2">
        <f t="shared" si="17"/>
        <v>0.51565544904004967</v>
      </c>
    </row>
    <row r="368" spans="1:12" x14ac:dyDescent="0.3">
      <c r="A368" s="1">
        <v>45456</v>
      </c>
      <c r="B368" t="s">
        <v>19</v>
      </c>
      <c r="C368" t="s">
        <v>10</v>
      </c>
      <c r="D368" t="s">
        <v>14</v>
      </c>
      <c r="E368">
        <v>348593</v>
      </c>
      <c r="F368">
        <v>137843</v>
      </c>
      <c r="G368">
        <v>383485</v>
      </c>
      <c r="H368">
        <v>4.2</v>
      </c>
      <c r="I368">
        <v>12</v>
      </c>
      <c r="J368">
        <f t="shared" si="15"/>
        <v>210750</v>
      </c>
      <c r="K368" s="2">
        <f t="shared" si="16"/>
        <v>0.90901339035425111</v>
      </c>
      <c r="L368" s="2">
        <f t="shared" si="17"/>
        <v>0.60457324157398451</v>
      </c>
    </row>
    <row r="369" spans="1:12" x14ac:dyDescent="0.3">
      <c r="A369" s="1">
        <v>45845</v>
      </c>
      <c r="B369" t="s">
        <v>15</v>
      </c>
      <c r="C369" t="s">
        <v>13</v>
      </c>
      <c r="D369" t="s">
        <v>14</v>
      </c>
      <c r="E369">
        <v>197954</v>
      </c>
      <c r="F369">
        <v>100019</v>
      </c>
      <c r="G369">
        <v>184309</v>
      </c>
      <c r="H369">
        <v>4.9000000000000004</v>
      </c>
      <c r="I369">
        <v>4</v>
      </c>
      <c r="J369">
        <f t="shared" si="15"/>
        <v>97935</v>
      </c>
      <c r="K369" s="2">
        <f t="shared" si="16"/>
        <v>1.0740332810660358</v>
      </c>
      <c r="L369" s="2">
        <f t="shared" si="17"/>
        <v>0.49473615082291844</v>
      </c>
    </row>
    <row r="370" spans="1:12" x14ac:dyDescent="0.3">
      <c r="A370" s="1">
        <v>45650</v>
      </c>
      <c r="B370" t="s">
        <v>9</v>
      </c>
      <c r="C370" t="s">
        <v>18</v>
      </c>
      <c r="D370" t="s">
        <v>14</v>
      </c>
      <c r="E370">
        <v>131917</v>
      </c>
      <c r="F370">
        <v>77335</v>
      </c>
      <c r="G370">
        <v>129702</v>
      </c>
      <c r="H370">
        <v>4.4000000000000004</v>
      </c>
      <c r="I370">
        <v>14</v>
      </c>
      <c r="J370">
        <f t="shared" si="15"/>
        <v>54582</v>
      </c>
      <c r="K370" s="2">
        <f t="shared" si="16"/>
        <v>1.0170776086721871</v>
      </c>
      <c r="L370" s="2">
        <f t="shared" si="17"/>
        <v>0.4137601673779725</v>
      </c>
    </row>
    <row r="371" spans="1:12" x14ac:dyDescent="0.3">
      <c r="A371" s="1">
        <v>45430</v>
      </c>
      <c r="B371" t="s">
        <v>9</v>
      </c>
      <c r="C371" t="s">
        <v>18</v>
      </c>
      <c r="D371" t="s">
        <v>14</v>
      </c>
      <c r="E371">
        <v>327712</v>
      </c>
      <c r="F371">
        <v>111391</v>
      </c>
      <c r="G371">
        <v>339844</v>
      </c>
      <c r="H371">
        <v>4.4000000000000004</v>
      </c>
      <c r="I371">
        <v>2</v>
      </c>
      <c r="J371">
        <f t="shared" si="15"/>
        <v>216321</v>
      </c>
      <c r="K371" s="2">
        <f t="shared" si="16"/>
        <v>0.96430126764044677</v>
      </c>
      <c r="L371" s="2">
        <f t="shared" si="17"/>
        <v>0.66009483937115521</v>
      </c>
    </row>
    <row r="372" spans="1:12" x14ac:dyDescent="0.3">
      <c r="A372" s="1">
        <v>45456</v>
      </c>
      <c r="B372" t="s">
        <v>12</v>
      </c>
      <c r="C372" t="s">
        <v>10</v>
      </c>
      <c r="D372" t="s">
        <v>14</v>
      </c>
      <c r="E372">
        <v>362912</v>
      </c>
      <c r="F372">
        <v>161529</v>
      </c>
      <c r="G372">
        <v>333271</v>
      </c>
      <c r="H372">
        <v>4.9000000000000004</v>
      </c>
      <c r="I372">
        <v>4</v>
      </c>
      <c r="J372">
        <f t="shared" si="15"/>
        <v>201383</v>
      </c>
      <c r="K372" s="2">
        <f t="shared" si="16"/>
        <v>1.08893963171113</v>
      </c>
      <c r="L372" s="2">
        <f t="shared" si="17"/>
        <v>0.55490862798694995</v>
      </c>
    </row>
    <row r="373" spans="1:12" x14ac:dyDescent="0.3">
      <c r="A373" s="1">
        <v>45408</v>
      </c>
      <c r="B373" t="s">
        <v>15</v>
      </c>
      <c r="C373" t="s">
        <v>18</v>
      </c>
      <c r="D373" t="s">
        <v>17</v>
      </c>
      <c r="E373">
        <v>273852</v>
      </c>
      <c r="F373">
        <v>156315</v>
      </c>
      <c r="G373">
        <v>297719</v>
      </c>
      <c r="H373">
        <v>3.7</v>
      </c>
      <c r="I373">
        <v>5</v>
      </c>
      <c r="J373">
        <f t="shared" si="15"/>
        <v>117537</v>
      </c>
      <c r="K373" s="2">
        <f t="shared" si="16"/>
        <v>0.91983380301559525</v>
      </c>
      <c r="L373" s="2">
        <f t="shared" si="17"/>
        <v>0.42919898339248935</v>
      </c>
    </row>
    <row r="374" spans="1:12" x14ac:dyDescent="0.3">
      <c r="A374" s="1">
        <v>45475</v>
      </c>
      <c r="B374" t="s">
        <v>9</v>
      </c>
      <c r="C374" t="s">
        <v>10</v>
      </c>
      <c r="D374" t="s">
        <v>17</v>
      </c>
      <c r="E374">
        <v>170761</v>
      </c>
      <c r="F374">
        <v>56541</v>
      </c>
      <c r="G374">
        <v>193768</v>
      </c>
      <c r="H374">
        <v>4.3</v>
      </c>
      <c r="I374">
        <v>11</v>
      </c>
      <c r="J374">
        <f t="shared" si="15"/>
        <v>114220</v>
      </c>
      <c r="K374" s="2">
        <f t="shared" si="16"/>
        <v>0.88126522439205646</v>
      </c>
      <c r="L374" s="2">
        <f t="shared" si="17"/>
        <v>0.66888809505683378</v>
      </c>
    </row>
    <row r="375" spans="1:12" x14ac:dyDescent="0.3">
      <c r="A375" s="1">
        <v>45911</v>
      </c>
      <c r="B375" t="s">
        <v>9</v>
      </c>
      <c r="C375" t="s">
        <v>13</v>
      </c>
      <c r="D375" t="s">
        <v>17</v>
      </c>
      <c r="E375">
        <v>475918</v>
      </c>
      <c r="F375">
        <v>237673</v>
      </c>
      <c r="G375">
        <v>445333</v>
      </c>
      <c r="H375">
        <v>3.8</v>
      </c>
      <c r="I375">
        <v>6</v>
      </c>
      <c r="J375">
        <f t="shared" si="15"/>
        <v>238245</v>
      </c>
      <c r="K375" s="2">
        <f t="shared" si="16"/>
        <v>1.0686789436219637</v>
      </c>
      <c r="L375" s="2">
        <f t="shared" si="17"/>
        <v>0.5006009438600767</v>
      </c>
    </row>
    <row r="376" spans="1:12" x14ac:dyDescent="0.3">
      <c r="A376" s="1">
        <v>45507</v>
      </c>
      <c r="B376" t="s">
        <v>12</v>
      </c>
      <c r="C376" t="s">
        <v>18</v>
      </c>
      <c r="D376" t="s">
        <v>11</v>
      </c>
      <c r="E376">
        <v>203226</v>
      </c>
      <c r="F376">
        <v>98016</v>
      </c>
      <c r="G376">
        <v>207937</v>
      </c>
      <c r="H376">
        <v>4.8</v>
      </c>
      <c r="I376">
        <v>15</v>
      </c>
      <c r="J376">
        <f t="shared" si="15"/>
        <v>105210</v>
      </c>
      <c r="K376" s="2">
        <f t="shared" si="16"/>
        <v>0.97734409941472655</v>
      </c>
      <c r="L376" s="2">
        <f t="shared" si="17"/>
        <v>0.5176995069528505</v>
      </c>
    </row>
    <row r="377" spans="1:12" x14ac:dyDescent="0.3">
      <c r="A377" s="1">
        <v>45373</v>
      </c>
      <c r="B377" t="s">
        <v>9</v>
      </c>
      <c r="C377" t="s">
        <v>18</v>
      </c>
      <c r="D377" t="s">
        <v>11</v>
      </c>
      <c r="E377">
        <v>16142</v>
      </c>
      <c r="F377">
        <v>7359</v>
      </c>
      <c r="G377">
        <v>18350</v>
      </c>
      <c r="H377">
        <v>3.8</v>
      </c>
      <c r="I377">
        <v>14</v>
      </c>
      <c r="J377">
        <f t="shared" si="15"/>
        <v>8783</v>
      </c>
      <c r="K377" s="2">
        <f t="shared" si="16"/>
        <v>0.87967302452316076</v>
      </c>
      <c r="L377" s="2">
        <f t="shared" si="17"/>
        <v>0.54410853673646387</v>
      </c>
    </row>
    <row r="378" spans="1:12" x14ac:dyDescent="0.3">
      <c r="A378" s="1">
        <v>45620</v>
      </c>
      <c r="B378" t="s">
        <v>9</v>
      </c>
      <c r="C378" t="s">
        <v>13</v>
      </c>
      <c r="D378" t="s">
        <v>14</v>
      </c>
      <c r="E378">
        <v>280160</v>
      </c>
      <c r="F378">
        <v>96909</v>
      </c>
      <c r="G378">
        <v>313198</v>
      </c>
      <c r="H378">
        <v>3.6</v>
      </c>
      <c r="I378">
        <v>0</v>
      </c>
      <c r="J378">
        <f t="shared" si="15"/>
        <v>183251</v>
      </c>
      <c r="K378" s="2">
        <f t="shared" si="16"/>
        <v>0.89451401349944759</v>
      </c>
      <c r="L378" s="2">
        <f t="shared" si="17"/>
        <v>0.65409408909194744</v>
      </c>
    </row>
    <row r="379" spans="1:12" x14ac:dyDescent="0.3">
      <c r="A379" s="1">
        <v>45614</v>
      </c>
      <c r="B379" t="s">
        <v>12</v>
      </c>
      <c r="C379" t="s">
        <v>10</v>
      </c>
      <c r="D379" t="s">
        <v>14</v>
      </c>
      <c r="E379">
        <v>428734</v>
      </c>
      <c r="F379">
        <v>239995</v>
      </c>
      <c r="G379">
        <v>458834</v>
      </c>
      <c r="H379">
        <v>4.5999999999999996</v>
      </c>
      <c r="I379">
        <v>13</v>
      </c>
      <c r="J379">
        <f t="shared" si="15"/>
        <v>188739</v>
      </c>
      <c r="K379" s="2">
        <f t="shared" si="16"/>
        <v>0.9343989329474276</v>
      </c>
      <c r="L379" s="2">
        <f t="shared" si="17"/>
        <v>0.44022400835949566</v>
      </c>
    </row>
    <row r="380" spans="1:12" x14ac:dyDescent="0.3">
      <c r="A380" s="1">
        <v>45313</v>
      </c>
      <c r="B380" t="s">
        <v>19</v>
      </c>
      <c r="C380" t="s">
        <v>16</v>
      </c>
      <c r="D380" t="s">
        <v>11</v>
      </c>
      <c r="E380">
        <v>439890</v>
      </c>
      <c r="F380">
        <v>198756</v>
      </c>
      <c r="G380">
        <v>457381</v>
      </c>
      <c r="H380">
        <v>4.5</v>
      </c>
      <c r="I380">
        <v>5</v>
      </c>
      <c r="J380">
        <f t="shared" si="15"/>
        <v>241134</v>
      </c>
      <c r="K380" s="2">
        <f t="shared" si="16"/>
        <v>0.96175835900485596</v>
      </c>
      <c r="L380" s="2">
        <f t="shared" si="17"/>
        <v>0.54816886039691737</v>
      </c>
    </row>
    <row r="381" spans="1:12" x14ac:dyDescent="0.3">
      <c r="A381" s="1">
        <v>45495</v>
      </c>
      <c r="B381" t="s">
        <v>15</v>
      </c>
      <c r="C381" t="s">
        <v>10</v>
      </c>
      <c r="D381" t="s">
        <v>11</v>
      </c>
      <c r="E381">
        <v>59847</v>
      </c>
      <c r="F381">
        <v>37305</v>
      </c>
      <c r="G381">
        <v>68784</v>
      </c>
      <c r="H381">
        <v>4.5</v>
      </c>
      <c r="I381">
        <v>13</v>
      </c>
      <c r="J381">
        <f t="shared" si="15"/>
        <v>22542</v>
      </c>
      <c r="K381" s="2">
        <f t="shared" si="16"/>
        <v>0.87007152826238665</v>
      </c>
      <c r="L381" s="2">
        <f t="shared" si="17"/>
        <v>0.37666048423479875</v>
      </c>
    </row>
    <row r="382" spans="1:12" x14ac:dyDescent="0.3">
      <c r="A382" s="1">
        <v>45404</v>
      </c>
      <c r="B382" t="s">
        <v>9</v>
      </c>
      <c r="C382" t="s">
        <v>18</v>
      </c>
      <c r="D382" t="s">
        <v>17</v>
      </c>
      <c r="E382">
        <v>151958</v>
      </c>
      <c r="F382">
        <v>58145</v>
      </c>
      <c r="G382">
        <v>167190</v>
      </c>
      <c r="H382">
        <v>4.5999999999999996</v>
      </c>
      <c r="I382">
        <v>2</v>
      </c>
      <c r="J382">
        <f t="shared" si="15"/>
        <v>93813</v>
      </c>
      <c r="K382" s="2">
        <f t="shared" si="16"/>
        <v>0.90889407261199828</v>
      </c>
      <c r="L382" s="2">
        <f t="shared" si="17"/>
        <v>0.61736137616973108</v>
      </c>
    </row>
    <row r="383" spans="1:12" x14ac:dyDescent="0.3">
      <c r="A383" s="1">
        <v>45840</v>
      </c>
      <c r="B383" t="s">
        <v>19</v>
      </c>
      <c r="C383" t="s">
        <v>13</v>
      </c>
      <c r="D383" t="s">
        <v>14</v>
      </c>
      <c r="E383">
        <v>126923</v>
      </c>
      <c r="F383">
        <v>49150</v>
      </c>
      <c r="G383">
        <v>141560</v>
      </c>
      <c r="H383">
        <v>4.5999999999999996</v>
      </c>
      <c r="I383">
        <v>15</v>
      </c>
      <c r="J383">
        <f t="shared" si="15"/>
        <v>77773</v>
      </c>
      <c r="K383" s="2">
        <f t="shared" si="16"/>
        <v>0.89660214749929357</v>
      </c>
      <c r="L383" s="2">
        <f t="shared" si="17"/>
        <v>0.61275734106505519</v>
      </c>
    </row>
    <row r="384" spans="1:12" x14ac:dyDescent="0.3">
      <c r="A384" s="1">
        <v>45994</v>
      </c>
      <c r="B384" t="s">
        <v>9</v>
      </c>
      <c r="C384" t="s">
        <v>18</v>
      </c>
      <c r="D384" t="s">
        <v>14</v>
      </c>
      <c r="E384">
        <v>37537</v>
      </c>
      <c r="F384">
        <v>20341</v>
      </c>
      <c r="G384">
        <v>39647</v>
      </c>
      <c r="H384">
        <v>3.5</v>
      </c>
      <c r="I384">
        <v>13</v>
      </c>
      <c r="J384">
        <f t="shared" si="15"/>
        <v>17196</v>
      </c>
      <c r="K384" s="2">
        <f t="shared" si="16"/>
        <v>0.9467803364693419</v>
      </c>
      <c r="L384" s="2">
        <f t="shared" si="17"/>
        <v>0.45810800010656155</v>
      </c>
    </row>
    <row r="385" spans="1:12" x14ac:dyDescent="0.3">
      <c r="A385" s="1">
        <v>45366</v>
      </c>
      <c r="B385" t="s">
        <v>12</v>
      </c>
      <c r="C385" t="s">
        <v>13</v>
      </c>
      <c r="D385" t="s">
        <v>11</v>
      </c>
      <c r="E385">
        <v>51869</v>
      </c>
      <c r="F385">
        <v>23283</v>
      </c>
      <c r="G385">
        <v>54946</v>
      </c>
      <c r="H385">
        <v>3.5</v>
      </c>
      <c r="I385">
        <v>11</v>
      </c>
      <c r="J385">
        <f t="shared" si="15"/>
        <v>28586</v>
      </c>
      <c r="K385" s="2">
        <f t="shared" si="16"/>
        <v>0.94399956320751288</v>
      </c>
      <c r="L385" s="2">
        <f t="shared" si="17"/>
        <v>0.55111916559023699</v>
      </c>
    </row>
    <row r="386" spans="1:12" x14ac:dyDescent="0.3">
      <c r="A386" s="1">
        <v>45374</v>
      </c>
      <c r="B386" t="s">
        <v>12</v>
      </c>
      <c r="C386" t="s">
        <v>16</v>
      </c>
      <c r="D386" t="s">
        <v>17</v>
      </c>
      <c r="E386">
        <v>352951</v>
      </c>
      <c r="F386">
        <v>158761</v>
      </c>
      <c r="G386">
        <v>384135</v>
      </c>
      <c r="H386">
        <v>4.5999999999999996</v>
      </c>
      <c r="I386">
        <v>0</v>
      </c>
      <c r="J386">
        <f t="shared" si="15"/>
        <v>194190</v>
      </c>
      <c r="K386" s="2">
        <f t="shared" si="16"/>
        <v>0.9188202064378409</v>
      </c>
      <c r="L386" s="2">
        <f t="shared" si="17"/>
        <v>0.55018968638706223</v>
      </c>
    </row>
    <row r="387" spans="1:12" x14ac:dyDescent="0.3">
      <c r="A387" s="1">
        <v>45479</v>
      </c>
      <c r="B387" t="s">
        <v>15</v>
      </c>
      <c r="C387" t="s">
        <v>16</v>
      </c>
      <c r="D387" t="s">
        <v>17</v>
      </c>
      <c r="E387">
        <v>187164</v>
      </c>
      <c r="F387">
        <v>104490</v>
      </c>
      <c r="G387">
        <v>174867</v>
      </c>
      <c r="H387">
        <v>4.7</v>
      </c>
      <c r="I387">
        <v>14</v>
      </c>
      <c r="J387">
        <f t="shared" ref="J387:J450" si="18">E387-F387</f>
        <v>82674</v>
      </c>
      <c r="K387" s="2">
        <f t="shared" ref="K387:K450" si="19">E387/G387</f>
        <v>1.0703220161608538</v>
      </c>
      <c r="L387" s="2">
        <f t="shared" ref="L387:L450" si="20">J387/E387</f>
        <v>0.44171956145412578</v>
      </c>
    </row>
    <row r="388" spans="1:12" x14ac:dyDescent="0.3">
      <c r="A388" s="1">
        <v>45923</v>
      </c>
      <c r="B388" t="s">
        <v>15</v>
      </c>
      <c r="C388" t="s">
        <v>18</v>
      </c>
      <c r="D388" t="s">
        <v>11</v>
      </c>
      <c r="E388">
        <v>243077</v>
      </c>
      <c r="F388">
        <v>86372</v>
      </c>
      <c r="G388">
        <v>246648</v>
      </c>
      <c r="H388">
        <v>3.8</v>
      </c>
      <c r="I388">
        <v>4</v>
      </c>
      <c r="J388">
        <f t="shared" si="18"/>
        <v>156705</v>
      </c>
      <c r="K388" s="2">
        <f t="shared" si="19"/>
        <v>0.98552187733125751</v>
      </c>
      <c r="L388" s="2">
        <f t="shared" si="20"/>
        <v>0.64467226434422009</v>
      </c>
    </row>
    <row r="389" spans="1:12" x14ac:dyDescent="0.3">
      <c r="A389" s="1">
        <v>45824</v>
      </c>
      <c r="B389" t="s">
        <v>12</v>
      </c>
      <c r="C389" t="s">
        <v>10</v>
      </c>
      <c r="D389" t="s">
        <v>11</v>
      </c>
      <c r="E389">
        <v>492616</v>
      </c>
      <c r="F389">
        <v>285285</v>
      </c>
      <c r="G389">
        <v>550053</v>
      </c>
      <c r="H389">
        <v>4.3</v>
      </c>
      <c r="I389">
        <v>8</v>
      </c>
      <c r="J389">
        <f t="shared" si="18"/>
        <v>207331</v>
      </c>
      <c r="K389" s="2">
        <f t="shared" si="19"/>
        <v>0.89557915328159288</v>
      </c>
      <c r="L389" s="2">
        <f t="shared" si="20"/>
        <v>0.42087751920359873</v>
      </c>
    </row>
    <row r="390" spans="1:12" x14ac:dyDescent="0.3">
      <c r="A390" s="1">
        <v>45737</v>
      </c>
      <c r="B390" t="s">
        <v>15</v>
      </c>
      <c r="C390" t="s">
        <v>16</v>
      </c>
      <c r="D390" t="s">
        <v>17</v>
      </c>
      <c r="E390">
        <v>35235</v>
      </c>
      <c r="F390">
        <v>17161</v>
      </c>
      <c r="G390">
        <v>32430</v>
      </c>
      <c r="H390">
        <v>4</v>
      </c>
      <c r="I390">
        <v>13</v>
      </c>
      <c r="J390">
        <f t="shared" si="18"/>
        <v>18074</v>
      </c>
      <c r="K390" s="2">
        <f t="shared" si="19"/>
        <v>1.0864939870490287</v>
      </c>
      <c r="L390" s="2">
        <f t="shared" si="20"/>
        <v>0.51295586774513979</v>
      </c>
    </row>
    <row r="391" spans="1:12" x14ac:dyDescent="0.3">
      <c r="A391" s="1">
        <v>45313</v>
      </c>
      <c r="B391" t="s">
        <v>15</v>
      </c>
      <c r="C391" t="s">
        <v>18</v>
      </c>
      <c r="D391" t="s">
        <v>14</v>
      </c>
      <c r="E391">
        <v>197450</v>
      </c>
      <c r="F391">
        <v>95085</v>
      </c>
      <c r="G391">
        <v>177228</v>
      </c>
      <c r="H391">
        <v>4.8</v>
      </c>
      <c r="I391">
        <v>1</v>
      </c>
      <c r="J391">
        <f t="shared" si="18"/>
        <v>102365</v>
      </c>
      <c r="K391" s="2">
        <f t="shared" si="19"/>
        <v>1.114101609226533</v>
      </c>
      <c r="L391" s="2">
        <f t="shared" si="20"/>
        <v>0.51843504684730313</v>
      </c>
    </row>
    <row r="392" spans="1:12" x14ac:dyDescent="0.3">
      <c r="A392" s="1">
        <v>45645</v>
      </c>
      <c r="B392" t="s">
        <v>12</v>
      </c>
      <c r="C392" t="s">
        <v>18</v>
      </c>
      <c r="D392" t="s">
        <v>14</v>
      </c>
      <c r="E392">
        <v>579334</v>
      </c>
      <c r="F392">
        <v>292403</v>
      </c>
      <c r="G392">
        <v>492457</v>
      </c>
      <c r="H392">
        <v>4.3</v>
      </c>
      <c r="I392">
        <v>0</v>
      </c>
      <c r="J392">
        <f t="shared" si="18"/>
        <v>286931</v>
      </c>
      <c r="K392" s="2">
        <f t="shared" si="19"/>
        <v>1.1764154027661298</v>
      </c>
      <c r="L392" s="2">
        <f t="shared" si="20"/>
        <v>0.49527733569926846</v>
      </c>
    </row>
    <row r="393" spans="1:12" x14ac:dyDescent="0.3">
      <c r="A393" s="1">
        <v>45445</v>
      </c>
      <c r="B393" t="s">
        <v>15</v>
      </c>
      <c r="C393" t="s">
        <v>13</v>
      </c>
      <c r="D393" t="s">
        <v>17</v>
      </c>
      <c r="E393">
        <v>299061</v>
      </c>
      <c r="F393">
        <v>108319</v>
      </c>
      <c r="G393">
        <v>254544</v>
      </c>
      <c r="H393">
        <v>3.9</v>
      </c>
      <c r="I393">
        <v>7</v>
      </c>
      <c r="J393">
        <f t="shared" si="18"/>
        <v>190742</v>
      </c>
      <c r="K393" s="2">
        <f t="shared" si="19"/>
        <v>1.1748892136526494</v>
      </c>
      <c r="L393" s="2">
        <f t="shared" si="20"/>
        <v>0.63780299002544627</v>
      </c>
    </row>
    <row r="394" spans="1:12" x14ac:dyDescent="0.3">
      <c r="A394" s="1">
        <v>45448</v>
      </c>
      <c r="B394" t="s">
        <v>9</v>
      </c>
      <c r="C394" t="s">
        <v>18</v>
      </c>
      <c r="D394" t="s">
        <v>14</v>
      </c>
      <c r="E394">
        <v>29008</v>
      </c>
      <c r="F394">
        <v>15631</v>
      </c>
      <c r="G394">
        <v>31990</v>
      </c>
      <c r="H394">
        <v>4</v>
      </c>
      <c r="I394">
        <v>10</v>
      </c>
      <c r="J394">
        <f t="shared" si="18"/>
        <v>13377</v>
      </c>
      <c r="K394" s="2">
        <f t="shared" si="19"/>
        <v>0.90678336980306351</v>
      </c>
      <c r="L394" s="2">
        <f t="shared" si="20"/>
        <v>0.46114864864864863</v>
      </c>
    </row>
    <row r="395" spans="1:12" x14ac:dyDescent="0.3">
      <c r="A395" s="1">
        <v>45903</v>
      </c>
      <c r="B395" t="s">
        <v>15</v>
      </c>
      <c r="C395" t="s">
        <v>18</v>
      </c>
      <c r="D395" t="s">
        <v>11</v>
      </c>
      <c r="E395">
        <v>446364</v>
      </c>
      <c r="F395">
        <v>221755</v>
      </c>
      <c r="G395">
        <v>508508</v>
      </c>
      <c r="H395">
        <v>3.6</v>
      </c>
      <c r="I395">
        <v>5</v>
      </c>
      <c r="J395">
        <f t="shared" si="18"/>
        <v>224609</v>
      </c>
      <c r="K395" s="2">
        <f t="shared" si="19"/>
        <v>0.87779149983874394</v>
      </c>
      <c r="L395" s="2">
        <f t="shared" si="20"/>
        <v>0.50319694240574953</v>
      </c>
    </row>
    <row r="396" spans="1:12" x14ac:dyDescent="0.3">
      <c r="A396" s="1">
        <v>45989</v>
      </c>
      <c r="B396" t="s">
        <v>12</v>
      </c>
      <c r="C396" t="s">
        <v>16</v>
      </c>
      <c r="D396" t="s">
        <v>14</v>
      </c>
      <c r="E396">
        <v>334512</v>
      </c>
      <c r="F396">
        <v>144571</v>
      </c>
      <c r="G396">
        <v>354969</v>
      </c>
      <c r="H396">
        <v>3.5</v>
      </c>
      <c r="I396">
        <v>11</v>
      </c>
      <c r="J396">
        <f t="shared" si="18"/>
        <v>189941</v>
      </c>
      <c r="K396" s="2">
        <f t="shared" si="19"/>
        <v>0.94236961537486374</v>
      </c>
      <c r="L396" s="2">
        <f t="shared" si="20"/>
        <v>0.56781520543358688</v>
      </c>
    </row>
    <row r="397" spans="1:12" x14ac:dyDescent="0.3">
      <c r="A397" s="1">
        <v>45314</v>
      </c>
      <c r="B397" t="s">
        <v>19</v>
      </c>
      <c r="C397" t="s">
        <v>10</v>
      </c>
      <c r="D397" t="s">
        <v>11</v>
      </c>
      <c r="E397">
        <v>25372</v>
      </c>
      <c r="F397">
        <v>8073</v>
      </c>
      <c r="G397">
        <v>27358</v>
      </c>
      <c r="H397">
        <v>4.9000000000000004</v>
      </c>
      <c r="I397">
        <v>4</v>
      </c>
      <c r="J397">
        <f t="shared" si="18"/>
        <v>17299</v>
      </c>
      <c r="K397" s="2">
        <f t="shared" si="19"/>
        <v>0.92740697419402007</v>
      </c>
      <c r="L397" s="2">
        <f t="shared" si="20"/>
        <v>0.68181459877029793</v>
      </c>
    </row>
    <row r="398" spans="1:12" x14ac:dyDescent="0.3">
      <c r="A398" s="1">
        <v>45722</v>
      </c>
      <c r="B398" t="s">
        <v>19</v>
      </c>
      <c r="C398" t="s">
        <v>16</v>
      </c>
      <c r="D398" t="s">
        <v>14</v>
      </c>
      <c r="E398">
        <v>88356</v>
      </c>
      <c r="F398">
        <v>32820</v>
      </c>
      <c r="G398">
        <v>92176</v>
      </c>
      <c r="H398">
        <v>3.6</v>
      </c>
      <c r="I398">
        <v>3</v>
      </c>
      <c r="J398">
        <f t="shared" si="18"/>
        <v>55536</v>
      </c>
      <c r="K398" s="2">
        <f t="shared" si="19"/>
        <v>0.95855754209338662</v>
      </c>
      <c r="L398" s="2">
        <f t="shared" si="20"/>
        <v>0.62854814613608578</v>
      </c>
    </row>
    <row r="399" spans="1:12" x14ac:dyDescent="0.3">
      <c r="A399" s="1">
        <v>45392</v>
      </c>
      <c r="B399" t="s">
        <v>15</v>
      </c>
      <c r="C399" t="s">
        <v>13</v>
      </c>
      <c r="D399" t="s">
        <v>11</v>
      </c>
      <c r="E399">
        <v>160043</v>
      </c>
      <c r="F399">
        <v>74690</v>
      </c>
      <c r="G399">
        <v>146065</v>
      </c>
      <c r="H399">
        <v>4.0999999999999996</v>
      </c>
      <c r="I399">
        <v>2</v>
      </c>
      <c r="J399">
        <f t="shared" si="18"/>
        <v>85353</v>
      </c>
      <c r="K399" s="2">
        <f t="shared" si="19"/>
        <v>1.0956971211446958</v>
      </c>
      <c r="L399" s="2">
        <f t="shared" si="20"/>
        <v>0.53331292215217163</v>
      </c>
    </row>
    <row r="400" spans="1:12" x14ac:dyDescent="0.3">
      <c r="A400" s="1">
        <v>45527</v>
      </c>
      <c r="B400" t="s">
        <v>19</v>
      </c>
      <c r="C400" t="s">
        <v>13</v>
      </c>
      <c r="D400" t="s">
        <v>11</v>
      </c>
      <c r="E400">
        <v>489208</v>
      </c>
      <c r="F400">
        <v>244138</v>
      </c>
      <c r="G400">
        <v>536491</v>
      </c>
      <c r="H400">
        <v>4.8</v>
      </c>
      <c r="I400">
        <v>12</v>
      </c>
      <c r="J400">
        <f t="shared" si="18"/>
        <v>245070</v>
      </c>
      <c r="K400" s="2">
        <f t="shared" si="19"/>
        <v>0.91186618228451177</v>
      </c>
      <c r="L400" s="2">
        <f t="shared" si="20"/>
        <v>0.50095256005625421</v>
      </c>
    </row>
    <row r="401" spans="1:12" x14ac:dyDescent="0.3">
      <c r="A401" s="1">
        <v>45819</v>
      </c>
      <c r="B401" t="s">
        <v>19</v>
      </c>
      <c r="C401" t="s">
        <v>10</v>
      </c>
      <c r="D401" t="s">
        <v>17</v>
      </c>
      <c r="E401">
        <v>498906</v>
      </c>
      <c r="F401">
        <v>172598</v>
      </c>
      <c r="G401">
        <v>456360</v>
      </c>
      <c r="H401">
        <v>4.5</v>
      </c>
      <c r="I401">
        <v>5</v>
      </c>
      <c r="J401">
        <f t="shared" si="18"/>
        <v>326308</v>
      </c>
      <c r="K401" s="2">
        <f t="shared" si="19"/>
        <v>1.0932290297133842</v>
      </c>
      <c r="L401" s="2">
        <f t="shared" si="20"/>
        <v>0.65404705495624427</v>
      </c>
    </row>
    <row r="402" spans="1:12" x14ac:dyDescent="0.3">
      <c r="A402" s="1">
        <v>45464</v>
      </c>
      <c r="B402" t="s">
        <v>19</v>
      </c>
      <c r="C402" t="s">
        <v>16</v>
      </c>
      <c r="D402" t="s">
        <v>14</v>
      </c>
      <c r="E402">
        <v>28135</v>
      </c>
      <c r="F402">
        <v>11774</v>
      </c>
      <c r="G402">
        <v>30148</v>
      </c>
      <c r="H402">
        <v>4</v>
      </c>
      <c r="I402">
        <v>7</v>
      </c>
      <c r="J402">
        <f t="shared" si="18"/>
        <v>16361</v>
      </c>
      <c r="K402" s="2">
        <f t="shared" si="19"/>
        <v>0.93322940161868118</v>
      </c>
      <c r="L402" s="2">
        <f t="shared" si="20"/>
        <v>0.58151768260174164</v>
      </c>
    </row>
    <row r="403" spans="1:12" x14ac:dyDescent="0.3">
      <c r="A403" s="1">
        <v>45440</v>
      </c>
      <c r="B403" t="s">
        <v>9</v>
      </c>
      <c r="C403" t="s">
        <v>13</v>
      </c>
      <c r="D403" t="s">
        <v>17</v>
      </c>
      <c r="E403">
        <v>326480</v>
      </c>
      <c r="F403">
        <v>189488</v>
      </c>
      <c r="G403">
        <v>281720</v>
      </c>
      <c r="H403">
        <v>4.5</v>
      </c>
      <c r="I403">
        <v>3</v>
      </c>
      <c r="J403">
        <f t="shared" si="18"/>
        <v>136992</v>
      </c>
      <c r="K403" s="2">
        <f t="shared" si="19"/>
        <v>1.1588811585971888</v>
      </c>
      <c r="L403" s="2">
        <f t="shared" si="20"/>
        <v>0.41960303847096297</v>
      </c>
    </row>
    <row r="404" spans="1:12" x14ac:dyDescent="0.3">
      <c r="A404" s="1">
        <v>45340</v>
      </c>
      <c r="B404" t="s">
        <v>15</v>
      </c>
      <c r="C404" t="s">
        <v>16</v>
      </c>
      <c r="D404" t="s">
        <v>17</v>
      </c>
      <c r="E404">
        <v>459076</v>
      </c>
      <c r="F404">
        <v>184358</v>
      </c>
      <c r="G404">
        <v>423528</v>
      </c>
      <c r="H404">
        <v>4.9000000000000004</v>
      </c>
      <c r="I404">
        <v>4</v>
      </c>
      <c r="J404">
        <f t="shared" si="18"/>
        <v>274718</v>
      </c>
      <c r="K404" s="2">
        <f t="shared" si="19"/>
        <v>1.0839330575546362</v>
      </c>
      <c r="L404" s="2">
        <f t="shared" si="20"/>
        <v>0.5984150772421124</v>
      </c>
    </row>
    <row r="405" spans="1:12" x14ac:dyDescent="0.3">
      <c r="A405" s="1">
        <v>45689</v>
      </c>
      <c r="B405" t="s">
        <v>15</v>
      </c>
      <c r="C405" t="s">
        <v>18</v>
      </c>
      <c r="D405" t="s">
        <v>14</v>
      </c>
      <c r="E405">
        <v>192885</v>
      </c>
      <c r="F405">
        <v>102228</v>
      </c>
      <c r="G405">
        <v>205896</v>
      </c>
      <c r="H405">
        <v>4.8</v>
      </c>
      <c r="I405">
        <v>5</v>
      </c>
      <c r="J405">
        <f t="shared" si="18"/>
        <v>90657</v>
      </c>
      <c r="K405" s="2">
        <f t="shared" si="19"/>
        <v>0.93680790301899985</v>
      </c>
      <c r="L405" s="2">
        <f t="shared" si="20"/>
        <v>0.47000544365813829</v>
      </c>
    </row>
    <row r="406" spans="1:12" x14ac:dyDescent="0.3">
      <c r="A406" s="1">
        <v>45669</v>
      </c>
      <c r="B406" t="s">
        <v>9</v>
      </c>
      <c r="C406" t="s">
        <v>16</v>
      </c>
      <c r="D406" t="s">
        <v>17</v>
      </c>
      <c r="E406">
        <v>448080</v>
      </c>
      <c r="F406">
        <v>210384</v>
      </c>
      <c r="G406">
        <v>416793</v>
      </c>
      <c r="H406">
        <v>3.8</v>
      </c>
      <c r="I406">
        <v>3</v>
      </c>
      <c r="J406">
        <f t="shared" si="18"/>
        <v>237696</v>
      </c>
      <c r="K406" s="2">
        <f t="shared" si="19"/>
        <v>1.0750660399766792</v>
      </c>
      <c r="L406" s="2">
        <f t="shared" si="20"/>
        <v>0.53047670058918051</v>
      </c>
    </row>
    <row r="407" spans="1:12" x14ac:dyDescent="0.3">
      <c r="A407" s="1">
        <v>45895</v>
      </c>
      <c r="B407" t="s">
        <v>15</v>
      </c>
      <c r="C407" t="s">
        <v>13</v>
      </c>
      <c r="D407" t="s">
        <v>11</v>
      </c>
      <c r="E407">
        <v>471354</v>
      </c>
      <c r="F407">
        <v>181873</v>
      </c>
      <c r="G407">
        <v>417648</v>
      </c>
      <c r="H407">
        <v>3.9</v>
      </c>
      <c r="I407">
        <v>14</v>
      </c>
      <c r="J407">
        <f t="shared" si="18"/>
        <v>289481</v>
      </c>
      <c r="K407" s="2">
        <f t="shared" si="19"/>
        <v>1.1285915412021608</v>
      </c>
      <c r="L407" s="2">
        <f t="shared" si="20"/>
        <v>0.61414775306881875</v>
      </c>
    </row>
    <row r="408" spans="1:12" x14ac:dyDescent="0.3">
      <c r="A408" s="1">
        <v>45792</v>
      </c>
      <c r="B408" t="s">
        <v>19</v>
      </c>
      <c r="C408" t="s">
        <v>10</v>
      </c>
      <c r="D408" t="s">
        <v>11</v>
      </c>
      <c r="E408">
        <v>79561</v>
      </c>
      <c r="F408">
        <v>40382</v>
      </c>
      <c r="G408">
        <v>76499</v>
      </c>
      <c r="H408">
        <v>3.5</v>
      </c>
      <c r="I408">
        <v>6</v>
      </c>
      <c r="J408">
        <f t="shared" si="18"/>
        <v>39179</v>
      </c>
      <c r="K408" s="2">
        <f t="shared" si="19"/>
        <v>1.0400266670152551</v>
      </c>
      <c r="L408" s="2">
        <f t="shared" si="20"/>
        <v>0.4924397632005631</v>
      </c>
    </row>
    <row r="409" spans="1:12" x14ac:dyDescent="0.3">
      <c r="A409" s="1">
        <v>45846</v>
      </c>
      <c r="B409" t="s">
        <v>19</v>
      </c>
      <c r="C409" t="s">
        <v>13</v>
      </c>
      <c r="D409" t="s">
        <v>14</v>
      </c>
      <c r="E409">
        <v>325014</v>
      </c>
      <c r="F409">
        <v>114366</v>
      </c>
      <c r="G409">
        <v>278562</v>
      </c>
      <c r="H409">
        <v>4.8</v>
      </c>
      <c r="I409">
        <v>3</v>
      </c>
      <c r="J409">
        <f t="shared" si="18"/>
        <v>210648</v>
      </c>
      <c r="K409" s="2">
        <f t="shared" si="19"/>
        <v>1.1667564132939885</v>
      </c>
      <c r="L409" s="2">
        <f t="shared" si="20"/>
        <v>0.64811977330207315</v>
      </c>
    </row>
    <row r="410" spans="1:12" x14ac:dyDescent="0.3">
      <c r="A410" s="1">
        <v>45516</v>
      </c>
      <c r="B410" t="s">
        <v>12</v>
      </c>
      <c r="C410" t="s">
        <v>10</v>
      </c>
      <c r="D410" t="s">
        <v>14</v>
      </c>
      <c r="E410">
        <v>250853</v>
      </c>
      <c r="F410">
        <v>132732</v>
      </c>
      <c r="G410">
        <v>218168</v>
      </c>
      <c r="H410">
        <v>3.8</v>
      </c>
      <c r="I410">
        <v>10</v>
      </c>
      <c r="J410">
        <f t="shared" si="18"/>
        <v>118121</v>
      </c>
      <c r="K410" s="2">
        <f t="shared" si="19"/>
        <v>1.1498157383300942</v>
      </c>
      <c r="L410" s="2">
        <f t="shared" si="20"/>
        <v>0.47087736642575534</v>
      </c>
    </row>
    <row r="411" spans="1:12" x14ac:dyDescent="0.3">
      <c r="A411" s="1">
        <v>45901</v>
      </c>
      <c r="B411" t="s">
        <v>15</v>
      </c>
      <c r="C411" t="s">
        <v>13</v>
      </c>
      <c r="D411" t="s">
        <v>14</v>
      </c>
      <c r="E411">
        <v>43870</v>
      </c>
      <c r="F411">
        <v>26525</v>
      </c>
      <c r="G411">
        <v>49894</v>
      </c>
      <c r="H411">
        <v>4.9000000000000004</v>
      </c>
      <c r="I411">
        <v>11</v>
      </c>
      <c r="J411">
        <f t="shared" si="18"/>
        <v>17345</v>
      </c>
      <c r="K411" s="2">
        <f t="shared" si="19"/>
        <v>0.87926403976430034</v>
      </c>
      <c r="L411" s="2">
        <f t="shared" si="20"/>
        <v>0.39537269204467745</v>
      </c>
    </row>
    <row r="412" spans="1:12" x14ac:dyDescent="0.3">
      <c r="A412" s="1">
        <v>45936</v>
      </c>
      <c r="B412" t="s">
        <v>9</v>
      </c>
      <c r="C412" t="s">
        <v>13</v>
      </c>
      <c r="D412" t="s">
        <v>17</v>
      </c>
      <c r="E412">
        <v>267354</v>
      </c>
      <c r="F412">
        <v>122879</v>
      </c>
      <c r="G412">
        <v>289565</v>
      </c>
      <c r="H412">
        <v>3.8</v>
      </c>
      <c r="I412">
        <v>14</v>
      </c>
      <c r="J412">
        <f t="shared" si="18"/>
        <v>144475</v>
      </c>
      <c r="K412" s="2">
        <f t="shared" si="19"/>
        <v>0.92329528775922509</v>
      </c>
      <c r="L412" s="2">
        <f t="shared" si="20"/>
        <v>0.54038839890183055</v>
      </c>
    </row>
    <row r="413" spans="1:12" x14ac:dyDescent="0.3">
      <c r="A413" s="1">
        <v>45381</v>
      </c>
      <c r="B413" t="s">
        <v>9</v>
      </c>
      <c r="C413" t="s">
        <v>18</v>
      </c>
      <c r="D413" t="s">
        <v>17</v>
      </c>
      <c r="E413">
        <v>349384</v>
      </c>
      <c r="F413">
        <v>127120</v>
      </c>
      <c r="G413">
        <v>330008</v>
      </c>
      <c r="H413">
        <v>3.9</v>
      </c>
      <c r="I413">
        <v>9</v>
      </c>
      <c r="J413">
        <f t="shared" si="18"/>
        <v>222264</v>
      </c>
      <c r="K413" s="2">
        <f t="shared" si="19"/>
        <v>1.0587137281520449</v>
      </c>
      <c r="L413" s="2">
        <f t="shared" si="20"/>
        <v>0.63615964096810385</v>
      </c>
    </row>
    <row r="414" spans="1:12" x14ac:dyDescent="0.3">
      <c r="A414" s="1">
        <v>45752</v>
      </c>
      <c r="B414" t="s">
        <v>19</v>
      </c>
      <c r="C414" t="s">
        <v>13</v>
      </c>
      <c r="D414" t="s">
        <v>11</v>
      </c>
      <c r="E414">
        <v>279150</v>
      </c>
      <c r="F414">
        <v>119798</v>
      </c>
      <c r="G414">
        <v>305099</v>
      </c>
      <c r="H414">
        <v>4.9000000000000004</v>
      </c>
      <c r="I414">
        <v>11</v>
      </c>
      <c r="J414">
        <f t="shared" si="18"/>
        <v>159352</v>
      </c>
      <c r="K414" s="2">
        <f t="shared" si="19"/>
        <v>0.91494891821998758</v>
      </c>
      <c r="L414" s="2">
        <f t="shared" si="20"/>
        <v>0.57084721475909006</v>
      </c>
    </row>
    <row r="415" spans="1:12" x14ac:dyDescent="0.3">
      <c r="A415" s="1">
        <v>45393</v>
      </c>
      <c r="B415" t="s">
        <v>9</v>
      </c>
      <c r="C415" t="s">
        <v>16</v>
      </c>
      <c r="D415" t="s">
        <v>14</v>
      </c>
      <c r="E415">
        <v>28990</v>
      </c>
      <c r="F415">
        <v>12050</v>
      </c>
      <c r="G415">
        <v>25182</v>
      </c>
      <c r="H415">
        <v>3.7</v>
      </c>
      <c r="I415">
        <v>14</v>
      </c>
      <c r="J415">
        <f t="shared" si="18"/>
        <v>16940</v>
      </c>
      <c r="K415" s="2">
        <f t="shared" si="19"/>
        <v>1.1512191247716623</v>
      </c>
      <c r="L415" s="2">
        <f t="shared" si="20"/>
        <v>0.58433942738875477</v>
      </c>
    </row>
    <row r="416" spans="1:12" x14ac:dyDescent="0.3">
      <c r="A416" s="1">
        <v>45296</v>
      </c>
      <c r="B416" t="s">
        <v>9</v>
      </c>
      <c r="C416" t="s">
        <v>13</v>
      </c>
      <c r="D416" t="s">
        <v>14</v>
      </c>
      <c r="E416">
        <v>188634</v>
      </c>
      <c r="F416">
        <v>108222</v>
      </c>
      <c r="G416">
        <v>214548</v>
      </c>
      <c r="H416">
        <v>4.3</v>
      </c>
      <c r="I416">
        <v>7</v>
      </c>
      <c r="J416">
        <f t="shared" si="18"/>
        <v>80412</v>
      </c>
      <c r="K416" s="2">
        <f t="shared" si="19"/>
        <v>0.87921583981207008</v>
      </c>
      <c r="L416" s="2">
        <f t="shared" si="20"/>
        <v>0.42628582334043702</v>
      </c>
    </row>
    <row r="417" spans="1:12" x14ac:dyDescent="0.3">
      <c r="A417" s="1">
        <v>45306</v>
      </c>
      <c r="B417" t="s">
        <v>9</v>
      </c>
      <c r="C417" t="s">
        <v>10</v>
      </c>
      <c r="D417" t="s">
        <v>17</v>
      </c>
      <c r="E417">
        <v>245796</v>
      </c>
      <c r="F417">
        <v>148246</v>
      </c>
      <c r="G417">
        <v>229182</v>
      </c>
      <c r="H417">
        <v>4.7</v>
      </c>
      <c r="I417">
        <v>13</v>
      </c>
      <c r="J417">
        <f t="shared" si="18"/>
        <v>97550</v>
      </c>
      <c r="K417" s="2">
        <f t="shared" si="19"/>
        <v>1.0724926041312144</v>
      </c>
      <c r="L417" s="2">
        <f t="shared" si="20"/>
        <v>0.39687383033084345</v>
      </c>
    </row>
    <row r="418" spans="1:12" x14ac:dyDescent="0.3">
      <c r="A418" s="1">
        <v>45501</v>
      </c>
      <c r="B418" t="s">
        <v>15</v>
      </c>
      <c r="C418" t="s">
        <v>16</v>
      </c>
      <c r="D418" t="s">
        <v>17</v>
      </c>
      <c r="E418">
        <v>339612</v>
      </c>
      <c r="F418">
        <v>188238</v>
      </c>
      <c r="G418">
        <v>334063</v>
      </c>
      <c r="H418">
        <v>3.8</v>
      </c>
      <c r="I418">
        <v>2</v>
      </c>
      <c r="J418">
        <f t="shared" si="18"/>
        <v>151374</v>
      </c>
      <c r="K418" s="2">
        <f t="shared" si="19"/>
        <v>1.0166106393105492</v>
      </c>
      <c r="L418" s="2">
        <f t="shared" si="20"/>
        <v>0.44572629942404862</v>
      </c>
    </row>
    <row r="419" spans="1:12" x14ac:dyDescent="0.3">
      <c r="A419" s="1">
        <v>45526</v>
      </c>
      <c r="B419" t="s">
        <v>9</v>
      </c>
      <c r="C419" t="s">
        <v>10</v>
      </c>
      <c r="D419" t="s">
        <v>14</v>
      </c>
      <c r="E419">
        <v>497151</v>
      </c>
      <c r="F419">
        <v>189940</v>
      </c>
      <c r="G419">
        <v>549916</v>
      </c>
      <c r="H419">
        <v>3.9</v>
      </c>
      <c r="I419">
        <v>10</v>
      </c>
      <c r="J419">
        <f t="shared" si="18"/>
        <v>307211</v>
      </c>
      <c r="K419" s="2">
        <f t="shared" si="19"/>
        <v>0.90404898202634587</v>
      </c>
      <c r="L419" s="2">
        <f t="shared" si="20"/>
        <v>0.61794303943872186</v>
      </c>
    </row>
    <row r="420" spans="1:12" x14ac:dyDescent="0.3">
      <c r="A420" s="1">
        <v>45873</v>
      </c>
      <c r="B420" t="s">
        <v>19</v>
      </c>
      <c r="C420" t="s">
        <v>13</v>
      </c>
      <c r="D420" t="s">
        <v>11</v>
      </c>
      <c r="E420">
        <v>297995</v>
      </c>
      <c r="F420">
        <v>151380</v>
      </c>
      <c r="G420">
        <v>338494</v>
      </c>
      <c r="H420">
        <v>4.3</v>
      </c>
      <c r="I420">
        <v>15</v>
      </c>
      <c r="J420">
        <f t="shared" si="18"/>
        <v>146615</v>
      </c>
      <c r="K420" s="2">
        <f t="shared" si="19"/>
        <v>0.88035533864706617</v>
      </c>
      <c r="L420" s="2">
        <f t="shared" si="20"/>
        <v>0.49200489941106396</v>
      </c>
    </row>
    <row r="421" spans="1:12" x14ac:dyDescent="0.3">
      <c r="A421" s="1">
        <v>45623</v>
      </c>
      <c r="B421" t="s">
        <v>12</v>
      </c>
      <c r="C421" t="s">
        <v>10</v>
      </c>
      <c r="D421" t="s">
        <v>14</v>
      </c>
      <c r="E421">
        <v>335905</v>
      </c>
      <c r="F421">
        <v>185141</v>
      </c>
      <c r="G421">
        <v>307080</v>
      </c>
      <c r="H421">
        <v>3.5</v>
      </c>
      <c r="I421">
        <v>2</v>
      </c>
      <c r="J421">
        <f t="shared" si="18"/>
        <v>150764</v>
      </c>
      <c r="K421" s="2">
        <f t="shared" si="19"/>
        <v>1.0938680474143545</v>
      </c>
      <c r="L421" s="2">
        <f t="shared" si="20"/>
        <v>0.44882928208868578</v>
      </c>
    </row>
    <row r="422" spans="1:12" x14ac:dyDescent="0.3">
      <c r="A422" s="1">
        <v>45681</v>
      </c>
      <c r="B422" t="s">
        <v>9</v>
      </c>
      <c r="C422" t="s">
        <v>13</v>
      </c>
      <c r="D422" t="s">
        <v>11</v>
      </c>
      <c r="E422">
        <v>297516</v>
      </c>
      <c r="F422">
        <v>152770</v>
      </c>
      <c r="G422">
        <v>315216</v>
      </c>
      <c r="H422">
        <v>4.0999999999999996</v>
      </c>
      <c r="I422">
        <v>10</v>
      </c>
      <c r="J422">
        <f t="shared" si="18"/>
        <v>144746</v>
      </c>
      <c r="K422" s="2">
        <f t="shared" si="19"/>
        <v>0.94384802801888235</v>
      </c>
      <c r="L422" s="2">
        <f t="shared" si="20"/>
        <v>0.48651501095739391</v>
      </c>
    </row>
    <row r="423" spans="1:12" x14ac:dyDescent="0.3">
      <c r="A423" s="1">
        <v>45741</v>
      </c>
      <c r="B423" t="s">
        <v>15</v>
      </c>
      <c r="C423" t="s">
        <v>18</v>
      </c>
      <c r="D423" t="s">
        <v>14</v>
      </c>
      <c r="E423">
        <v>422009</v>
      </c>
      <c r="F423">
        <v>226618</v>
      </c>
      <c r="G423">
        <v>388084</v>
      </c>
      <c r="H423">
        <v>4.2</v>
      </c>
      <c r="I423">
        <v>15</v>
      </c>
      <c r="J423">
        <f t="shared" si="18"/>
        <v>195391</v>
      </c>
      <c r="K423" s="2">
        <f t="shared" si="19"/>
        <v>1.0874166417579698</v>
      </c>
      <c r="L423" s="2">
        <f t="shared" si="20"/>
        <v>0.46300197389155207</v>
      </c>
    </row>
    <row r="424" spans="1:12" x14ac:dyDescent="0.3">
      <c r="A424" s="1">
        <v>45884</v>
      </c>
      <c r="B424" t="s">
        <v>12</v>
      </c>
      <c r="C424" t="s">
        <v>13</v>
      </c>
      <c r="D424" t="s">
        <v>17</v>
      </c>
      <c r="E424">
        <v>97893</v>
      </c>
      <c r="F424">
        <v>46433</v>
      </c>
      <c r="G424">
        <v>83564</v>
      </c>
      <c r="H424">
        <v>3.5</v>
      </c>
      <c r="I424">
        <v>12</v>
      </c>
      <c r="J424">
        <f t="shared" si="18"/>
        <v>51460</v>
      </c>
      <c r="K424" s="2">
        <f t="shared" si="19"/>
        <v>1.1714733617347184</v>
      </c>
      <c r="L424" s="2">
        <f t="shared" si="20"/>
        <v>0.52567599317622304</v>
      </c>
    </row>
    <row r="425" spans="1:12" x14ac:dyDescent="0.3">
      <c r="A425" s="1">
        <v>45904</v>
      </c>
      <c r="B425" t="s">
        <v>9</v>
      </c>
      <c r="C425" t="s">
        <v>13</v>
      </c>
      <c r="D425" t="s">
        <v>17</v>
      </c>
      <c r="E425">
        <v>291854</v>
      </c>
      <c r="F425">
        <v>176916</v>
      </c>
      <c r="G425">
        <v>318828</v>
      </c>
      <c r="H425">
        <v>3.8</v>
      </c>
      <c r="I425">
        <v>10</v>
      </c>
      <c r="J425">
        <f t="shared" si="18"/>
        <v>114938</v>
      </c>
      <c r="K425" s="2">
        <f t="shared" si="19"/>
        <v>0.91539638927572231</v>
      </c>
      <c r="L425" s="2">
        <f t="shared" si="20"/>
        <v>0.39382019777011795</v>
      </c>
    </row>
    <row r="426" spans="1:12" x14ac:dyDescent="0.3">
      <c r="A426" s="1">
        <v>45858</v>
      </c>
      <c r="B426" t="s">
        <v>9</v>
      </c>
      <c r="C426" t="s">
        <v>13</v>
      </c>
      <c r="D426" t="s">
        <v>11</v>
      </c>
      <c r="E426">
        <v>168485</v>
      </c>
      <c r="F426">
        <v>90014</v>
      </c>
      <c r="G426">
        <v>163570</v>
      </c>
      <c r="H426">
        <v>4.8</v>
      </c>
      <c r="I426">
        <v>4</v>
      </c>
      <c r="J426">
        <f t="shared" si="18"/>
        <v>78471</v>
      </c>
      <c r="K426" s="2">
        <f t="shared" si="19"/>
        <v>1.0300482973650424</v>
      </c>
      <c r="L426" s="2">
        <f t="shared" si="20"/>
        <v>0.46574472504970771</v>
      </c>
    </row>
    <row r="427" spans="1:12" x14ac:dyDescent="0.3">
      <c r="A427" s="1">
        <v>45464</v>
      </c>
      <c r="B427" t="s">
        <v>15</v>
      </c>
      <c r="C427" t="s">
        <v>13</v>
      </c>
      <c r="D427" t="s">
        <v>14</v>
      </c>
      <c r="E427">
        <v>50695</v>
      </c>
      <c r="F427">
        <v>15412</v>
      </c>
      <c r="G427">
        <v>43773</v>
      </c>
      <c r="H427">
        <v>4.5999999999999996</v>
      </c>
      <c r="I427">
        <v>1</v>
      </c>
      <c r="J427">
        <f t="shared" si="18"/>
        <v>35283</v>
      </c>
      <c r="K427" s="2">
        <f t="shared" si="19"/>
        <v>1.1581340095492656</v>
      </c>
      <c r="L427" s="2">
        <f t="shared" si="20"/>
        <v>0.69598579741591871</v>
      </c>
    </row>
    <row r="428" spans="1:12" x14ac:dyDescent="0.3">
      <c r="A428" s="1">
        <v>45695</v>
      </c>
      <c r="B428" t="s">
        <v>19</v>
      </c>
      <c r="C428" t="s">
        <v>16</v>
      </c>
      <c r="D428" t="s">
        <v>11</v>
      </c>
      <c r="E428">
        <v>378226</v>
      </c>
      <c r="F428">
        <v>176514</v>
      </c>
      <c r="G428">
        <v>352757</v>
      </c>
      <c r="H428">
        <v>4.4000000000000004</v>
      </c>
      <c r="I428">
        <v>0</v>
      </c>
      <c r="J428">
        <f t="shared" si="18"/>
        <v>201712</v>
      </c>
      <c r="K428" s="2">
        <f t="shared" si="19"/>
        <v>1.0721998429513802</v>
      </c>
      <c r="L428" s="2">
        <f t="shared" si="20"/>
        <v>0.53331077186655595</v>
      </c>
    </row>
    <row r="429" spans="1:12" x14ac:dyDescent="0.3">
      <c r="A429" s="1">
        <v>45976</v>
      </c>
      <c r="B429" t="s">
        <v>9</v>
      </c>
      <c r="C429" t="s">
        <v>10</v>
      </c>
      <c r="D429" t="s">
        <v>14</v>
      </c>
      <c r="E429">
        <v>258922</v>
      </c>
      <c r="F429">
        <v>104866</v>
      </c>
      <c r="G429">
        <v>238757</v>
      </c>
      <c r="H429">
        <v>3.8</v>
      </c>
      <c r="I429">
        <v>1</v>
      </c>
      <c r="J429">
        <f t="shared" si="18"/>
        <v>154056</v>
      </c>
      <c r="K429" s="2">
        <f t="shared" si="19"/>
        <v>1.0844582567212688</v>
      </c>
      <c r="L429" s="2">
        <f t="shared" si="20"/>
        <v>0.59498999698750976</v>
      </c>
    </row>
    <row r="430" spans="1:12" x14ac:dyDescent="0.3">
      <c r="A430" s="1">
        <v>45695</v>
      </c>
      <c r="B430" t="s">
        <v>9</v>
      </c>
      <c r="C430" t="s">
        <v>18</v>
      </c>
      <c r="D430" t="s">
        <v>17</v>
      </c>
      <c r="E430">
        <v>415818</v>
      </c>
      <c r="F430">
        <v>164027</v>
      </c>
      <c r="G430">
        <v>381973</v>
      </c>
      <c r="H430">
        <v>4.9000000000000004</v>
      </c>
      <c r="I430">
        <v>10</v>
      </c>
      <c r="J430">
        <f t="shared" si="18"/>
        <v>251791</v>
      </c>
      <c r="K430" s="2">
        <f t="shared" si="19"/>
        <v>1.0886057391491022</v>
      </c>
      <c r="L430" s="2">
        <f t="shared" si="20"/>
        <v>0.60553174706241675</v>
      </c>
    </row>
    <row r="431" spans="1:12" x14ac:dyDescent="0.3">
      <c r="A431" s="1">
        <v>45569</v>
      </c>
      <c r="B431" t="s">
        <v>15</v>
      </c>
      <c r="C431" t="s">
        <v>13</v>
      </c>
      <c r="D431" t="s">
        <v>14</v>
      </c>
      <c r="E431">
        <v>167608</v>
      </c>
      <c r="F431">
        <v>65744</v>
      </c>
      <c r="G431">
        <v>170792</v>
      </c>
      <c r="H431">
        <v>4.0999999999999996</v>
      </c>
      <c r="I431">
        <v>4</v>
      </c>
      <c r="J431">
        <f t="shared" si="18"/>
        <v>101864</v>
      </c>
      <c r="K431" s="2">
        <f t="shared" si="19"/>
        <v>0.98135744062953767</v>
      </c>
      <c r="L431" s="2">
        <f t="shared" si="20"/>
        <v>0.60775141997995319</v>
      </c>
    </row>
    <row r="432" spans="1:12" x14ac:dyDescent="0.3">
      <c r="A432" s="1">
        <v>45879</v>
      </c>
      <c r="B432" t="s">
        <v>15</v>
      </c>
      <c r="C432" t="s">
        <v>18</v>
      </c>
      <c r="D432" t="s">
        <v>11</v>
      </c>
      <c r="E432">
        <v>76668</v>
      </c>
      <c r="F432">
        <v>27360</v>
      </c>
      <c r="G432">
        <v>84622</v>
      </c>
      <c r="H432">
        <v>4.0999999999999996</v>
      </c>
      <c r="I432">
        <v>14</v>
      </c>
      <c r="J432">
        <f t="shared" si="18"/>
        <v>49308</v>
      </c>
      <c r="K432" s="2">
        <f t="shared" si="19"/>
        <v>0.90600553047670818</v>
      </c>
      <c r="L432" s="2">
        <f t="shared" si="20"/>
        <v>0.64313664110189384</v>
      </c>
    </row>
    <row r="433" spans="1:12" x14ac:dyDescent="0.3">
      <c r="A433" s="1">
        <v>45753</v>
      </c>
      <c r="B433" t="s">
        <v>9</v>
      </c>
      <c r="C433" t="s">
        <v>18</v>
      </c>
      <c r="D433" t="s">
        <v>17</v>
      </c>
      <c r="E433">
        <v>411491</v>
      </c>
      <c r="F433">
        <v>191198</v>
      </c>
      <c r="G433">
        <v>375007</v>
      </c>
      <c r="H433">
        <v>3.9</v>
      </c>
      <c r="I433">
        <v>14</v>
      </c>
      <c r="J433">
        <f t="shared" si="18"/>
        <v>220293</v>
      </c>
      <c r="K433" s="2">
        <f t="shared" si="19"/>
        <v>1.097288850608122</v>
      </c>
      <c r="L433" s="2">
        <f t="shared" si="20"/>
        <v>0.53535314259607136</v>
      </c>
    </row>
    <row r="434" spans="1:12" x14ac:dyDescent="0.3">
      <c r="A434" s="1">
        <v>45659</v>
      </c>
      <c r="B434" t="s">
        <v>12</v>
      </c>
      <c r="C434" t="s">
        <v>13</v>
      </c>
      <c r="D434" t="s">
        <v>11</v>
      </c>
      <c r="E434">
        <v>417085</v>
      </c>
      <c r="F434">
        <v>179841</v>
      </c>
      <c r="G434">
        <v>400112</v>
      </c>
      <c r="H434">
        <v>3.9</v>
      </c>
      <c r="I434">
        <v>11</v>
      </c>
      <c r="J434">
        <f t="shared" si="18"/>
        <v>237244</v>
      </c>
      <c r="K434" s="2">
        <f t="shared" si="19"/>
        <v>1.0424206222257768</v>
      </c>
      <c r="L434" s="2">
        <f t="shared" si="20"/>
        <v>0.56881451023172735</v>
      </c>
    </row>
    <row r="435" spans="1:12" x14ac:dyDescent="0.3">
      <c r="A435" s="1">
        <v>45712</v>
      </c>
      <c r="B435" t="s">
        <v>19</v>
      </c>
      <c r="C435" t="s">
        <v>18</v>
      </c>
      <c r="D435" t="s">
        <v>11</v>
      </c>
      <c r="E435">
        <v>386087</v>
      </c>
      <c r="F435">
        <v>142563</v>
      </c>
      <c r="G435">
        <v>366650</v>
      </c>
      <c r="H435">
        <v>4.5</v>
      </c>
      <c r="I435">
        <v>10</v>
      </c>
      <c r="J435">
        <f t="shared" si="18"/>
        <v>243524</v>
      </c>
      <c r="K435" s="2">
        <f t="shared" si="19"/>
        <v>1.0530124096549842</v>
      </c>
      <c r="L435" s="2">
        <f t="shared" si="20"/>
        <v>0.63074902806880317</v>
      </c>
    </row>
    <row r="436" spans="1:12" x14ac:dyDescent="0.3">
      <c r="A436" s="1">
        <v>45827</v>
      </c>
      <c r="B436" t="s">
        <v>9</v>
      </c>
      <c r="C436" t="s">
        <v>16</v>
      </c>
      <c r="D436" t="s">
        <v>11</v>
      </c>
      <c r="E436">
        <v>157745</v>
      </c>
      <c r="F436">
        <v>75246</v>
      </c>
      <c r="G436">
        <v>136231</v>
      </c>
      <c r="H436">
        <v>3.9</v>
      </c>
      <c r="I436">
        <v>8</v>
      </c>
      <c r="J436">
        <f t="shared" si="18"/>
        <v>82499</v>
      </c>
      <c r="K436" s="2">
        <f t="shared" si="19"/>
        <v>1.1579229397126938</v>
      </c>
      <c r="L436" s="2">
        <f t="shared" si="20"/>
        <v>0.52298963517068686</v>
      </c>
    </row>
    <row r="437" spans="1:12" x14ac:dyDescent="0.3">
      <c r="A437" s="1">
        <v>45872</v>
      </c>
      <c r="B437" t="s">
        <v>12</v>
      </c>
      <c r="C437" t="s">
        <v>16</v>
      </c>
      <c r="D437" t="s">
        <v>14</v>
      </c>
      <c r="E437">
        <v>198221</v>
      </c>
      <c r="F437">
        <v>122103</v>
      </c>
      <c r="G437">
        <v>193259</v>
      </c>
      <c r="H437">
        <v>4.3</v>
      </c>
      <c r="I437">
        <v>8</v>
      </c>
      <c r="J437">
        <f t="shared" si="18"/>
        <v>76118</v>
      </c>
      <c r="K437" s="2">
        <f t="shared" si="19"/>
        <v>1.0256753889857653</v>
      </c>
      <c r="L437" s="2">
        <f t="shared" si="20"/>
        <v>0.38400573097704077</v>
      </c>
    </row>
    <row r="438" spans="1:12" x14ac:dyDescent="0.3">
      <c r="A438" s="1">
        <v>45648</v>
      </c>
      <c r="B438" t="s">
        <v>19</v>
      </c>
      <c r="C438" t="s">
        <v>16</v>
      </c>
      <c r="D438" t="s">
        <v>11</v>
      </c>
      <c r="E438">
        <v>461248</v>
      </c>
      <c r="F438">
        <v>279964</v>
      </c>
      <c r="G438">
        <v>452597</v>
      </c>
      <c r="H438">
        <v>4.8</v>
      </c>
      <c r="I438">
        <v>5</v>
      </c>
      <c r="J438">
        <f t="shared" si="18"/>
        <v>181284</v>
      </c>
      <c r="K438" s="2">
        <f t="shared" si="19"/>
        <v>1.0191141346495889</v>
      </c>
      <c r="L438" s="2">
        <f t="shared" si="20"/>
        <v>0.39302934646871096</v>
      </c>
    </row>
    <row r="439" spans="1:12" x14ac:dyDescent="0.3">
      <c r="A439" s="1">
        <v>45633</v>
      </c>
      <c r="B439" t="s">
        <v>12</v>
      </c>
      <c r="C439" t="s">
        <v>13</v>
      </c>
      <c r="D439" t="s">
        <v>17</v>
      </c>
      <c r="E439">
        <v>193845</v>
      </c>
      <c r="F439">
        <v>84479</v>
      </c>
      <c r="G439">
        <v>188956</v>
      </c>
      <c r="H439">
        <v>4.5999999999999996</v>
      </c>
      <c r="I439">
        <v>14</v>
      </c>
      <c r="J439">
        <f t="shared" si="18"/>
        <v>109366</v>
      </c>
      <c r="K439" s="2">
        <f t="shared" si="19"/>
        <v>1.0258737483858675</v>
      </c>
      <c r="L439" s="2">
        <f t="shared" si="20"/>
        <v>0.56419304083159227</v>
      </c>
    </row>
    <row r="440" spans="1:12" x14ac:dyDescent="0.3">
      <c r="A440" s="1">
        <v>45597</v>
      </c>
      <c r="B440" t="s">
        <v>15</v>
      </c>
      <c r="C440" t="s">
        <v>16</v>
      </c>
      <c r="D440" t="s">
        <v>14</v>
      </c>
      <c r="E440">
        <v>426280</v>
      </c>
      <c r="F440">
        <v>234247</v>
      </c>
      <c r="G440">
        <v>409775</v>
      </c>
      <c r="H440">
        <v>4.9000000000000004</v>
      </c>
      <c r="I440">
        <v>2</v>
      </c>
      <c r="J440">
        <f t="shared" si="18"/>
        <v>192033</v>
      </c>
      <c r="K440" s="2">
        <f t="shared" si="19"/>
        <v>1.0402782014520164</v>
      </c>
      <c r="L440" s="2">
        <f t="shared" si="20"/>
        <v>0.45048559632166651</v>
      </c>
    </row>
    <row r="441" spans="1:12" x14ac:dyDescent="0.3">
      <c r="A441" s="1">
        <v>45842</v>
      </c>
      <c r="B441" t="s">
        <v>9</v>
      </c>
      <c r="C441" t="s">
        <v>13</v>
      </c>
      <c r="D441" t="s">
        <v>17</v>
      </c>
      <c r="E441">
        <v>38884</v>
      </c>
      <c r="F441">
        <v>16829</v>
      </c>
      <c r="G441">
        <v>40762</v>
      </c>
      <c r="H441">
        <v>3.6</v>
      </c>
      <c r="I441">
        <v>5</v>
      </c>
      <c r="J441">
        <f t="shared" si="18"/>
        <v>22055</v>
      </c>
      <c r="K441" s="2">
        <f t="shared" si="19"/>
        <v>0.95392767773907072</v>
      </c>
      <c r="L441" s="2">
        <f t="shared" si="20"/>
        <v>0.56719987655590987</v>
      </c>
    </row>
    <row r="442" spans="1:12" x14ac:dyDescent="0.3">
      <c r="A442" s="1">
        <v>45493</v>
      </c>
      <c r="B442" t="s">
        <v>9</v>
      </c>
      <c r="C442" t="s">
        <v>18</v>
      </c>
      <c r="D442" t="s">
        <v>17</v>
      </c>
      <c r="E442">
        <v>88077</v>
      </c>
      <c r="F442">
        <v>47151</v>
      </c>
      <c r="G442">
        <v>91470</v>
      </c>
      <c r="H442">
        <v>4.2</v>
      </c>
      <c r="I442">
        <v>8</v>
      </c>
      <c r="J442">
        <f t="shared" si="18"/>
        <v>40926</v>
      </c>
      <c r="K442" s="2">
        <f t="shared" si="19"/>
        <v>0.96290587077730405</v>
      </c>
      <c r="L442" s="2">
        <f t="shared" si="20"/>
        <v>0.46466160291563063</v>
      </c>
    </row>
    <row r="443" spans="1:12" x14ac:dyDescent="0.3">
      <c r="A443" s="1">
        <v>45851</v>
      </c>
      <c r="B443" t="s">
        <v>9</v>
      </c>
      <c r="C443" t="s">
        <v>18</v>
      </c>
      <c r="D443" t="s">
        <v>14</v>
      </c>
      <c r="E443">
        <v>261514</v>
      </c>
      <c r="F443">
        <v>115058</v>
      </c>
      <c r="G443">
        <v>283538</v>
      </c>
      <c r="H443">
        <v>4.5999999999999996</v>
      </c>
      <c r="I443">
        <v>4</v>
      </c>
      <c r="J443">
        <f t="shared" si="18"/>
        <v>146456</v>
      </c>
      <c r="K443" s="2">
        <f t="shared" si="19"/>
        <v>0.9223243445323025</v>
      </c>
      <c r="L443" s="2">
        <f t="shared" si="20"/>
        <v>0.56003120291839059</v>
      </c>
    </row>
    <row r="444" spans="1:12" x14ac:dyDescent="0.3">
      <c r="A444" s="1">
        <v>45854</v>
      </c>
      <c r="B444" t="s">
        <v>9</v>
      </c>
      <c r="C444" t="s">
        <v>10</v>
      </c>
      <c r="D444" t="s">
        <v>14</v>
      </c>
      <c r="E444">
        <v>367246</v>
      </c>
      <c r="F444">
        <v>207968</v>
      </c>
      <c r="G444">
        <v>332011</v>
      </c>
      <c r="H444">
        <v>3.6</v>
      </c>
      <c r="I444">
        <v>7</v>
      </c>
      <c r="J444">
        <f t="shared" si="18"/>
        <v>159278</v>
      </c>
      <c r="K444" s="2">
        <f t="shared" si="19"/>
        <v>1.1061260018493364</v>
      </c>
      <c r="L444" s="2">
        <f t="shared" si="20"/>
        <v>0.43370928478458581</v>
      </c>
    </row>
    <row r="445" spans="1:12" x14ac:dyDescent="0.3">
      <c r="A445" s="1">
        <v>45489</v>
      </c>
      <c r="B445" t="s">
        <v>19</v>
      </c>
      <c r="C445" t="s">
        <v>18</v>
      </c>
      <c r="D445" t="s">
        <v>11</v>
      </c>
      <c r="E445">
        <v>23689</v>
      </c>
      <c r="F445">
        <v>8453</v>
      </c>
      <c r="G445">
        <v>22584</v>
      </c>
      <c r="H445">
        <v>3.5</v>
      </c>
      <c r="I445">
        <v>6</v>
      </c>
      <c r="J445">
        <f t="shared" si="18"/>
        <v>15236</v>
      </c>
      <c r="K445" s="2">
        <f t="shared" si="19"/>
        <v>1.0489284449167553</v>
      </c>
      <c r="L445" s="2">
        <f t="shared" si="20"/>
        <v>0.64316771497319436</v>
      </c>
    </row>
    <row r="446" spans="1:12" x14ac:dyDescent="0.3">
      <c r="A446" s="1">
        <v>45972</v>
      </c>
      <c r="B446" t="s">
        <v>19</v>
      </c>
      <c r="C446" t="s">
        <v>10</v>
      </c>
      <c r="D446" t="s">
        <v>14</v>
      </c>
      <c r="E446">
        <v>72021</v>
      </c>
      <c r="F446">
        <v>29561</v>
      </c>
      <c r="G446">
        <v>64617</v>
      </c>
      <c r="H446">
        <v>3.7</v>
      </c>
      <c r="I446">
        <v>5</v>
      </c>
      <c r="J446">
        <f t="shared" si="18"/>
        <v>42460</v>
      </c>
      <c r="K446" s="2">
        <f t="shared" si="19"/>
        <v>1.1145828497144714</v>
      </c>
      <c r="L446" s="2">
        <f t="shared" si="20"/>
        <v>0.5895502700601214</v>
      </c>
    </row>
    <row r="447" spans="1:12" x14ac:dyDescent="0.3">
      <c r="A447" s="1">
        <v>45852</v>
      </c>
      <c r="B447" t="s">
        <v>9</v>
      </c>
      <c r="C447" t="s">
        <v>13</v>
      </c>
      <c r="D447" t="s">
        <v>11</v>
      </c>
      <c r="E447">
        <v>102268</v>
      </c>
      <c r="F447">
        <v>45734</v>
      </c>
      <c r="G447">
        <v>96499</v>
      </c>
      <c r="H447">
        <v>4.2</v>
      </c>
      <c r="I447">
        <v>6</v>
      </c>
      <c r="J447">
        <f t="shared" si="18"/>
        <v>56534</v>
      </c>
      <c r="K447" s="2">
        <f t="shared" si="19"/>
        <v>1.0597830029326729</v>
      </c>
      <c r="L447" s="2">
        <f t="shared" si="20"/>
        <v>0.55280244064614548</v>
      </c>
    </row>
    <row r="448" spans="1:12" x14ac:dyDescent="0.3">
      <c r="A448" s="1">
        <v>45391</v>
      </c>
      <c r="B448" t="s">
        <v>9</v>
      </c>
      <c r="C448" t="s">
        <v>13</v>
      </c>
      <c r="D448" t="s">
        <v>17</v>
      </c>
      <c r="E448">
        <v>313472</v>
      </c>
      <c r="F448">
        <v>115780</v>
      </c>
      <c r="G448">
        <v>278148</v>
      </c>
      <c r="H448">
        <v>4.7</v>
      </c>
      <c r="I448">
        <v>2</v>
      </c>
      <c r="J448">
        <f t="shared" si="18"/>
        <v>197692</v>
      </c>
      <c r="K448" s="2">
        <f t="shared" si="19"/>
        <v>1.1269971382141881</v>
      </c>
      <c r="L448" s="2">
        <f t="shared" si="20"/>
        <v>0.63065281747652102</v>
      </c>
    </row>
    <row r="449" spans="1:12" x14ac:dyDescent="0.3">
      <c r="A449" s="1">
        <v>45561</v>
      </c>
      <c r="B449" t="s">
        <v>15</v>
      </c>
      <c r="C449" t="s">
        <v>10</v>
      </c>
      <c r="D449" t="s">
        <v>11</v>
      </c>
      <c r="E449">
        <v>482963</v>
      </c>
      <c r="F449">
        <v>182976</v>
      </c>
      <c r="G449">
        <v>489690</v>
      </c>
      <c r="H449">
        <v>5</v>
      </c>
      <c r="I449">
        <v>12</v>
      </c>
      <c r="J449">
        <f t="shared" si="18"/>
        <v>299987</v>
      </c>
      <c r="K449" s="2">
        <f t="shared" si="19"/>
        <v>0.98626273765035022</v>
      </c>
      <c r="L449" s="2">
        <f t="shared" si="20"/>
        <v>0.62113867936053069</v>
      </c>
    </row>
    <row r="450" spans="1:12" x14ac:dyDescent="0.3">
      <c r="A450" s="1">
        <v>45630</v>
      </c>
      <c r="B450" t="s">
        <v>19</v>
      </c>
      <c r="C450" t="s">
        <v>10</v>
      </c>
      <c r="D450" t="s">
        <v>14</v>
      </c>
      <c r="E450">
        <v>373605</v>
      </c>
      <c r="F450">
        <v>138685</v>
      </c>
      <c r="G450">
        <v>337655</v>
      </c>
      <c r="H450">
        <v>4.7</v>
      </c>
      <c r="I450">
        <v>15</v>
      </c>
      <c r="J450">
        <f t="shared" si="18"/>
        <v>234920</v>
      </c>
      <c r="K450" s="2">
        <f t="shared" si="19"/>
        <v>1.1064696213590794</v>
      </c>
      <c r="L450" s="2">
        <f t="shared" si="20"/>
        <v>0.62879244121465183</v>
      </c>
    </row>
    <row r="451" spans="1:12" x14ac:dyDescent="0.3">
      <c r="A451" s="1">
        <v>45774</v>
      </c>
      <c r="B451" t="s">
        <v>12</v>
      </c>
      <c r="C451" t="s">
        <v>13</v>
      </c>
      <c r="D451" t="s">
        <v>11</v>
      </c>
      <c r="E451">
        <v>304442</v>
      </c>
      <c r="F451">
        <v>114276</v>
      </c>
      <c r="G451">
        <v>320621</v>
      </c>
      <c r="H451">
        <v>4.4000000000000004</v>
      </c>
      <c r="I451">
        <v>9</v>
      </c>
      <c r="J451">
        <f t="shared" ref="J451:J514" si="21">E451-F451</f>
        <v>190166</v>
      </c>
      <c r="K451" s="2">
        <f t="shared" ref="K451:K514" si="22">E451/G451</f>
        <v>0.94953855174801405</v>
      </c>
      <c r="L451" s="2">
        <f t="shared" ref="L451:L514" si="23">J451/E451</f>
        <v>0.62463786205582672</v>
      </c>
    </row>
    <row r="452" spans="1:12" x14ac:dyDescent="0.3">
      <c r="A452" s="1">
        <v>45805</v>
      </c>
      <c r="B452" t="s">
        <v>9</v>
      </c>
      <c r="C452" t="s">
        <v>16</v>
      </c>
      <c r="D452" t="s">
        <v>11</v>
      </c>
      <c r="E452">
        <v>227400</v>
      </c>
      <c r="F452">
        <v>133422</v>
      </c>
      <c r="G452">
        <v>214633</v>
      </c>
      <c r="H452">
        <v>4.9000000000000004</v>
      </c>
      <c r="I452">
        <v>4</v>
      </c>
      <c r="J452">
        <f t="shared" si="21"/>
        <v>93978</v>
      </c>
      <c r="K452" s="2">
        <f t="shared" si="22"/>
        <v>1.0594829313292924</v>
      </c>
      <c r="L452" s="2">
        <f t="shared" si="23"/>
        <v>0.41327176781002639</v>
      </c>
    </row>
    <row r="453" spans="1:12" x14ac:dyDescent="0.3">
      <c r="A453" s="1">
        <v>45917</v>
      </c>
      <c r="B453" t="s">
        <v>9</v>
      </c>
      <c r="C453" t="s">
        <v>18</v>
      </c>
      <c r="D453" t="s">
        <v>11</v>
      </c>
      <c r="E453">
        <v>283586</v>
      </c>
      <c r="F453">
        <v>149661</v>
      </c>
      <c r="G453">
        <v>254899</v>
      </c>
      <c r="H453">
        <v>3.8</v>
      </c>
      <c r="I453">
        <v>1</v>
      </c>
      <c r="J453">
        <f t="shared" si="21"/>
        <v>133925</v>
      </c>
      <c r="K453" s="2">
        <f t="shared" si="22"/>
        <v>1.1125426149180655</v>
      </c>
      <c r="L453" s="2">
        <f t="shared" si="23"/>
        <v>0.47225532995281855</v>
      </c>
    </row>
    <row r="454" spans="1:12" x14ac:dyDescent="0.3">
      <c r="A454" s="1">
        <v>45303</v>
      </c>
      <c r="B454" t="s">
        <v>15</v>
      </c>
      <c r="C454" t="s">
        <v>10</v>
      </c>
      <c r="D454" t="s">
        <v>11</v>
      </c>
      <c r="E454">
        <v>102036</v>
      </c>
      <c r="F454">
        <v>32600</v>
      </c>
      <c r="G454">
        <v>99909</v>
      </c>
      <c r="H454">
        <v>4.8</v>
      </c>
      <c r="I454">
        <v>0</v>
      </c>
      <c r="J454">
        <f t="shared" si="21"/>
        <v>69436</v>
      </c>
      <c r="K454" s="2">
        <f t="shared" si="22"/>
        <v>1.0212893733297301</v>
      </c>
      <c r="L454" s="2">
        <f t="shared" si="23"/>
        <v>0.68050491983221606</v>
      </c>
    </row>
    <row r="455" spans="1:12" x14ac:dyDescent="0.3">
      <c r="A455" s="1">
        <v>45360</v>
      </c>
      <c r="B455" t="s">
        <v>15</v>
      </c>
      <c r="C455" t="s">
        <v>13</v>
      </c>
      <c r="D455" t="s">
        <v>11</v>
      </c>
      <c r="E455">
        <v>95024</v>
      </c>
      <c r="F455">
        <v>50359</v>
      </c>
      <c r="G455">
        <v>100085</v>
      </c>
      <c r="H455">
        <v>3.6</v>
      </c>
      <c r="I455">
        <v>15</v>
      </c>
      <c r="J455">
        <f t="shared" si="21"/>
        <v>44665</v>
      </c>
      <c r="K455" s="2">
        <f t="shared" si="22"/>
        <v>0.94943298196532944</v>
      </c>
      <c r="L455" s="2">
        <f t="shared" si="23"/>
        <v>0.47003914800471458</v>
      </c>
    </row>
    <row r="456" spans="1:12" x14ac:dyDescent="0.3">
      <c r="A456" s="1">
        <v>45850</v>
      </c>
      <c r="B456" t="s">
        <v>12</v>
      </c>
      <c r="C456" t="s">
        <v>13</v>
      </c>
      <c r="D456" t="s">
        <v>14</v>
      </c>
      <c r="E456">
        <v>56220</v>
      </c>
      <c r="F456">
        <v>22744</v>
      </c>
      <c r="G456">
        <v>58451</v>
      </c>
      <c r="H456">
        <v>3.8</v>
      </c>
      <c r="I456">
        <v>3</v>
      </c>
      <c r="J456">
        <f t="shared" si="21"/>
        <v>33476</v>
      </c>
      <c r="K456" s="2">
        <f t="shared" si="22"/>
        <v>0.96183127748028263</v>
      </c>
      <c r="L456" s="2">
        <f t="shared" si="23"/>
        <v>0.59544646033440052</v>
      </c>
    </row>
    <row r="457" spans="1:12" x14ac:dyDescent="0.3">
      <c r="A457" s="1">
        <v>45694</v>
      </c>
      <c r="B457" t="s">
        <v>9</v>
      </c>
      <c r="C457" t="s">
        <v>16</v>
      </c>
      <c r="D457" t="s">
        <v>14</v>
      </c>
      <c r="E457">
        <v>244231</v>
      </c>
      <c r="F457">
        <v>127645</v>
      </c>
      <c r="G457">
        <v>227842</v>
      </c>
      <c r="H457">
        <v>4.0999999999999996</v>
      </c>
      <c r="I457">
        <v>3</v>
      </c>
      <c r="J457">
        <f t="shared" si="21"/>
        <v>116586</v>
      </c>
      <c r="K457" s="2">
        <f t="shared" si="22"/>
        <v>1.0719314261637451</v>
      </c>
      <c r="L457" s="2">
        <f t="shared" si="23"/>
        <v>0.47735954895160732</v>
      </c>
    </row>
    <row r="458" spans="1:12" x14ac:dyDescent="0.3">
      <c r="A458" s="1">
        <v>45860</v>
      </c>
      <c r="B458" t="s">
        <v>9</v>
      </c>
      <c r="C458" t="s">
        <v>16</v>
      </c>
      <c r="D458" t="s">
        <v>17</v>
      </c>
      <c r="E458">
        <v>114092</v>
      </c>
      <c r="F458">
        <v>64369</v>
      </c>
      <c r="G458">
        <v>130202</v>
      </c>
      <c r="H458">
        <v>3.7</v>
      </c>
      <c r="I458">
        <v>9</v>
      </c>
      <c r="J458">
        <f t="shared" si="21"/>
        <v>49723</v>
      </c>
      <c r="K458" s="2">
        <f t="shared" si="22"/>
        <v>0.8762691817329995</v>
      </c>
      <c r="L458" s="2">
        <f t="shared" si="23"/>
        <v>0.43581495635101497</v>
      </c>
    </row>
    <row r="459" spans="1:12" x14ac:dyDescent="0.3">
      <c r="A459" s="1">
        <v>45609</v>
      </c>
      <c r="B459" t="s">
        <v>19</v>
      </c>
      <c r="C459" t="s">
        <v>10</v>
      </c>
      <c r="D459" t="s">
        <v>17</v>
      </c>
      <c r="E459">
        <v>382185</v>
      </c>
      <c r="F459">
        <v>183135</v>
      </c>
      <c r="G459">
        <v>364588</v>
      </c>
      <c r="H459">
        <v>4.0999999999999996</v>
      </c>
      <c r="I459">
        <v>3</v>
      </c>
      <c r="J459">
        <f t="shared" si="21"/>
        <v>199050</v>
      </c>
      <c r="K459" s="2">
        <f t="shared" si="22"/>
        <v>1.0482654393452335</v>
      </c>
      <c r="L459" s="2">
        <f t="shared" si="23"/>
        <v>0.52082106833078223</v>
      </c>
    </row>
    <row r="460" spans="1:12" x14ac:dyDescent="0.3">
      <c r="A460" s="1">
        <v>45678</v>
      </c>
      <c r="B460" t="s">
        <v>15</v>
      </c>
      <c r="C460" t="s">
        <v>16</v>
      </c>
      <c r="D460" t="s">
        <v>14</v>
      </c>
      <c r="E460">
        <v>220722</v>
      </c>
      <c r="F460">
        <v>100896</v>
      </c>
      <c r="G460">
        <v>233288</v>
      </c>
      <c r="H460">
        <v>3.7</v>
      </c>
      <c r="I460">
        <v>11</v>
      </c>
      <c r="J460">
        <f t="shared" si="21"/>
        <v>119826</v>
      </c>
      <c r="K460" s="2">
        <f t="shared" si="22"/>
        <v>0.94613524913411751</v>
      </c>
      <c r="L460" s="2">
        <f t="shared" si="23"/>
        <v>0.54288199635740886</v>
      </c>
    </row>
    <row r="461" spans="1:12" x14ac:dyDescent="0.3">
      <c r="A461" s="1">
        <v>45730</v>
      </c>
      <c r="B461" t="s">
        <v>12</v>
      </c>
      <c r="C461" t="s">
        <v>18</v>
      </c>
      <c r="D461" t="s">
        <v>14</v>
      </c>
      <c r="E461">
        <v>470270</v>
      </c>
      <c r="F461">
        <v>277224</v>
      </c>
      <c r="G461">
        <v>460447</v>
      </c>
      <c r="H461">
        <v>4.5</v>
      </c>
      <c r="I461">
        <v>5</v>
      </c>
      <c r="J461">
        <f t="shared" si="21"/>
        <v>193046</v>
      </c>
      <c r="K461" s="2">
        <f t="shared" si="22"/>
        <v>1.021333617115542</v>
      </c>
      <c r="L461" s="2">
        <f t="shared" si="23"/>
        <v>0.4105003508622706</v>
      </c>
    </row>
    <row r="462" spans="1:12" x14ac:dyDescent="0.3">
      <c r="A462" s="1">
        <v>45694</v>
      </c>
      <c r="B462" t="s">
        <v>9</v>
      </c>
      <c r="C462" t="s">
        <v>18</v>
      </c>
      <c r="D462" t="s">
        <v>11</v>
      </c>
      <c r="E462">
        <v>157265</v>
      </c>
      <c r="F462">
        <v>68176</v>
      </c>
      <c r="G462">
        <v>166879</v>
      </c>
      <c r="H462">
        <v>4.0999999999999996</v>
      </c>
      <c r="I462">
        <v>13</v>
      </c>
      <c r="J462">
        <f t="shared" si="21"/>
        <v>89089</v>
      </c>
      <c r="K462" s="2">
        <f t="shared" si="22"/>
        <v>0.94238939590961113</v>
      </c>
      <c r="L462" s="2">
        <f t="shared" si="23"/>
        <v>0.56648968301910785</v>
      </c>
    </row>
    <row r="463" spans="1:12" x14ac:dyDescent="0.3">
      <c r="A463" s="1">
        <v>45574</v>
      </c>
      <c r="B463" t="s">
        <v>15</v>
      </c>
      <c r="C463" t="s">
        <v>10</v>
      </c>
      <c r="D463" t="s">
        <v>14</v>
      </c>
      <c r="E463">
        <v>263279</v>
      </c>
      <c r="F463">
        <v>120653</v>
      </c>
      <c r="G463">
        <v>243495</v>
      </c>
      <c r="H463">
        <v>3.5</v>
      </c>
      <c r="I463">
        <v>8</v>
      </c>
      <c r="J463">
        <f t="shared" si="21"/>
        <v>142626</v>
      </c>
      <c r="K463" s="2">
        <f t="shared" si="22"/>
        <v>1.0812501283393909</v>
      </c>
      <c r="L463" s="2">
        <f t="shared" si="23"/>
        <v>0.54172949608590126</v>
      </c>
    </row>
    <row r="464" spans="1:12" x14ac:dyDescent="0.3">
      <c r="A464" s="1">
        <v>45743</v>
      </c>
      <c r="B464" t="s">
        <v>19</v>
      </c>
      <c r="C464" t="s">
        <v>18</v>
      </c>
      <c r="D464" t="s">
        <v>17</v>
      </c>
      <c r="E464">
        <v>483048</v>
      </c>
      <c r="F464">
        <v>209798</v>
      </c>
      <c r="G464">
        <v>441469</v>
      </c>
      <c r="H464">
        <v>4.9000000000000004</v>
      </c>
      <c r="I464">
        <v>9</v>
      </c>
      <c r="J464">
        <f t="shared" si="21"/>
        <v>273250</v>
      </c>
      <c r="K464" s="2">
        <f t="shared" si="22"/>
        <v>1.0941832835374625</v>
      </c>
      <c r="L464" s="2">
        <f t="shared" si="23"/>
        <v>0.56567877312399595</v>
      </c>
    </row>
    <row r="465" spans="1:12" x14ac:dyDescent="0.3">
      <c r="A465" s="1">
        <v>45539</v>
      </c>
      <c r="B465" t="s">
        <v>15</v>
      </c>
      <c r="C465" t="s">
        <v>13</v>
      </c>
      <c r="D465" t="s">
        <v>17</v>
      </c>
      <c r="E465">
        <v>94381</v>
      </c>
      <c r="F465">
        <v>40938</v>
      </c>
      <c r="G465">
        <v>91142</v>
      </c>
      <c r="H465">
        <v>4.9000000000000004</v>
      </c>
      <c r="I465">
        <v>11</v>
      </c>
      <c r="J465">
        <f t="shared" si="21"/>
        <v>53443</v>
      </c>
      <c r="K465" s="2">
        <f t="shared" si="22"/>
        <v>1.0355379517675716</v>
      </c>
      <c r="L465" s="2">
        <f t="shared" si="23"/>
        <v>0.56624744387111814</v>
      </c>
    </row>
    <row r="466" spans="1:12" x14ac:dyDescent="0.3">
      <c r="A466" s="1">
        <v>45428</v>
      </c>
      <c r="B466" t="s">
        <v>9</v>
      </c>
      <c r="C466" t="s">
        <v>18</v>
      </c>
      <c r="D466" t="s">
        <v>14</v>
      </c>
      <c r="E466">
        <v>116121</v>
      </c>
      <c r="F466">
        <v>45087</v>
      </c>
      <c r="G466">
        <v>120205</v>
      </c>
      <c r="H466">
        <v>4.5999999999999996</v>
      </c>
      <c r="I466">
        <v>3</v>
      </c>
      <c r="J466">
        <f t="shared" si="21"/>
        <v>71034</v>
      </c>
      <c r="K466" s="2">
        <f t="shared" si="22"/>
        <v>0.96602470779085725</v>
      </c>
      <c r="L466" s="2">
        <f t="shared" si="23"/>
        <v>0.61172397757511565</v>
      </c>
    </row>
    <row r="467" spans="1:12" x14ac:dyDescent="0.3">
      <c r="A467" s="1">
        <v>45553</v>
      </c>
      <c r="B467" t="s">
        <v>9</v>
      </c>
      <c r="C467" t="s">
        <v>16</v>
      </c>
      <c r="D467" t="s">
        <v>14</v>
      </c>
      <c r="E467">
        <v>92289</v>
      </c>
      <c r="F467">
        <v>45214</v>
      </c>
      <c r="G467">
        <v>81010</v>
      </c>
      <c r="H467">
        <v>4.5999999999999996</v>
      </c>
      <c r="I467">
        <v>10</v>
      </c>
      <c r="J467">
        <f t="shared" si="21"/>
        <v>47075</v>
      </c>
      <c r="K467" s="2">
        <f t="shared" si="22"/>
        <v>1.1392297247253425</v>
      </c>
      <c r="L467" s="2">
        <f t="shared" si="23"/>
        <v>0.51008245836448551</v>
      </c>
    </row>
    <row r="468" spans="1:12" x14ac:dyDescent="0.3">
      <c r="A468" s="1">
        <v>45418</v>
      </c>
      <c r="B468" t="s">
        <v>19</v>
      </c>
      <c r="C468" t="s">
        <v>13</v>
      </c>
      <c r="D468" t="s">
        <v>11</v>
      </c>
      <c r="E468">
        <v>201758</v>
      </c>
      <c r="F468">
        <v>95972</v>
      </c>
      <c r="G468">
        <v>215282</v>
      </c>
      <c r="H468">
        <v>3.5</v>
      </c>
      <c r="I468">
        <v>3</v>
      </c>
      <c r="J468">
        <f t="shared" si="21"/>
        <v>105786</v>
      </c>
      <c r="K468" s="2">
        <f t="shared" si="22"/>
        <v>0.93718007079086962</v>
      </c>
      <c r="L468" s="2">
        <f t="shared" si="23"/>
        <v>0.52432121650690433</v>
      </c>
    </row>
    <row r="469" spans="1:12" x14ac:dyDescent="0.3">
      <c r="A469" s="1">
        <v>45539</v>
      </c>
      <c r="B469" t="s">
        <v>9</v>
      </c>
      <c r="C469" t="s">
        <v>10</v>
      </c>
      <c r="D469" t="s">
        <v>11</v>
      </c>
      <c r="E469">
        <v>101176</v>
      </c>
      <c r="F469">
        <v>41253</v>
      </c>
      <c r="G469">
        <v>92192</v>
      </c>
      <c r="H469">
        <v>4.5</v>
      </c>
      <c r="I469">
        <v>9</v>
      </c>
      <c r="J469">
        <f t="shared" si="21"/>
        <v>59923</v>
      </c>
      <c r="K469" s="2">
        <f t="shared" si="22"/>
        <v>1.0974488024991322</v>
      </c>
      <c r="L469" s="2">
        <f t="shared" si="23"/>
        <v>0.59226496402308848</v>
      </c>
    </row>
    <row r="470" spans="1:12" x14ac:dyDescent="0.3">
      <c r="A470" s="1">
        <v>45442</v>
      </c>
      <c r="B470" t="s">
        <v>12</v>
      </c>
      <c r="C470" t="s">
        <v>13</v>
      </c>
      <c r="D470" t="s">
        <v>11</v>
      </c>
      <c r="E470">
        <v>375567</v>
      </c>
      <c r="F470">
        <v>195748</v>
      </c>
      <c r="G470">
        <v>321013</v>
      </c>
      <c r="H470">
        <v>3.6</v>
      </c>
      <c r="I470">
        <v>14</v>
      </c>
      <c r="J470">
        <f t="shared" si="21"/>
        <v>179819</v>
      </c>
      <c r="K470" s="2">
        <f t="shared" si="22"/>
        <v>1.1699432733253794</v>
      </c>
      <c r="L470" s="2">
        <f t="shared" si="23"/>
        <v>0.47879339771598678</v>
      </c>
    </row>
    <row r="471" spans="1:12" x14ac:dyDescent="0.3">
      <c r="A471" s="1">
        <v>45587</v>
      </c>
      <c r="B471" t="s">
        <v>12</v>
      </c>
      <c r="C471" t="s">
        <v>10</v>
      </c>
      <c r="D471" t="s">
        <v>17</v>
      </c>
      <c r="E471">
        <v>299730</v>
      </c>
      <c r="F471">
        <v>133074</v>
      </c>
      <c r="G471">
        <v>315274</v>
      </c>
      <c r="H471">
        <v>3.6</v>
      </c>
      <c r="I471">
        <v>13</v>
      </c>
      <c r="J471">
        <f t="shared" si="21"/>
        <v>166656</v>
      </c>
      <c r="K471" s="2">
        <f t="shared" si="22"/>
        <v>0.95069685416494853</v>
      </c>
      <c r="L471" s="2">
        <f t="shared" si="23"/>
        <v>0.55602041837653893</v>
      </c>
    </row>
    <row r="472" spans="1:12" x14ac:dyDescent="0.3">
      <c r="A472" s="1">
        <v>45595</v>
      </c>
      <c r="B472" t="s">
        <v>12</v>
      </c>
      <c r="C472" t="s">
        <v>16</v>
      </c>
      <c r="D472" t="s">
        <v>17</v>
      </c>
      <c r="E472">
        <v>167221</v>
      </c>
      <c r="F472">
        <v>63728</v>
      </c>
      <c r="G472">
        <v>188928</v>
      </c>
      <c r="H472">
        <v>4.3</v>
      </c>
      <c r="I472">
        <v>14</v>
      </c>
      <c r="J472">
        <f t="shared" si="21"/>
        <v>103493</v>
      </c>
      <c r="K472" s="2">
        <f t="shared" si="22"/>
        <v>0.88510437838753386</v>
      </c>
      <c r="L472" s="2">
        <f t="shared" si="23"/>
        <v>0.61889954012952919</v>
      </c>
    </row>
    <row r="473" spans="1:12" x14ac:dyDescent="0.3">
      <c r="A473" s="1">
        <v>45977</v>
      </c>
      <c r="B473" t="s">
        <v>12</v>
      </c>
      <c r="C473" t="s">
        <v>16</v>
      </c>
      <c r="D473" t="s">
        <v>17</v>
      </c>
      <c r="E473">
        <v>369232</v>
      </c>
      <c r="F473">
        <v>144231</v>
      </c>
      <c r="G473">
        <v>371607</v>
      </c>
      <c r="H473">
        <v>3.6</v>
      </c>
      <c r="I473">
        <v>6</v>
      </c>
      <c r="J473">
        <f t="shared" si="21"/>
        <v>225001</v>
      </c>
      <c r="K473" s="2">
        <f t="shared" si="22"/>
        <v>0.99360883944597389</v>
      </c>
      <c r="L473" s="2">
        <f t="shared" si="23"/>
        <v>0.60937567708107643</v>
      </c>
    </row>
    <row r="474" spans="1:12" x14ac:dyDescent="0.3">
      <c r="A474" s="1">
        <v>45781</v>
      </c>
      <c r="B474" t="s">
        <v>19</v>
      </c>
      <c r="C474" t="s">
        <v>10</v>
      </c>
      <c r="D474" t="s">
        <v>14</v>
      </c>
      <c r="E474">
        <v>432277</v>
      </c>
      <c r="F474">
        <v>198199</v>
      </c>
      <c r="G474">
        <v>402301</v>
      </c>
      <c r="H474">
        <v>4.0999999999999996</v>
      </c>
      <c r="I474">
        <v>10</v>
      </c>
      <c r="J474">
        <f t="shared" si="21"/>
        <v>234078</v>
      </c>
      <c r="K474" s="2">
        <f t="shared" si="22"/>
        <v>1.0745113733249483</v>
      </c>
      <c r="L474" s="2">
        <f t="shared" si="23"/>
        <v>0.54150001040999174</v>
      </c>
    </row>
    <row r="475" spans="1:12" x14ac:dyDescent="0.3">
      <c r="A475" s="1">
        <v>45985</v>
      </c>
      <c r="B475" t="s">
        <v>19</v>
      </c>
      <c r="C475" t="s">
        <v>10</v>
      </c>
      <c r="D475" t="s">
        <v>17</v>
      </c>
      <c r="E475">
        <v>153927</v>
      </c>
      <c r="F475">
        <v>74453</v>
      </c>
      <c r="G475">
        <v>159941</v>
      </c>
      <c r="H475">
        <v>3.9</v>
      </c>
      <c r="I475">
        <v>10</v>
      </c>
      <c r="J475">
        <f t="shared" si="21"/>
        <v>79474</v>
      </c>
      <c r="K475" s="2">
        <f t="shared" si="22"/>
        <v>0.96239863449647056</v>
      </c>
      <c r="L475" s="2">
        <f t="shared" si="23"/>
        <v>0.51630967926354698</v>
      </c>
    </row>
    <row r="476" spans="1:12" x14ac:dyDescent="0.3">
      <c r="A476" s="1">
        <v>45479</v>
      </c>
      <c r="B476" t="s">
        <v>15</v>
      </c>
      <c r="C476" t="s">
        <v>16</v>
      </c>
      <c r="D476" t="s">
        <v>17</v>
      </c>
      <c r="E476">
        <v>140299</v>
      </c>
      <c r="F476">
        <v>85413</v>
      </c>
      <c r="G476">
        <v>153967</v>
      </c>
      <c r="H476">
        <v>3.9</v>
      </c>
      <c r="I476">
        <v>14</v>
      </c>
      <c r="J476">
        <f t="shared" si="21"/>
        <v>54886</v>
      </c>
      <c r="K476" s="2">
        <f t="shared" si="22"/>
        <v>0.91122773061759987</v>
      </c>
      <c r="L476" s="2">
        <f t="shared" si="23"/>
        <v>0.39120735001674994</v>
      </c>
    </row>
    <row r="477" spans="1:12" x14ac:dyDescent="0.3">
      <c r="A477" s="1">
        <v>45430</v>
      </c>
      <c r="B477" t="s">
        <v>15</v>
      </c>
      <c r="C477" t="s">
        <v>10</v>
      </c>
      <c r="D477" t="s">
        <v>14</v>
      </c>
      <c r="E477">
        <v>98835</v>
      </c>
      <c r="F477">
        <v>58821</v>
      </c>
      <c r="G477">
        <v>98570</v>
      </c>
      <c r="H477">
        <v>4.9000000000000004</v>
      </c>
      <c r="I477">
        <v>6</v>
      </c>
      <c r="J477">
        <f t="shared" si="21"/>
        <v>40014</v>
      </c>
      <c r="K477" s="2">
        <f t="shared" si="22"/>
        <v>1.002688444760069</v>
      </c>
      <c r="L477" s="2">
        <f t="shared" si="23"/>
        <v>0.4048565791470633</v>
      </c>
    </row>
    <row r="478" spans="1:12" x14ac:dyDescent="0.3">
      <c r="A478" s="1">
        <v>45498</v>
      </c>
      <c r="B478" t="s">
        <v>19</v>
      </c>
      <c r="C478" t="s">
        <v>18</v>
      </c>
      <c r="D478" t="s">
        <v>11</v>
      </c>
      <c r="E478">
        <v>23261</v>
      </c>
      <c r="F478">
        <v>9617</v>
      </c>
      <c r="G478">
        <v>21587</v>
      </c>
      <c r="H478">
        <v>3.7</v>
      </c>
      <c r="I478">
        <v>5</v>
      </c>
      <c r="J478">
        <f t="shared" si="21"/>
        <v>13644</v>
      </c>
      <c r="K478" s="2">
        <f t="shared" si="22"/>
        <v>1.0775466716079121</v>
      </c>
      <c r="L478" s="2">
        <f t="shared" si="23"/>
        <v>0.58656119685310171</v>
      </c>
    </row>
    <row r="479" spans="1:12" x14ac:dyDescent="0.3">
      <c r="A479" s="1">
        <v>45936</v>
      </c>
      <c r="B479" t="s">
        <v>19</v>
      </c>
      <c r="C479" t="s">
        <v>16</v>
      </c>
      <c r="D479" t="s">
        <v>14</v>
      </c>
      <c r="E479">
        <v>321537</v>
      </c>
      <c r="F479">
        <v>127274</v>
      </c>
      <c r="G479">
        <v>353030</v>
      </c>
      <c r="H479">
        <v>4.2</v>
      </c>
      <c r="I479">
        <v>6</v>
      </c>
      <c r="J479">
        <f t="shared" si="21"/>
        <v>194263</v>
      </c>
      <c r="K479" s="2">
        <f t="shared" si="22"/>
        <v>0.91079228394187461</v>
      </c>
      <c r="L479" s="2">
        <f t="shared" si="23"/>
        <v>0.60416997110752413</v>
      </c>
    </row>
    <row r="480" spans="1:12" x14ac:dyDescent="0.3">
      <c r="A480" s="1">
        <v>45360</v>
      </c>
      <c r="B480" t="s">
        <v>19</v>
      </c>
      <c r="C480" t="s">
        <v>13</v>
      </c>
      <c r="D480" t="s">
        <v>11</v>
      </c>
      <c r="E480">
        <v>495687</v>
      </c>
      <c r="F480">
        <v>226694</v>
      </c>
      <c r="G480">
        <v>474405</v>
      </c>
      <c r="H480">
        <v>4</v>
      </c>
      <c r="I480">
        <v>9</v>
      </c>
      <c r="J480">
        <f t="shared" si="21"/>
        <v>268993</v>
      </c>
      <c r="K480" s="2">
        <f t="shared" si="22"/>
        <v>1.044860404085117</v>
      </c>
      <c r="L480" s="2">
        <f t="shared" si="23"/>
        <v>0.54266704593826343</v>
      </c>
    </row>
    <row r="481" spans="1:12" x14ac:dyDescent="0.3">
      <c r="A481" s="1">
        <v>45343</v>
      </c>
      <c r="B481" t="s">
        <v>9</v>
      </c>
      <c r="C481" t="s">
        <v>10</v>
      </c>
      <c r="D481" t="s">
        <v>14</v>
      </c>
      <c r="E481">
        <v>252998</v>
      </c>
      <c r="F481">
        <v>89020</v>
      </c>
      <c r="G481">
        <v>287366</v>
      </c>
      <c r="H481">
        <v>4</v>
      </c>
      <c r="I481">
        <v>13</v>
      </c>
      <c r="J481">
        <f t="shared" si="21"/>
        <v>163978</v>
      </c>
      <c r="K481" s="2">
        <f t="shared" si="22"/>
        <v>0.88040338801389173</v>
      </c>
      <c r="L481" s="2">
        <f t="shared" si="23"/>
        <v>0.64813951098427658</v>
      </c>
    </row>
    <row r="482" spans="1:12" x14ac:dyDescent="0.3">
      <c r="A482" s="1">
        <v>45468</v>
      </c>
      <c r="B482" t="s">
        <v>15</v>
      </c>
      <c r="C482" t="s">
        <v>16</v>
      </c>
      <c r="D482" t="s">
        <v>11</v>
      </c>
      <c r="E482">
        <v>414303</v>
      </c>
      <c r="F482">
        <v>139592</v>
      </c>
      <c r="G482">
        <v>361807</v>
      </c>
      <c r="H482">
        <v>4.7</v>
      </c>
      <c r="I482">
        <v>4</v>
      </c>
      <c r="J482">
        <f t="shared" si="21"/>
        <v>274711</v>
      </c>
      <c r="K482" s="2">
        <f t="shared" si="22"/>
        <v>1.1450939312948616</v>
      </c>
      <c r="L482" s="2">
        <f t="shared" si="23"/>
        <v>0.66306785130689372</v>
      </c>
    </row>
    <row r="483" spans="1:12" x14ac:dyDescent="0.3">
      <c r="A483" s="1">
        <v>45330</v>
      </c>
      <c r="B483" t="s">
        <v>15</v>
      </c>
      <c r="C483" t="s">
        <v>10</v>
      </c>
      <c r="D483" t="s">
        <v>17</v>
      </c>
      <c r="E483">
        <v>233492</v>
      </c>
      <c r="F483">
        <v>115944</v>
      </c>
      <c r="G483">
        <v>230819</v>
      </c>
      <c r="H483">
        <v>4.0999999999999996</v>
      </c>
      <c r="I483">
        <v>0</v>
      </c>
      <c r="J483">
        <f t="shared" si="21"/>
        <v>117548</v>
      </c>
      <c r="K483" s="2">
        <f t="shared" si="22"/>
        <v>1.0115805024716336</v>
      </c>
      <c r="L483" s="2">
        <f t="shared" si="23"/>
        <v>0.50343480718825484</v>
      </c>
    </row>
    <row r="484" spans="1:12" x14ac:dyDescent="0.3">
      <c r="A484" s="1">
        <v>46017</v>
      </c>
      <c r="B484" t="s">
        <v>19</v>
      </c>
      <c r="C484" t="s">
        <v>10</v>
      </c>
      <c r="D484" t="s">
        <v>11</v>
      </c>
      <c r="E484">
        <v>328612</v>
      </c>
      <c r="F484">
        <v>183439</v>
      </c>
      <c r="G484">
        <v>347732</v>
      </c>
      <c r="H484">
        <v>3.8</v>
      </c>
      <c r="I484">
        <v>6</v>
      </c>
      <c r="J484">
        <f t="shared" si="21"/>
        <v>145173</v>
      </c>
      <c r="K484" s="2">
        <f t="shared" si="22"/>
        <v>0.94501512659174303</v>
      </c>
      <c r="L484" s="2">
        <f t="shared" si="23"/>
        <v>0.44177631979355592</v>
      </c>
    </row>
    <row r="485" spans="1:12" x14ac:dyDescent="0.3">
      <c r="A485" s="1">
        <v>45336</v>
      </c>
      <c r="B485" t="s">
        <v>19</v>
      </c>
      <c r="C485" t="s">
        <v>18</v>
      </c>
      <c r="D485" t="s">
        <v>14</v>
      </c>
      <c r="E485">
        <v>489681</v>
      </c>
      <c r="F485">
        <v>190133</v>
      </c>
      <c r="G485">
        <v>491874</v>
      </c>
      <c r="H485">
        <v>3.7</v>
      </c>
      <c r="I485">
        <v>4</v>
      </c>
      <c r="J485">
        <f t="shared" si="21"/>
        <v>299548</v>
      </c>
      <c r="K485" s="2">
        <f t="shared" si="22"/>
        <v>0.99554154112638604</v>
      </c>
      <c r="L485" s="2">
        <f t="shared" si="23"/>
        <v>0.61172069163394127</v>
      </c>
    </row>
    <row r="486" spans="1:12" x14ac:dyDescent="0.3">
      <c r="A486" s="1">
        <v>45580</v>
      </c>
      <c r="B486" t="s">
        <v>15</v>
      </c>
      <c r="C486" t="s">
        <v>10</v>
      </c>
      <c r="D486" t="s">
        <v>17</v>
      </c>
      <c r="E486">
        <v>434170</v>
      </c>
      <c r="F486">
        <v>230778</v>
      </c>
      <c r="G486">
        <v>415188</v>
      </c>
      <c r="H486">
        <v>3.7</v>
      </c>
      <c r="I486">
        <v>2</v>
      </c>
      <c r="J486">
        <f t="shared" si="21"/>
        <v>203392</v>
      </c>
      <c r="K486" s="2">
        <f t="shared" si="22"/>
        <v>1.0457190477566789</v>
      </c>
      <c r="L486" s="2">
        <f t="shared" si="23"/>
        <v>0.46846166248243776</v>
      </c>
    </row>
    <row r="487" spans="1:12" x14ac:dyDescent="0.3">
      <c r="A487" s="1">
        <v>45965</v>
      </c>
      <c r="B487" t="s">
        <v>19</v>
      </c>
      <c r="C487" t="s">
        <v>16</v>
      </c>
      <c r="D487" t="s">
        <v>11</v>
      </c>
      <c r="E487">
        <v>495581</v>
      </c>
      <c r="F487">
        <v>294712</v>
      </c>
      <c r="G487">
        <v>479380</v>
      </c>
      <c r="H487">
        <v>3.9</v>
      </c>
      <c r="I487">
        <v>6</v>
      </c>
      <c r="J487">
        <f t="shared" si="21"/>
        <v>200869</v>
      </c>
      <c r="K487" s="2">
        <f t="shared" si="22"/>
        <v>1.0337957361592056</v>
      </c>
      <c r="L487" s="2">
        <f t="shared" si="23"/>
        <v>0.40532022010529056</v>
      </c>
    </row>
    <row r="488" spans="1:12" x14ac:dyDescent="0.3">
      <c r="A488" s="1">
        <v>45673</v>
      </c>
      <c r="B488" t="s">
        <v>9</v>
      </c>
      <c r="C488" t="s">
        <v>13</v>
      </c>
      <c r="D488" t="s">
        <v>11</v>
      </c>
      <c r="E488">
        <v>280472</v>
      </c>
      <c r="F488">
        <v>112705</v>
      </c>
      <c r="G488">
        <v>311727</v>
      </c>
      <c r="H488">
        <v>4.5</v>
      </c>
      <c r="I488">
        <v>14</v>
      </c>
      <c r="J488">
        <f t="shared" si="21"/>
        <v>167767</v>
      </c>
      <c r="K488" s="2">
        <f t="shared" si="22"/>
        <v>0.89973598693728807</v>
      </c>
      <c r="L488" s="2">
        <f t="shared" si="23"/>
        <v>0.59815953107618591</v>
      </c>
    </row>
    <row r="489" spans="1:12" x14ac:dyDescent="0.3">
      <c r="A489" s="1">
        <v>45466</v>
      </c>
      <c r="B489" t="s">
        <v>15</v>
      </c>
      <c r="C489" t="s">
        <v>10</v>
      </c>
      <c r="D489" t="s">
        <v>14</v>
      </c>
      <c r="E489">
        <v>494273</v>
      </c>
      <c r="F489">
        <v>179342</v>
      </c>
      <c r="G489">
        <v>513760</v>
      </c>
      <c r="H489">
        <v>4.3</v>
      </c>
      <c r="I489">
        <v>12</v>
      </c>
      <c r="J489">
        <f t="shared" si="21"/>
        <v>314931</v>
      </c>
      <c r="K489" s="2">
        <f t="shared" si="22"/>
        <v>0.96206983805668012</v>
      </c>
      <c r="L489" s="2">
        <f t="shared" si="23"/>
        <v>0.63716003099501695</v>
      </c>
    </row>
    <row r="490" spans="1:12" x14ac:dyDescent="0.3">
      <c r="A490" s="1">
        <v>45496</v>
      </c>
      <c r="B490" t="s">
        <v>9</v>
      </c>
      <c r="C490" t="s">
        <v>10</v>
      </c>
      <c r="D490" t="s">
        <v>14</v>
      </c>
      <c r="E490">
        <v>80463</v>
      </c>
      <c r="F490">
        <v>42069</v>
      </c>
      <c r="G490">
        <v>71841</v>
      </c>
      <c r="H490">
        <v>4.5</v>
      </c>
      <c r="I490">
        <v>12</v>
      </c>
      <c r="J490">
        <f t="shared" si="21"/>
        <v>38394</v>
      </c>
      <c r="K490" s="2">
        <f t="shared" si="22"/>
        <v>1.120015033198313</v>
      </c>
      <c r="L490" s="2">
        <f t="shared" si="23"/>
        <v>0.47716341672570001</v>
      </c>
    </row>
    <row r="491" spans="1:12" x14ac:dyDescent="0.3">
      <c r="A491" s="1">
        <v>45362</v>
      </c>
      <c r="B491" t="s">
        <v>19</v>
      </c>
      <c r="C491" t="s">
        <v>10</v>
      </c>
      <c r="D491" t="s">
        <v>17</v>
      </c>
      <c r="E491">
        <v>202816</v>
      </c>
      <c r="F491">
        <v>110069</v>
      </c>
      <c r="G491">
        <v>203290</v>
      </c>
      <c r="H491">
        <v>4.0999999999999996</v>
      </c>
      <c r="I491">
        <v>2</v>
      </c>
      <c r="J491">
        <f t="shared" si="21"/>
        <v>92747</v>
      </c>
      <c r="K491" s="2">
        <f t="shared" si="22"/>
        <v>0.99766835555118305</v>
      </c>
      <c r="L491" s="2">
        <f t="shared" si="23"/>
        <v>0.45729626853897126</v>
      </c>
    </row>
    <row r="492" spans="1:12" x14ac:dyDescent="0.3">
      <c r="A492" s="1">
        <v>45865</v>
      </c>
      <c r="B492" t="s">
        <v>19</v>
      </c>
      <c r="C492" t="s">
        <v>18</v>
      </c>
      <c r="D492" t="s">
        <v>14</v>
      </c>
      <c r="E492">
        <v>133130</v>
      </c>
      <c r="F492">
        <v>66773</v>
      </c>
      <c r="G492">
        <v>148531</v>
      </c>
      <c r="H492">
        <v>3.8</v>
      </c>
      <c r="I492">
        <v>12</v>
      </c>
      <c r="J492">
        <f t="shared" si="21"/>
        <v>66357</v>
      </c>
      <c r="K492" s="2">
        <f t="shared" si="22"/>
        <v>0.89631120776134277</v>
      </c>
      <c r="L492" s="2">
        <f t="shared" si="23"/>
        <v>0.4984376173664839</v>
      </c>
    </row>
    <row r="493" spans="1:12" x14ac:dyDescent="0.3">
      <c r="A493" s="1">
        <v>45671</v>
      </c>
      <c r="B493" t="s">
        <v>9</v>
      </c>
      <c r="C493" t="s">
        <v>10</v>
      </c>
      <c r="D493" t="s">
        <v>17</v>
      </c>
      <c r="E493">
        <v>246187</v>
      </c>
      <c r="F493">
        <v>112089</v>
      </c>
      <c r="G493">
        <v>271011</v>
      </c>
      <c r="H493">
        <v>4.7</v>
      </c>
      <c r="I493">
        <v>8</v>
      </c>
      <c r="J493">
        <f t="shared" si="21"/>
        <v>134098</v>
      </c>
      <c r="K493" s="2">
        <f t="shared" si="22"/>
        <v>0.90840224197541797</v>
      </c>
      <c r="L493" s="2">
        <f t="shared" si="23"/>
        <v>0.54469976075097382</v>
      </c>
    </row>
    <row r="494" spans="1:12" x14ac:dyDescent="0.3">
      <c r="A494" s="1">
        <v>45627</v>
      </c>
      <c r="B494" t="s">
        <v>19</v>
      </c>
      <c r="C494" t="s">
        <v>18</v>
      </c>
      <c r="D494" t="s">
        <v>11</v>
      </c>
      <c r="E494">
        <v>570630</v>
      </c>
      <c r="F494">
        <v>260507</v>
      </c>
      <c r="G494">
        <v>572438</v>
      </c>
      <c r="H494">
        <v>4.7</v>
      </c>
      <c r="I494">
        <v>8</v>
      </c>
      <c r="J494">
        <f t="shared" si="21"/>
        <v>310123</v>
      </c>
      <c r="K494" s="2">
        <f t="shared" si="22"/>
        <v>0.99684157935007811</v>
      </c>
      <c r="L494" s="2">
        <f t="shared" si="23"/>
        <v>0.5434747559714701</v>
      </c>
    </row>
    <row r="495" spans="1:12" x14ac:dyDescent="0.3">
      <c r="A495" s="1">
        <v>45720</v>
      </c>
      <c r="B495" t="s">
        <v>12</v>
      </c>
      <c r="C495" t="s">
        <v>18</v>
      </c>
      <c r="D495" t="s">
        <v>11</v>
      </c>
      <c r="E495">
        <v>79300</v>
      </c>
      <c r="F495">
        <v>40415</v>
      </c>
      <c r="G495">
        <v>86521</v>
      </c>
      <c r="H495">
        <v>4.9000000000000004</v>
      </c>
      <c r="I495">
        <v>13</v>
      </c>
      <c r="J495">
        <f t="shared" si="21"/>
        <v>38885</v>
      </c>
      <c r="K495" s="2">
        <f t="shared" si="22"/>
        <v>0.91654049305948848</v>
      </c>
      <c r="L495" s="2">
        <f t="shared" si="23"/>
        <v>0.49035308953341739</v>
      </c>
    </row>
    <row r="496" spans="1:12" x14ac:dyDescent="0.3">
      <c r="A496" s="1">
        <v>45851</v>
      </c>
      <c r="B496" t="s">
        <v>15</v>
      </c>
      <c r="C496" t="s">
        <v>13</v>
      </c>
      <c r="D496" t="s">
        <v>17</v>
      </c>
      <c r="E496">
        <v>61717</v>
      </c>
      <c r="F496">
        <v>24259</v>
      </c>
      <c r="G496">
        <v>68158</v>
      </c>
      <c r="H496">
        <v>4.3</v>
      </c>
      <c r="I496">
        <v>8</v>
      </c>
      <c r="J496">
        <f t="shared" si="21"/>
        <v>37458</v>
      </c>
      <c r="K496" s="2">
        <f t="shared" si="22"/>
        <v>0.90549898764635117</v>
      </c>
      <c r="L496" s="2">
        <f t="shared" si="23"/>
        <v>0.60693163958066654</v>
      </c>
    </row>
    <row r="497" spans="1:12" x14ac:dyDescent="0.3">
      <c r="A497" s="1">
        <v>45340</v>
      </c>
      <c r="B497" t="s">
        <v>19</v>
      </c>
      <c r="C497" t="s">
        <v>16</v>
      </c>
      <c r="D497" t="s">
        <v>17</v>
      </c>
      <c r="E497">
        <v>278620</v>
      </c>
      <c r="F497">
        <v>91174</v>
      </c>
      <c r="G497">
        <v>256181</v>
      </c>
      <c r="H497">
        <v>4.9000000000000004</v>
      </c>
      <c r="I497">
        <v>12</v>
      </c>
      <c r="J497">
        <f t="shared" si="21"/>
        <v>187446</v>
      </c>
      <c r="K497" s="2">
        <f t="shared" si="22"/>
        <v>1.0875904145896846</v>
      </c>
      <c r="L497" s="2">
        <f t="shared" si="23"/>
        <v>0.67276577417270833</v>
      </c>
    </row>
    <row r="498" spans="1:12" x14ac:dyDescent="0.3">
      <c r="A498" s="1">
        <v>45614</v>
      </c>
      <c r="B498" t="s">
        <v>12</v>
      </c>
      <c r="C498" t="s">
        <v>18</v>
      </c>
      <c r="D498" t="s">
        <v>17</v>
      </c>
      <c r="E498">
        <v>477149</v>
      </c>
      <c r="F498">
        <v>213513</v>
      </c>
      <c r="G498">
        <v>506727</v>
      </c>
      <c r="H498">
        <v>4.0999999999999996</v>
      </c>
      <c r="I498">
        <v>15</v>
      </c>
      <c r="J498">
        <f t="shared" si="21"/>
        <v>263636</v>
      </c>
      <c r="K498" s="2">
        <f t="shared" si="22"/>
        <v>0.94162931914028658</v>
      </c>
      <c r="L498" s="2">
        <f t="shared" si="23"/>
        <v>0.5525234255966166</v>
      </c>
    </row>
    <row r="499" spans="1:12" x14ac:dyDescent="0.3">
      <c r="A499" s="1">
        <v>45863</v>
      </c>
      <c r="B499" t="s">
        <v>9</v>
      </c>
      <c r="C499" t="s">
        <v>18</v>
      </c>
      <c r="D499" t="s">
        <v>17</v>
      </c>
      <c r="E499">
        <v>402670</v>
      </c>
      <c r="F499">
        <v>137396</v>
      </c>
      <c r="G499">
        <v>388080</v>
      </c>
      <c r="H499">
        <v>4.7</v>
      </c>
      <c r="I499">
        <v>10</v>
      </c>
      <c r="J499">
        <f t="shared" si="21"/>
        <v>265274</v>
      </c>
      <c r="K499" s="2">
        <f t="shared" si="22"/>
        <v>1.0375953411667698</v>
      </c>
      <c r="L499" s="2">
        <f t="shared" si="23"/>
        <v>0.6587875928179403</v>
      </c>
    </row>
    <row r="500" spans="1:12" x14ac:dyDescent="0.3">
      <c r="A500" s="1">
        <v>45547</v>
      </c>
      <c r="B500" t="s">
        <v>19</v>
      </c>
      <c r="C500" t="s">
        <v>10</v>
      </c>
      <c r="D500" t="s">
        <v>11</v>
      </c>
      <c r="E500">
        <v>230283</v>
      </c>
      <c r="F500">
        <v>85240</v>
      </c>
      <c r="G500">
        <v>233628</v>
      </c>
      <c r="H500">
        <v>3.6</v>
      </c>
      <c r="I500">
        <v>1</v>
      </c>
      <c r="J500">
        <f t="shared" si="21"/>
        <v>145043</v>
      </c>
      <c r="K500" s="2">
        <f t="shared" si="22"/>
        <v>0.9856823668395911</v>
      </c>
      <c r="L500" s="2">
        <f t="shared" si="23"/>
        <v>0.62984675377687449</v>
      </c>
    </row>
    <row r="501" spans="1:12" x14ac:dyDescent="0.3">
      <c r="A501" s="1">
        <v>45427</v>
      </c>
      <c r="B501" t="s">
        <v>19</v>
      </c>
      <c r="C501" t="s">
        <v>16</v>
      </c>
      <c r="D501" t="s">
        <v>17</v>
      </c>
      <c r="E501">
        <v>437876</v>
      </c>
      <c r="F501">
        <v>177110</v>
      </c>
      <c r="G501">
        <v>477679</v>
      </c>
      <c r="H501">
        <v>4.3</v>
      </c>
      <c r="I501">
        <v>15</v>
      </c>
      <c r="J501">
        <f t="shared" si="21"/>
        <v>260766</v>
      </c>
      <c r="K501" s="2">
        <f t="shared" si="22"/>
        <v>0.91667416821756875</v>
      </c>
      <c r="L501" s="2">
        <f t="shared" si="23"/>
        <v>0.5955247604344609</v>
      </c>
    </row>
    <row r="502" spans="1:12" x14ac:dyDescent="0.3">
      <c r="A502" s="1">
        <v>46012</v>
      </c>
      <c r="B502" t="s">
        <v>12</v>
      </c>
      <c r="C502" t="s">
        <v>10</v>
      </c>
      <c r="D502" t="s">
        <v>11</v>
      </c>
      <c r="E502">
        <v>591608</v>
      </c>
      <c r="F502">
        <v>236243</v>
      </c>
      <c r="G502">
        <v>533017</v>
      </c>
      <c r="H502">
        <v>3.8</v>
      </c>
      <c r="I502">
        <v>11</v>
      </c>
      <c r="J502">
        <f t="shared" si="21"/>
        <v>355365</v>
      </c>
      <c r="K502" s="2">
        <f t="shared" si="22"/>
        <v>1.1099233232711152</v>
      </c>
      <c r="L502" s="2">
        <f t="shared" si="23"/>
        <v>0.60067646144068365</v>
      </c>
    </row>
    <row r="503" spans="1:12" x14ac:dyDescent="0.3">
      <c r="A503" s="1">
        <v>45511</v>
      </c>
      <c r="B503" t="s">
        <v>15</v>
      </c>
      <c r="C503" t="s">
        <v>10</v>
      </c>
      <c r="D503" t="s">
        <v>17</v>
      </c>
      <c r="E503">
        <v>118944</v>
      </c>
      <c r="F503">
        <v>53388</v>
      </c>
      <c r="G503">
        <v>124443</v>
      </c>
      <c r="H503">
        <v>4.8</v>
      </c>
      <c r="I503">
        <v>14</v>
      </c>
      <c r="J503">
        <f t="shared" si="21"/>
        <v>65556</v>
      </c>
      <c r="K503" s="2">
        <f t="shared" si="22"/>
        <v>0.95581109423591526</v>
      </c>
      <c r="L503" s="2">
        <f t="shared" si="23"/>
        <v>0.55115012106537531</v>
      </c>
    </row>
    <row r="504" spans="1:12" x14ac:dyDescent="0.3">
      <c r="A504" s="1">
        <v>45776</v>
      </c>
      <c r="B504" t="s">
        <v>19</v>
      </c>
      <c r="C504" t="s">
        <v>16</v>
      </c>
      <c r="D504" t="s">
        <v>17</v>
      </c>
      <c r="E504">
        <v>459449</v>
      </c>
      <c r="F504">
        <v>220454</v>
      </c>
      <c r="G504">
        <v>489276</v>
      </c>
      <c r="H504">
        <v>3.9</v>
      </c>
      <c r="I504">
        <v>11</v>
      </c>
      <c r="J504">
        <f t="shared" si="21"/>
        <v>238995</v>
      </c>
      <c r="K504" s="2">
        <f t="shared" si="22"/>
        <v>0.93903849769864045</v>
      </c>
      <c r="L504" s="2">
        <f t="shared" si="23"/>
        <v>0.52017742992149296</v>
      </c>
    </row>
    <row r="505" spans="1:12" x14ac:dyDescent="0.3">
      <c r="A505" s="1">
        <v>45811</v>
      </c>
      <c r="B505" t="s">
        <v>9</v>
      </c>
      <c r="C505" t="s">
        <v>18</v>
      </c>
      <c r="D505" t="s">
        <v>14</v>
      </c>
      <c r="E505">
        <v>205623</v>
      </c>
      <c r="F505">
        <v>115051</v>
      </c>
      <c r="G505">
        <v>200987</v>
      </c>
      <c r="H505">
        <v>4.9000000000000004</v>
      </c>
      <c r="I505">
        <v>12</v>
      </c>
      <c r="J505">
        <f t="shared" si="21"/>
        <v>90572</v>
      </c>
      <c r="K505" s="2">
        <f t="shared" si="22"/>
        <v>1.0230661684586566</v>
      </c>
      <c r="L505" s="2">
        <f t="shared" si="23"/>
        <v>0.44047601678800524</v>
      </c>
    </row>
    <row r="506" spans="1:12" x14ac:dyDescent="0.3">
      <c r="A506" s="1">
        <v>45591</v>
      </c>
      <c r="B506" t="s">
        <v>12</v>
      </c>
      <c r="C506" t="s">
        <v>18</v>
      </c>
      <c r="D506" t="s">
        <v>14</v>
      </c>
      <c r="E506">
        <v>325097</v>
      </c>
      <c r="F506">
        <v>182673</v>
      </c>
      <c r="G506">
        <v>319621</v>
      </c>
      <c r="H506">
        <v>4.2</v>
      </c>
      <c r="I506">
        <v>1</v>
      </c>
      <c r="J506">
        <f t="shared" si="21"/>
        <v>142424</v>
      </c>
      <c r="K506" s="2">
        <f t="shared" si="22"/>
        <v>1.0171327916501105</v>
      </c>
      <c r="L506" s="2">
        <f t="shared" si="23"/>
        <v>0.43809693722181381</v>
      </c>
    </row>
    <row r="507" spans="1:12" x14ac:dyDescent="0.3">
      <c r="A507" s="1">
        <v>45609</v>
      </c>
      <c r="B507" t="s">
        <v>9</v>
      </c>
      <c r="C507" t="s">
        <v>10</v>
      </c>
      <c r="D507" t="s">
        <v>17</v>
      </c>
      <c r="E507">
        <v>431669</v>
      </c>
      <c r="F507">
        <v>231711</v>
      </c>
      <c r="G507">
        <v>488528</v>
      </c>
      <c r="H507">
        <v>4.5</v>
      </c>
      <c r="I507">
        <v>8</v>
      </c>
      <c r="J507">
        <f t="shared" si="21"/>
        <v>199958</v>
      </c>
      <c r="K507" s="2">
        <f t="shared" si="22"/>
        <v>0.88361158418760033</v>
      </c>
      <c r="L507" s="2">
        <f t="shared" si="23"/>
        <v>0.46322066212769508</v>
      </c>
    </row>
    <row r="508" spans="1:12" x14ac:dyDescent="0.3">
      <c r="A508" s="1">
        <v>45420</v>
      </c>
      <c r="B508" t="s">
        <v>15</v>
      </c>
      <c r="C508" t="s">
        <v>10</v>
      </c>
      <c r="D508" t="s">
        <v>14</v>
      </c>
      <c r="E508">
        <v>271497</v>
      </c>
      <c r="F508">
        <v>119841</v>
      </c>
      <c r="G508">
        <v>252326</v>
      </c>
      <c r="H508">
        <v>4.5</v>
      </c>
      <c r="I508">
        <v>10</v>
      </c>
      <c r="J508">
        <f t="shared" si="21"/>
        <v>151656</v>
      </c>
      <c r="K508" s="2">
        <f t="shared" si="22"/>
        <v>1.0759771089780681</v>
      </c>
      <c r="L508" s="2">
        <f t="shared" si="23"/>
        <v>0.5585918076442834</v>
      </c>
    </row>
    <row r="509" spans="1:12" x14ac:dyDescent="0.3">
      <c r="A509" s="1">
        <v>45498</v>
      </c>
      <c r="B509" t="s">
        <v>9</v>
      </c>
      <c r="C509" t="s">
        <v>13</v>
      </c>
      <c r="D509" t="s">
        <v>11</v>
      </c>
      <c r="E509">
        <v>135814</v>
      </c>
      <c r="F509">
        <v>50792</v>
      </c>
      <c r="G509">
        <v>146964</v>
      </c>
      <c r="H509">
        <v>4.5999999999999996</v>
      </c>
      <c r="I509">
        <v>5</v>
      </c>
      <c r="J509">
        <f t="shared" si="21"/>
        <v>85022</v>
      </c>
      <c r="K509" s="2">
        <f t="shared" si="22"/>
        <v>0.92413107972020359</v>
      </c>
      <c r="L509" s="2">
        <f t="shared" si="23"/>
        <v>0.62601793629522728</v>
      </c>
    </row>
    <row r="510" spans="1:12" x14ac:dyDescent="0.3">
      <c r="A510" s="1">
        <v>45452</v>
      </c>
      <c r="B510" t="s">
        <v>9</v>
      </c>
      <c r="C510" t="s">
        <v>13</v>
      </c>
      <c r="D510" t="s">
        <v>14</v>
      </c>
      <c r="E510">
        <v>13748</v>
      </c>
      <c r="F510">
        <v>7544</v>
      </c>
      <c r="G510">
        <v>13398</v>
      </c>
      <c r="H510">
        <v>4.8</v>
      </c>
      <c r="I510">
        <v>14</v>
      </c>
      <c r="J510">
        <f t="shared" si="21"/>
        <v>6204</v>
      </c>
      <c r="K510" s="2">
        <f t="shared" si="22"/>
        <v>1.0261233019853711</v>
      </c>
      <c r="L510" s="2">
        <f t="shared" si="23"/>
        <v>0.4512656386383474</v>
      </c>
    </row>
    <row r="511" spans="1:12" x14ac:dyDescent="0.3">
      <c r="A511" s="1">
        <v>45882</v>
      </c>
      <c r="B511" t="s">
        <v>19</v>
      </c>
      <c r="C511" t="s">
        <v>13</v>
      </c>
      <c r="D511" t="s">
        <v>17</v>
      </c>
      <c r="E511">
        <v>436673</v>
      </c>
      <c r="F511">
        <v>232786</v>
      </c>
      <c r="G511">
        <v>488801</v>
      </c>
      <c r="H511">
        <v>4.8</v>
      </c>
      <c r="I511">
        <v>15</v>
      </c>
      <c r="J511">
        <f t="shared" si="21"/>
        <v>203887</v>
      </c>
      <c r="K511" s="2">
        <f t="shared" si="22"/>
        <v>0.89335537365921924</v>
      </c>
      <c r="L511" s="2">
        <f t="shared" si="23"/>
        <v>0.46691002191571268</v>
      </c>
    </row>
    <row r="512" spans="1:12" x14ac:dyDescent="0.3">
      <c r="A512" s="1">
        <v>45746</v>
      </c>
      <c r="B512" t="s">
        <v>9</v>
      </c>
      <c r="C512" t="s">
        <v>10</v>
      </c>
      <c r="D512" t="s">
        <v>17</v>
      </c>
      <c r="E512">
        <v>392865</v>
      </c>
      <c r="F512">
        <v>148345</v>
      </c>
      <c r="G512">
        <v>429721</v>
      </c>
      <c r="H512">
        <v>4.5999999999999996</v>
      </c>
      <c r="I512">
        <v>1</v>
      </c>
      <c r="J512">
        <f t="shared" si="21"/>
        <v>244520</v>
      </c>
      <c r="K512" s="2">
        <f t="shared" si="22"/>
        <v>0.91423272309242509</v>
      </c>
      <c r="L512" s="2">
        <f t="shared" si="23"/>
        <v>0.62240209741259722</v>
      </c>
    </row>
    <row r="513" spans="1:12" x14ac:dyDescent="0.3">
      <c r="A513" s="1">
        <v>45841</v>
      </c>
      <c r="B513" t="s">
        <v>9</v>
      </c>
      <c r="C513" t="s">
        <v>18</v>
      </c>
      <c r="D513" t="s">
        <v>11</v>
      </c>
      <c r="E513">
        <v>436940</v>
      </c>
      <c r="F513">
        <v>169356</v>
      </c>
      <c r="G513">
        <v>459782</v>
      </c>
      <c r="H513">
        <v>3.5</v>
      </c>
      <c r="I513">
        <v>14</v>
      </c>
      <c r="J513">
        <f t="shared" si="21"/>
        <v>267584</v>
      </c>
      <c r="K513" s="2">
        <f t="shared" si="22"/>
        <v>0.95031993422970018</v>
      </c>
      <c r="L513" s="2">
        <f t="shared" si="23"/>
        <v>0.61240444912344949</v>
      </c>
    </row>
    <row r="514" spans="1:12" x14ac:dyDescent="0.3">
      <c r="A514" s="1">
        <v>45966</v>
      </c>
      <c r="B514" t="s">
        <v>12</v>
      </c>
      <c r="C514" t="s">
        <v>18</v>
      </c>
      <c r="D514" t="s">
        <v>14</v>
      </c>
      <c r="E514">
        <v>487964</v>
      </c>
      <c r="F514">
        <v>152075</v>
      </c>
      <c r="G514">
        <v>545306</v>
      </c>
      <c r="H514">
        <v>4.8</v>
      </c>
      <c r="I514">
        <v>0</v>
      </c>
      <c r="J514">
        <f t="shared" si="21"/>
        <v>335889</v>
      </c>
      <c r="K514" s="2">
        <f t="shared" si="22"/>
        <v>0.89484436261475209</v>
      </c>
      <c r="L514" s="2">
        <f t="shared" si="23"/>
        <v>0.68834791091146064</v>
      </c>
    </row>
    <row r="515" spans="1:12" x14ac:dyDescent="0.3">
      <c r="A515" s="1">
        <v>45799</v>
      </c>
      <c r="B515" t="s">
        <v>9</v>
      </c>
      <c r="C515" t="s">
        <v>10</v>
      </c>
      <c r="D515" t="s">
        <v>11</v>
      </c>
      <c r="E515">
        <v>436149</v>
      </c>
      <c r="F515">
        <v>173889</v>
      </c>
      <c r="G515">
        <v>452340</v>
      </c>
      <c r="H515">
        <v>4.5999999999999996</v>
      </c>
      <c r="I515">
        <v>14</v>
      </c>
      <c r="J515">
        <f t="shared" ref="J515:J578" si="24">E515-F515</f>
        <v>262260</v>
      </c>
      <c r="K515" s="2">
        <f t="shared" ref="K515:K578" si="25">E515/G515</f>
        <v>0.96420612813370477</v>
      </c>
      <c r="L515" s="2">
        <f t="shared" ref="L515:L578" si="26">J515/E515</f>
        <v>0.60130826850457064</v>
      </c>
    </row>
    <row r="516" spans="1:12" x14ac:dyDescent="0.3">
      <c r="A516" s="1">
        <v>45986</v>
      </c>
      <c r="B516" t="s">
        <v>12</v>
      </c>
      <c r="C516" t="s">
        <v>13</v>
      </c>
      <c r="D516" t="s">
        <v>11</v>
      </c>
      <c r="E516">
        <v>427209</v>
      </c>
      <c r="F516">
        <v>137764</v>
      </c>
      <c r="G516">
        <v>416291</v>
      </c>
      <c r="H516">
        <v>4.0999999999999996</v>
      </c>
      <c r="I516">
        <v>2</v>
      </c>
      <c r="J516">
        <f t="shared" si="24"/>
        <v>289445</v>
      </c>
      <c r="K516" s="2">
        <f t="shared" si="25"/>
        <v>1.0262268461244659</v>
      </c>
      <c r="L516" s="2">
        <f t="shared" si="26"/>
        <v>0.67752552029568669</v>
      </c>
    </row>
    <row r="517" spans="1:12" x14ac:dyDescent="0.3">
      <c r="A517" s="1">
        <v>45630</v>
      </c>
      <c r="B517" t="s">
        <v>19</v>
      </c>
      <c r="C517" t="s">
        <v>13</v>
      </c>
      <c r="D517" t="s">
        <v>14</v>
      </c>
      <c r="E517">
        <v>97435</v>
      </c>
      <c r="F517">
        <v>39763</v>
      </c>
      <c r="G517">
        <v>102583</v>
      </c>
      <c r="H517">
        <v>3.7</v>
      </c>
      <c r="I517">
        <v>14</v>
      </c>
      <c r="J517">
        <f t="shared" si="24"/>
        <v>57672</v>
      </c>
      <c r="K517" s="2">
        <f t="shared" si="25"/>
        <v>0.94981624635660877</v>
      </c>
      <c r="L517" s="2">
        <f t="shared" si="26"/>
        <v>0.59190229383691695</v>
      </c>
    </row>
    <row r="518" spans="1:12" x14ac:dyDescent="0.3">
      <c r="A518" s="1">
        <v>45956</v>
      </c>
      <c r="B518" t="s">
        <v>9</v>
      </c>
      <c r="C518" t="s">
        <v>13</v>
      </c>
      <c r="D518" t="s">
        <v>11</v>
      </c>
      <c r="E518">
        <v>21094</v>
      </c>
      <c r="F518">
        <v>10552</v>
      </c>
      <c r="G518">
        <v>20280</v>
      </c>
      <c r="H518">
        <v>4.4000000000000004</v>
      </c>
      <c r="I518">
        <v>7</v>
      </c>
      <c r="J518">
        <f t="shared" si="24"/>
        <v>10542</v>
      </c>
      <c r="K518" s="2">
        <f t="shared" si="25"/>
        <v>1.040138067061144</v>
      </c>
      <c r="L518" s="2">
        <f t="shared" si="26"/>
        <v>0.49976296577225754</v>
      </c>
    </row>
    <row r="519" spans="1:12" x14ac:dyDescent="0.3">
      <c r="A519" s="1">
        <v>45482</v>
      </c>
      <c r="B519" t="s">
        <v>12</v>
      </c>
      <c r="C519" t="s">
        <v>10</v>
      </c>
      <c r="D519" t="s">
        <v>11</v>
      </c>
      <c r="E519">
        <v>294308</v>
      </c>
      <c r="F519">
        <v>139430</v>
      </c>
      <c r="G519">
        <v>326185</v>
      </c>
      <c r="H519">
        <v>4.2</v>
      </c>
      <c r="I519">
        <v>11</v>
      </c>
      <c r="J519">
        <f t="shared" si="24"/>
        <v>154878</v>
      </c>
      <c r="K519" s="2">
        <f t="shared" si="25"/>
        <v>0.9022732498428806</v>
      </c>
      <c r="L519" s="2">
        <f t="shared" si="26"/>
        <v>0.52624461448550497</v>
      </c>
    </row>
    <row r="520" spans="1:12" x14ac:dyDescent="0.3">
      <c r="A520" s="1">
        <v>45969</v>
      </c>
      <c r="B520" t="s">
        <v>19</v>
      </c>
      <c r="C520" t="s">
        <v>16</v>
      </c>
      <c r="D520" t="s">
        <v>11</v>
      </c>
      <c r="E520">
        <v>456751</v>
      </c>
      <c r="F520">
        <v>169066</v>
      </c>
      <c r="G520">
        <v>437900</v>
      </c>
      <c r="H520">
        <v>4.8</v>
      </c>
      <c r="I520">
        <v>10</v>
      </c>
      <c r="J520">
        <f t="shared" si="24"/>
        <v>287685</v>
      </c>
      <c r="K520" s="2">
        <f t="shared" si="25"/>
        <v>1.0430486412422928</v>
      </c>
      <c r="L520" s="2">
        <f t="shared" si="26"/>
        <v>0.62985083776499673</v>
      </c>
    </row>
    <row r="521" spans="1:12" x14ac:dyDescent="0.3">
      <c r="A521" s="1">
        <v>45762</v>
      </c>
      <c r="B521" t="s">
        <v>12</v>
      </c>
      <c r="C521" t="s">
        <v>10</v>
      </c>
      <c r="D521" t="s">
        <v>14</v>
      </c>
      <c r="E521">
        <v>308326</v>
      </c>
      <c r="F521">
        <v>130336</v>
      </c>
      <c r="G521">
        <v>352192</v>
      </c>
      <c r="H521">
        <v>3.6</v>
      </c>
      <c r="I521">
        <v>8</v>
      </c>
      <c r="J521">
        <f t="shared" si="24"/>
        <v>177990</v>
      </c>
      <c r="K521" s="2">
        <f t="shared" si="25"/>
        <v>0.87544861893512627</v>
      </c>
      <c r="L521" s="2">
        <f t="shared" si="26"/>
        <v>0.577278594734145</v>
      </c>
    </row>
    <row r="522" spans="1:12" x14ac:dyDescent="0.3">
      <c r="A522" s="1">
        <v>45355</v>
      </c>
      <c r="B522" t="s">
        <v>12</v>
      </c>
      <c r="C522" t="s">
        <v>13</v>
      </c>
      <c r="D522" t="s">
        <v>14</v>
      </c>
      <c r="E522">
        <v>159134</v>
      </c>
      <c r="F522">
        <v>64044</v>
      </c>
      <c r="G522">
        <v>156993</v>
      </c>
      <c r="H522">
        <v>4.5</v>
      </c>
      <c r="I522">
        <v>7</v>
      </c>
      <c r="J522">
        <f t="shared" si="24"/>
        <v>95090</v>
      </c>
      <c r="K522" s="2">
        <f t="shared" si="25"/>
        <v>1.0136375507188218</v>
      </c>
      <c r="L522" s="2">
        <f t="shared" si="26"/>
        <v>0.59754672163082689</v>
      </c>
    </row>
    <row r="523" spans="1:12" x14ac:dyDescent="0.3">
      <c r="A523" s="1">
        <v>45384</v>
      </c>
      <c r="B523" t="s">
        <v>15</v>
      </c>
      <c r="C523" t="s">
        <v>16</v>
      </c>
      <c r="D523" t="s">
        <v>17</v>
      </c>
      <c r="E523">
        <v>447651</v>
      </c>
      <c r="F523">
        <v>186711</v>
      </c>
      <c r="G523">
        <v>474461</v>
      </c>
      <c r="H523">
        <v>4.8</v>
      </c>
      <c r="I523">
        <v>0</v>
      </c>
      <c r="J523">
        <f t="shared" si="24"/>
        <v>260940</v>
      </c>
      <c r="K523" s="2">
        <f t="shared" si="25"/>
        <v>0.9434937750415735</v>
      </c>
      <c r="L523" s="2">
        <f t="shared" si="26"/>
        <v>0.58290945401663352</v>
      </c>
    </row>
    <row r="524" spans="1:12" x14ac:dyDescent="0.3">
      <c r="A524" s="1">
        <v>45409</v>
      </c>
      <c r="B524" t="s">
        <v>9</v>
      </c>
      <c r="C524" t="s">
        <v>16</v>
      </c>
      <c r="D524" t="s">
        <v>17</v>
      </c>
      <c r="E524">
        <v>209298</v>
      </c>
      <c r="F524">
        <v>99511</v>
      </c>
      <c r="G524">
        <v>203137</v>
      </c>
      <c r="H524">
        <v>3.7</v>
      </c>
      <c r="I524">
        <v>11</v>
      </c>
      <c r="J524">
        <f t="shared" si="24"/>
        <v>109787</v>
      </c>
      <c r="K524" s="2">
        <f t="shared" si="25"/>
        <v>1.0303292851622303</v>
      </c>
      <c r="L524" s="2">
        <f t="shared" si="26"/>
        <v>0.52454872956263321</v>
      </c>
    </row>
    <row r="525" spans="1:12" x14ac:dyDescent="0.3">
      <c r="A525" s="1">
        <v>45729</v>
      </c>
      <c r="B525" t="s">
        <v>15</v>
      </c>
      <c r="C525" t="s">
        <v>18</v>
      </c>
      <c r="D525" t="s">
        <v>11</v>
      </c>
      <c r="E525">
        <v>480165</v>
      </c>
      <c r="F525">
        <v>238641</v>
      </c>
      <c r="G525">
        <v>420321</v>
      </c>
      <c r="H525">
        <v>4.4000000000000004</v>
      </c>
      <c r="I525">
        <v>12</v>
      </c>
      <c r="J525">
        <f t="shared" si="24"/>
        <v>241524</v>
      </c>
      <c r="K525" s="2">
        <f t="shared" si="25"/>
        <v>1.142376897656791</v>
      </c>
      <c r="L525" s="2">
        <f t="shared" si="26"/>
        <v>0.50300209303052079</v>
      </c>
    </row>
    <row r="526" spans="1:12" x14ac:dyDescent="0.3">
      <c r="A526" s="1">
        <v>45919</v>
      </c>
      <c r="B526" t="s">
        <v>12</v>
      </c>
      <c r="C526" t="s">
        <v>13</v>
      </c>
      <c r="D526" t="s">
        <v>17</v>
      </c>
      <c r="E526">
        <v>481869</v>
      </c>
      <c r="F526">
        <v>268222</v>
      </c>
      <c r="G526">
        <v>534344</v>
      </c>
      <c r="H526">
        <v>4.8</v>
      </c>
      <c r="I526">
        <v>10</v>
      </c>
      <c r="J526">
        <f t="shared" si="24"/>
        <v>213647</v>
      </c>
      <c r="K526" s="2">
        <f t="shared" si="25"/>
        <v>0.90179547257946191</v>
      </c>
      <c r="L526" s="2">
        <f t="shared" si="26"/>
        <v>0.44337153873770674</v>
      </c>
    </row>
    <row r="527" spans="1:12" x14ac:dyDescent="0.3">
      <c r="A527" s="1">
        <v>45446</v>
      </c>
      <c r="B527" t="s">
        <v>19</v>
      </c>
      <c r="C527" t="s">
        <v>18</v>
      </c>
      <c r="D527" t="s">
        <v>11</v>
      </c>
      <c r="E527">
        <v>432984</v>
      </c>
      <c r="F527">
        <v>235471</v>
      </c>
      <c r="G527">
        <v>396123</v>
      </c>
      <c r="H527">
        <v>4.5</v>
      </c>
      <c r="I527">
        <v>2</v>
      </c>
      <c r="J527">
        <f t="shared" si="24"/>
        <v>197513</v>
      </c>
      <c r="K527" s="2">
        <f t="shared" si="25"/>
        <v>1.0930544300633893</v>
      </c>
      <c r="L527" s="2">
        <f t="shared" si="26"/>
        <v>0.45616697152781627</v>
      </c>
    </row>
    <row r="528" spans="1:12" x14ac:dyDescent="0.3">
      <c r="A528" s="1">
        <v>45514</v>
      </c>
      <c r="B528" t="s">
        <v>12</v>
      </c>
      <c r="C528" t="s">
        <v>10</v>
      </c>
      <c r="D528" t="s">
        <v>11</v>
      </c>
      <c r="E528">
        <v>430446</v>
      </c>
      <c r="F528">
        <v>253653</v>
      </c>
      <c r="G528">
        <v>409174</v>
      </c>
      <c r="H528">
        <v>3.6</v>
      </c>
      <c r="I528">
        <v>4</v>
      </c>
      <c r="J528">
        <f t="shared" si="24"/>
        <v>176793</v>
      </c>
      <c r="K528" s="2">
        <f t="shared" si="25"/>
        <v>1.0519876629502363</v>
      </c>
      <c r="L528" s="2">
        <f t="shared" si="26"/>
        <v>0.41072050849583919</v>
      </c>
    </row>
    <row r="529" spans="1:12" x14ac:dyDescent="0.3">
      <c r="A529" s="1">
        <v>45922</v>
      </c>
      <c r="B529" t="s">
        <v>9</v>
      </c>
      <c r="C529" t="s">
        <v>10</v>
      </c>
      <c r="D529" t="s">
        <v>14</v>
      </c>
      <c r="E529">
        <v>45903</v>
      </c>
      <c r="F529">
        <v>15451</v>
      </c>
      <c r="G529">
        <v>40189</v>
      </c>
      <c r="H529">
        <v>4.0999999999999996</v>
      </c>
      <c r="I529">
        <v>9</v>
      </c>
      <c r="J529">
        <f t="shared" si="24"/>
        <v>30452</v>
      </c>
      <c r="K529" s="2">
        <f t="shared" si="25"/>
        <v>1.1421782079673541</v>
      </c>
      <c r="L529" s="2">
        <f t="shared" si="26"/>
        <v>0.66339890638956056</v>
      </c>
    </row>
    <row r="530" spans="1:12" x14ac:dyDescent="0.3">
      <c r="A530" s="1">
        <v>45362</v>
      </c>
      <c r="B530" t="s">
        <v>9</v>
      </c>
      <c r="C530" t="s">
        <v>16</v>
      </c>
      <c r="D530" t="s">
        <v>17</v>
      </c>
      <c r="E530">
        <v>428554</v>
      </c>
      <c r="F530">
        <v>252603</v>
      </c>
      <c r="G530">
        <v>485429</v>
      </c>
      <c r="H530">
        <v>3.6</v>
      </c>
      <c r="I530">
        <v>3</v>
      </c>
      <c r="J530">
        <f t="shared" si="24"/>
        <v>175951</v>
      </c>
      <c r="K530" s="2">
        <f t="shared" si="25"/>
        <v>0.88283559490677321</v>
      </c>
      <c r="L530" s="2">
        <f t="shared" si="26"/>
        <v>0.41056902980721216</v>
      </c>
    </row>
    <row r="531" spans="1:12" x14ac:dyDescent="0.3">
      <c r="A531" s="1">
        <v>45776</v>
      </c>
      <c r="B531" t="s">
        <v>9</v>
      </c>
      <c r="C531" t="s">
        <v>18</v>
      </c>
      <c r="D531" t="s">
        <v>14</v>
      </c>
      <c r="E531">
        <v>75149</v>
      </c>
      <c r="F531">
        <v>24473</v>
      </c>
      <c r="G531">
        <v>73790</v>
      </c>
      <c r="H531">
        <v>3.9</v>
      </c>
      <c r="I531">
        <v>8</v>
      </c>
      <c r="J531">
        <f t="shared" si="24"/>
        <v>50676</v>
      </c>
      <c r="K531" s="2">
        <f t="shared" si="25"/>
        <v>1.0184171296923703</v>
      </c>
      <c r="L531" s="2">
        <f t="shared" si="26"/>
        <v>0.67434031058297517</v>
      </c>
    </row>
    <row r="532" spans="1:12" x14ac:dyDescent="0.3">
      <c r="A532" s="1">
        <v>45651</v>
      </c>
      <c r="B532" t="s">
        <v>12</v>
      </c>
      <c r="C532" t="s">
        <v>16</v>
      </c>
      <c r="D532" t="s">
        <v>14</v>
      </c>
      <c r="E532">
        <v>445570</v>
      </c>
      <c r="F532">
        <v>256245</v>
      </c>
      <c r="G532">
        <v>413016</v>
      </c>
      <c r="H532">
        <v>4</v>
      </c>
      <c r="I532">
        <v>7</v>
      </c>
      <c r="J532">
        <f t="shared" si="24"/>
        <v>189325</v>
      </c>
      <c r="K532" s="2">
        <f t="shared" si="25"/>
        <v>1.0788201909853372</v>
      </c>
      <c r="L532" s="2">
        <f t="shared" si="26"/>
        <v>0.42490517763763269</v>
      </c>
    </row>
    <row r="533" spans="1:12" x14ac:dyDescent="0.3">
      <c r="A533" s="1">
        <v>45928</v>
      </c>
      <c r="B533" t="s">
        <v>19</v>
      </c>
      <c r="C533" t="s">
        <v>13</v>
      </c>
      <c r="D533" t="s">
        <v>14</v>
      </c>
      <c r="E533">
        <v>316969</v>
      </c>
      <c r="F533">
        <v>107937</v>
      </c>
      <c r="G533">
        <v>343290</v>
      </c>
      <c r="H533">
        <v>3.6</v>
      </c>
      <c r="I533">
        <v>5</v>
      </c>
      <c r="J533">
        <f t="shared" si="24"/>
        <v>209032</v>
      </c>
      <c r="K533" s="2">
        <f t="shared" si="25"/>
        <v>0.92332721605639545</v>
      </c>
      <c r="L533" s="2">
        <f t="shared" si="26"/>
        <v>0.65947143096012539</v>
      </c>
    </row>
    <row r="534" spans="1:12" x14ac:dyDescent="0.3">
      <c r="A534" s="1">
        <v>45667</v>
      </c>
      <c r="B534" t="s">
        <v>12</v>
      </c>
      <c r="C534" t="s">
        <v>16</v>
      </c>
      <c r="D534" t="s">
        <v>17</v>
      </c>
      <c r="E534">
        <v>399150</v>
      </c>
      <c r="F534">
        <v>159658</v>
      </c>
      <c r="G534">
        <v>413186</v>
      </c>
      <c r="H534">
        <v>3.7</v>
      </c>
      <c r="I534">
        <v>6</v>
      </c>
      <c r="J534">
        <f t="shared" si="24"/>
        <v>239492</v>
      </c>
      <c r="K534" s="2">
        <f t="shared" si="25"/>
        <v>0.96602982676082927</v>
      </c>
      <c r="L534" s="2">
        <f t="shared" si="26"/>
        <v>0.60000501064762624</v>
      </c>
    </row>
    <row r="535" spans="1:12" x14ac:dyDescent="0.3">
      <c r="A535" s="1">
        <v>45483</v>
      </c>
      <c r="B535" t="s">
        <v>15</v>
      </c>
      <c r="C535" t="s">
        <v>16</v>
      </c>
      <c r="D535" t="s">
        <v>17</v>
      </c>
      <c r="E535">
        <v>200359</v>
      </c>
      <c r="F535">
        <v>115752</v>
      </c>
      <c r="G535">
        <v>222923</v>
      </c>
      <c r="H535">
        <v>4.2</v>
      </c>
      <c r="I535">
        <v>15</v>
      </c>
      <c r="J535">
        <f t="shared" si="24"/>
        <v>84607</v>
      </c>
      <c r="K535" s="2">
        <f t="shared" si="25"/>
        <v>0.89878119350627794</v>
      </c>
      <c r="L535" s="2">
        <f t="shared" si="26"/>
        <v>0.42227701276209206</v>
      </c>
    </row>
    <row r="536" spans="1:12" x14ac:dyDescent="0.3">
      <c r="A536" s="1">
        <v>45781</v>
      </c>
      <c r="B536" t="s">
        <v>19</v>
      </c>
      <c r="C536" t="s">
        <v>18</v>
      </c>
      <c r="D536" t="s">
        <v>17</v>
      </c>
      <c r="E536">
        <v>262084</v>
      </c>
      <c r="F536">
        <v>132314</v>
      </c>
      <c r="G536">
        <v>237767</v>
      </c>
      <c r="H536">
        <v>4</v>
      </c>
      <c r="I536">
        <v>7</v>
      </c>
      <c r="J536">
        <f t="shared" si="24"/>
        <v>129770</v>
      </c>
      <c r="K536" s="2">
        <f t="shared" si="25"/>
        <v>1.1022723927206046</v>
      </c>
      <c r="L536" s="2">
        <f t="shared" si="26"/>
        <v>0.49514659422169993</v>
      </c>
    </row>
    <row r="537" spans="1:12" x14ac:dyDescent="0.3">
      <c r="A537" s="1">
        <v>45821</v>
      </c>
      <c r="B537" t="s">
        <v>12</v>
      </c>
      <c r="C537" t="s">
        <v>13</v>
      </c>
      <c r="D537" t="s">
        <v>14</v>
      </c>
      <c r="E537">
        <v>97438</v>
      </c>
      <c r="F537">
        <v>51041</v>
      </c>
      <c r="G537">
        <v>98549</v>
      </c>
      <c r="H537">
        <v>4.8</v>
      </c>
      <c r="I537">
        <v>9</v>
      </c>
      <c r="J537">
        <f t="shared" si="24"/>
        <v>46397</v>
      </c>
      <c r="K537" s="2">
        <f t="shared" si="25"/>
        <v>0.98872642035941516</v>
      </c>
      <c r="L537" s="2">
        <f t="shared" si="26"/>
        <v>0.47616946160635482</v>
      </c>
    </row>
    <row r="538" spans="1:12" x14ac:dyDescent="0.3">
      <c r="A538" s="1">
        <v>45323</v>
      </c>
      <c r="B538" t="s">
        <v>19</v>
      </c>
      <c r="C538" t="s">
        <v>13</v>
      </c>
      <c r="D538" t="s">
        <v>17</v>
      </c>
      <c r="E538">
        <v>431594</v>
      </c>
      <c r="F538">
        <v>199043</v>
      </c>
      <c r="G538">
        <v>462881</v>
      </c>
      <c r="H538">
        <v>4.2</v>
      </c>
      <c r="I538">
        <v>4</v>
      </c>
      <c r="J538">
        <f t="shared" si="24"/>
        <v>232551</v>
      </c>
      <c r="K538" s="2">
        <f t="shared" si="25"/>
        <v>0.93240811353241981</v>
      </c>
      <c r="L538" s="2">
        <f t="shared" si="26"/>
        <v>0.53881888997530081</v>
      </c>
    </row>
    <row r="539" spans="1:12" x14ac:dyDescent="0.3">
      <c r="A539" s="1">
        <v>45719</v>
      </c>
      <c r="B539" t="s">
        <v>15</v>
      </c>
      <c r="C539" t="s">
        <v>18</v>
      </c>
      <c r="D539" t="s">
        <v>11</v>
      </c>
      <c r="E539">
        <v>303624</v>
      </c>
      <c r="F539">
        <v>171556</v>
      </c>
      <c r="G539">
        <v>321707</v>
      </c>
      <c r="H539">
        <v>4.0999999999999996</v>
      </c>
      <c r="I539">
        <v>1</v>
      </c>
      <c r="J539">
        <f t="shared" si="24"/>
        <v>132068</v>
      </c>
      <c r="K539" s="2">
        <f t="shared" si="25"/>
        <v>0.9437904677237362</v>
      </c>
      <c r="L539" s="2">
        <f t="shared" si="26"/>
        <v>0.43497220246093854</v>
      </c>
    </row>
    <row r="540" spans="1:12" x14ac:dyDescent="0.3">
      <c r="A540" s="1">
        <v>45515</v>
      </c>
      <c r="B540" t="s">
        <v>15</v>
      </c>
      <c r="C540" t="s">
        <v>13</v>
      </c>
      <c r="D540" t="s">
        <v>14</v>
      </c>
      <c r="E540">
        <v>496252</v>
      </c>
      <c r="F540">
        <v>225772</v>
      </c>
      <c r="G540">
        <v>531422</v>
      </c>
      <c r="H540">
        <v>4.3</v>
      </c>
      <c r="I540">
        <v>4</v>
      </c>
      <c r="J540">
        <f t="shared" si="24"/>
        <v>270480</v>
      </c>
      <c r="K540" s="2">
        <f t="shared" si="25"/>
        <v>0.9338190741068304</v>
      </c>
      <c r="L540" s="2">
        <f t="shared" si="26"/>
        <v>0.54504566228448448</v>
      </c>
    </row>
    <row r="541" spans="1:12" x14ac:dyDescent="0.3">
      <c r="A541" s="1">
        <v>45561</v>
      </c>
      <c r="B541" t="s">
        <v>12</v>
      </c>
      <c r="C541" t="s">
        <v>16</v>
      </c>
      <c r="D541" t="s">
        <v>11</v>
      </c>
      <c r="E541">
        <v>318295</v>
      </c>
      <c r="F541">
        <v>125255</v>
      </c>
      <c r="G541">
        <v>297231</v>
      </c>
      <c r="H541">
        <v>3.7</v>
      </c>
      <c r="I541">
        <v>8</v>
      </c>
      <c r="J541">
        <f t="shared" si="24"/>
        <v>193040</v>
      </c>
      <c r="K541" s="2">
        <f t="shared" si="25"/>
        <v>1.0708674398027123</v>
      </c>
      <c r="L541" s="2">
        <f t="shared" si="26"/>
        <v>0.60648140875602818</v>
      </c>
    </row>
    <row r="542" spans="1:12" x14ac:dyDescent="0.3">
      <c r="A542" s="1">
        <v>45411</v>
      </c>
      <c r="B542" t="s">
        <v>9</v>
      </c>
      <c r="C542" t="s">
        <v>10</v>
      </c>
      <c r="D542" t="s">
        <v>17</v>
      </c>
      <c r="E542">
        <v>64722</v>
      </c>
      <c r="F542">
        <v>30728</v>
      </c>
      <c r="G542">
        <v>62907</v>
      </c>
      <c r="H542">
        <v>4.9000000000000004</v>
      </c>
      <c r="I542">
        <v>11</v>
      </c>
      <c r="J542">
        <f t="shared" si="24"/>
        <v>33994</v>
      </c>
      <c r="K542" s="2">
        <f t="shared" si="25"/>
        <v>1.0288521150269445</v>
      </c>
      <c r="L542" s="2">
        <f t="shared" si="26"/>
        <v>0.52523098791755507</v>
      </c>
    </row>
    <row r="543" spans="1:12" x14ac:dyDescent="0.3">
      <c r="A543" s="1">
        <v>45899</v>
      </c>
      <c r="B543" t="s">
        <v>19</v>
      </c>
      <c r="C543" t="s">
        <v>16</v>
      </c>
      <c r="D543" t="s">
        <v>11</v>
      </c>
      <c r="E543">
        <v>411479</v>
      </c>
      <c r="F543">
        <v>239933</v>
      </c>
      <c r="G543">
        <v>395992</v>
      </c>
      <c r="H543">
        <v>4.7</v>
      </c>
      <c r="I543">
        <v>13</v>
      </c>
      <c r="J543">
        <f t="shared" si="24"/>
        <v>171546</v>
      </c>
      <c r="K543" s="2">
        <f t="shared" si="25"/>
        <v>1.0391093759469889</v>
      </c>
      <c r="L543" s="2">
        <f t="shared" si="26"/>
        <v>0.41690098401133474</v>
      </c>
    </row>
    <row r="544" spans="1:12" x14ac:dyDescent="0.3">
      <c r="A544" s="1">
        <v>45678</v>
      </c>
      <c r="B544" t="s">
        <v>9</v>
      </c>
      <c r="C544" t="s">
        <v>18</v>
      </c>
      <c r="D544" t="s">
        <v>14</v>
      </c>
      <c r="E544">
        <v>412234</v>
      </c>
      <c r="F544">
        <v>187992</v>
      </c>
      <c r="G544">
        <v>392156</v>
      </c>
      <c r="H544">
        <v>5</v>
      </c>
      <c r="I544">
        <v>14</v>
      </c>
      <c r="J544">
        <f t="shared" si="24"/>
        <v>224242</v>
      </c>
      <c r="K544" s="2">
        <f t="shared" si="25"/>
        <v>1.0511990126378279</v>
      </c>
      <c r="L544" s="2">
        <f t="shared" si="26"/>
        <v>0.54396774647408996</v>
      </c>
    </row>
    <row r="545" spans="1:12" x14ac:dyDescent="0.3">
      <c r="A545" s="1">
        <v>45418</v>
      </c>
      <c r="B545" t="s">
        <v>19</v>
      </c>
      <c r="C545" t="s">
        <v>18</v>
      </c>
      <c r="D545" t="s">
        <v>17</v>
      </c>
      <c r="E545">
        <v>244196</v>
      </c>
      <c r="F545">
        <v>112675</v>
      </c>
      <c r="G545">
        <v>250711</v>
      </c>
      <c r="H545">
        <v>4.5999999999999996</v>
      </c>
      <c r="I545">
        <v>9</v>
      </c>
      <c r="J545">
        <f t="shared" si="24"/>
        <v>131521</v>
      </c>
      <c r="K545" s="2">
        <f t="shared" si="25"/>
        <v>0.97401390445572789</v>
      </c>
      <c r="L545" s="2">
        <f t="shared" si="26"/>
        <v>0.53858785565693135</v>
      </c>
    </row>
    <row r="546" spans="1:12" x14ac:dyDescent="0.3">
      <c r="A546" s="1">
        <v>45848</v>
      </c>
      <c r="B546" t="s">
        <v>12</v>
      </c>
      <c r="C546" t="s">
        <v>16</v>
      </c>
      <c r="D546" t="s">
        <v>17</v>
      </c>
      <c r="E546">
        <v>214720</v>
      </c>
      <c r="F546">
        <v>105865</v>
      </c>
      <c r="G546">
        <v>197460</v>
      </c>
      <c r="H546">
        <v>3.9</v>
      </c>
      <c r="I546">
        <v>3</v>
      </c>
      <c r="J546">
        <f t="shared" si="24"/>
        <v>108855</v>
      </c>
      <c r="K546" s="2">
        <f t="shared" si="25"/>
        <v>1.0874101083763801</v>
      </c>
      <c r="L546" s="2">
        <f t="shared" si="26"/>
        <v>0.50696255588673622</v>
      </c>
    </row>
    <row r="547" spans="1:12" x14ac:dyDescent="0.3">
      <c r="A547" s="1">
        <v>45564</v>
      </c>
      <c r="B547" t="s">
        <v>9</v>
      </c>
      <c r="C547" t="s">
        <v>16</v>
      </c>
      <c r="D547" t="s">
        <v>17</v>
      </c>
      <c r="E547">
        <v>81386</v>
      </c>
      <c r="F547">
        <v>27720</v>
      </c>
      <c r="G547">
        <v>84070</v>
      </c>
      <c r="H547">
        <v>4.9000000000000004</v>
      </c>
      <c r="I547">
        <v>12</v>
      </c>
      <c r="J547">
        <f t="shared" si="24"/>
        <v>53666</v>
      </c>
      <c r="K547" s="2">
        <f t="shared" si="25"/>
        <v>0.96807422386106812</v>
      </c>
      <c r="L547" s="2">
        <f t="shared" si="26"/>
        <v>0.6594008797581894</v>
      </c>
    </row>
    <row r="548" spans="1:12" x14ac:dyDescent="0.3">
      <c r="A548" s="1">
        <v>45402</v>
      </c>
      <c r="B548" t="s">
        <v>12</v>
      </c>
      <c r="C548" t="s">
        <v>10</v>
      </c>
      <c r="D548" t="s">
        <v>11</v>
      </c>
      <c r="E548">
        <v>386036</v>
      </c>
      <c r="F548">
        <v>142155</v>
      </c>
      <c r="G548">
        <v>409486</v>
      </c>
      <c r="H548">
        <v>4.4000000000000004</v>
      </c>
      <c r="I548">
        <v>0</v>
      </c>
      <c r="J548">
        <f t="shared" si="24"/>
        <v>243881</v>
      </c>
      <c r="K548" s="2">
        <f t="shared" si="25"/>
        <v>0.9427330848917912</v>
      </c>
      <c r="L548" s="2">
        <f t="shared" si="26"/>
        <v>0.63175714182097009</v>
      </c>
    </row>
    <row r="549" spans="1:12" x14ac:dyDescent="0.3">
      <c r="A549" s="1">
        <v>46013</v>
      </c>
      <c r="B549" t="s">
        <v>12</v>
      </c>
      <c r="C549" t="s">
        <v>10</v>
      </c>
      <c r="D549" t="s">
        <v>17</v>
      </c>
      <c r="E549">
        <v>248973</v>
      </c>
      <c r="F549">
        <v>97887</v>
      </c>
      <c r="G549">
        <v>241344</v>
      </c>
      <c r="H549">
        <v>4.7</v>
      </c>
      <c r="I549">
        <v>12</v>
      </c>
      <c r="J549">
        <f t="shared" si="24"/>
        <v>151086</v>
      </c>
      <c r="K549" s="2">
        <f t="shared" si="25"/>
        <v>1.0316104813046938</v>
      </c>
      <c r="L549" s="2">
        <f t="shared" si="26"/>
        <v>0.60683688592738971</v>
      </c>
    </row>
    <row r="550" spans="1:12" x14ac:dyDescent="0.3">
      <c r="A550" s="1">
        <v>45462</v>
      </c>
      <c r="B550" t="s">
        <v>19</v>
      </c>
      <c r="C550" t="s">
        <v>16</v>
      </c>
      <c r="D550" t="s">
        <v>14</v>
      </c>
      <c r="E550">
        <v>191871</v>
      </c>
      <c r="F550">
        <v>80205</v>
      </c>
      <c r="G550">
        <v>176141</v>
      </c>
      <c r="H550">
        <v>4.5</v>
      </c>
      <c r="I550">
        <v>6</v>
      </c>
      <c r="J550">
        <f t="shared" si="24"/>
        <v>111666</v>
      </c>
      <c r="K550" s="2">
        <f t="shared" si="25"/>
        <v>1.089303455754197</v>
      </c>
      <c r="L550" s="2">
        <f t="shared" si="26"/>
        <v>0.5819847710180277</v>
      </c>
    </row>
    <row r="551" spans="1:12" x14ac:dyDescent="0.3">
      <c r="A551" s="1">
        <v>45471</v>
      </c>
      <c r="B551" t="s">
        <v>15</v>
      </c>
      <c r="C551" t="s">
        <v>13</v>
      </c>
      <c r="D551" t="s">
        <v>11</v>
      </c>
      <c r="E551">
        <v>481604</v>
      </c>
      <c r="F551">
        <v>251618</v>
      </c>
      <c r="G551">
        <v>532603</v>
      </c>
      <c r="H551">
        <v>4.9000000000000004</v>
      </c>
      <c r="I551">
        <v>3</v>
      </c>
      <c r="J551">
        <f t="shared" si="24"/>
        <v>229986</v>
      </c>
      <c r="K551" s="2">
        <f t="shared" si="25"/>
        <v>0.90424575152599596</v>
      </c>
      <c r="L551" s="2">
        <f t="shared" si="26"/>
        <v>0.47754171476981089</v>
      </c>
    </row>
    <row r="552" spans="1:12" x14ac:dyDescent="0.3">
      <c r="A552" s="1">
        <v>45658</v>
      </c>
      <c r="B552" t="s">
        <v>19</v>
      </c>
      <c r="C552" t="s">
        <v>13</v>
      </c>
      <c r="D552" t="s">
        <v>11</v>
      </c>
      <c r="E552">
        <v>319066</v>
      </c>
      <c r="F552">
        <v>171450</v>
      </c>
      <c r="G552">
        <v>303368</v>
      </c>
      <c r="H552">
        <v>4.2</v>
      </c>
      <c r="I552">
        <v>1</v>
      </c>
      <c r="J552">
        <f t="shared" si="24"/>
        <v>147616</v>
      </c>
      <c r="K552" s="2">
        <f t="shared" si="25"/>
        <v>1.0517457345534136</v>
      </c>
      <c r="L552" s="2">
        <f t="shared" si="26"/>
        <v>0.46265036074041105</v>
      </c>
    </row>
    <row r="553" spans="1:12" x14ac:dyDescent="0.3">
      <c r="A553" s="1">
        <v>45528</v>
      </c>
      <c r="B553" t="s">
        <v>15</v>
      </c>
      <c r="C553" t="s">
        <v>10</v>
      </c>
      <c r="D553" t="s">
        <v>14</v>
      </c>
      <c r="E553">
        <v>234135</v>
      </c>
      <c r="F553">
        <v>97707</v>
      </c>
      <c r="G553">
        <v>241915</v>
      </c>
      <c r="H553">
        <v>3.8</v>
      </c>
      <c r="I553">
        <v>13</v>
      </c>
      <c r="J553">
        <f t="shared" si="24"/>
        <v>136428</v>
      </c>
      <c r="K553" s="2">
        <f t="shared" si="25"/>
        <v>0.96783994378190685</v>
      </c>
      <c r="L553" s="2">
        <f t="shared" si="26"/>
        <v>0.58268947402139792</v>
      </c>
    </row>
    <row r="554" spans="1:12" x14ac:dyDescent="0.3">
      <c r="A554" s="1">
        <v>45430</v>
      </c>
      <c r="B554" t="s">
        <v>12</v>
      </c>
      <c r="C554" t="s">
        <v>18</v>
      </c>
      <c r="D554" t="s">
        <v>11</v>
      </c>
      <c r="E554">
        <v>294944</v>
      </c>
      <c r="F554">
        <v>156001</v>
      </c>
      <c r="G554">
        <v>310640</v>
      </c>
      <c r="H554">
        <v>4.3</v>
      </c>
      <c r="I554">
        <v>0</v>
      </c>
      <c r="J554">
        <f t="shared" si="24"/>
        <v>138943</v>
      </c>
      <c r="K554" s="2">
        <f t="shared" si="25"/>
        <v>0.9494720576873551</v>
      </c>
      <c r="L554" s="2">
        <f t="shared" si="26"/>
        <v>0.47108264619724421</v>
      </c>
    </row>
    <row r="555" spans="1:12" x14ac:dyDescent="0.3">
      <c r="A555" s="1">
        <v>45698</v>
      </c>
      <c r="B555" t="s">
        <v>9</v>
      </c>
      <c r="C555" t="s">
        <v>16</v>
      </c>
      <c r="D555" t="s">
        <v>17</v>
      </c>
      <c r="E555">
        <v>23233</v>
      </c>
      <c r="F555">
        <v>14038</v>
      </c>
      <c r="G555">
        <v>25511</v>
      </c>
      <c r="H555">
        <v>4.3</v>
      </c>
      <c r="I555">
        <v>5</v>
      </c>
      <c r="J555">
        <f t="shared" si="24"/>
        <v>9195</v>
      </c>
      <c r="K555" s="2">
        <f t="shared" si="25"/>
        <v>0.91070518599819683</v>
      </c>
      <c r="L555" s="2">
        <f t="shared" si="26"/>
        <v>0.39577325356174409</v>
      </c>
    </row>
    <row r="556" spans="1:12" x14ac:dyDescent="0.3">
      <c r="A556" s="1">
        <v>45524</v>
      </c>
      <c r="B556" t="s">
        <v>19</v>
      </c>
      <c r="C556" t="s">
        <v>18</v>
      </c>
      <c r="D556" t="s">
        <v>11</v>
      </c>
      <c r="E556">
        <v>495514</v>
      </c>
      <c r="F556">
        <v>299770</v>
      </c>
      <c r="G556">
        <v>564116</v>
      </c>
      <c r="H556">
        <v>4.5</v>
      </c>
      <c r="I556">
        <v>7</v>
      </c>
      <c r="J556">
        <f t="shared" si="24"/>
        <v>195744</v>
      </c>
      <c r="K556" s="2">
        <f t="shared" si="25"/>
        <v>0.87839026015925803</v>
      </c>
      <c r="L556" s="2">
        <f t="shared" si="26"/>
        <v>0.39503222916002373</v>
      </c>
    </row>
    <row r="557" spans="1:12" x14ac:dyDescent="0.3">
      <c r="A557" s="1">
        <v>45959</v>
      </c>
      <c r="B557" t="s">
        <v>12</v>
      </c>
      <c r="C557" t="s">
        <v>10</v>
      </c>
      <c r="D557" t="s">
        <v>17</v>
      </c>
      <c r="E557">
        <v>152482</v>
      </c>
      <c r="F557">
        <v>79097</v>
      </c>
      <c r="G557">
        <v>168406</v>
      </c>
      <c r="H557">
        <v>4.9000000000000004</v>
      </c>
      <c r="I557">
        <v>7</v>
      </c>
      <c r="J557">
        <f t="shared" si="24"/>
        <v>73385</v>
      </c>
      <c r="K557" s="2">
        <f t="shared" si="25"/>
        <v>0.90544279895015622</v>
      </c>
      <c r="L557" s="2">
        <f t="shared" si="26"/>
        <v>0.48126992038404531</v>
      </c>
    </row>
    <row r="558" spans="1:12" x14ac:dyDescent="0.3">
      <c r="A558" s="1">
        <v>45662</v>
      </c>
      <c r="B558" t="s">
        <v>9</v>
      </c>
      <c r="C558" t="s">
        <v>13</v>
      </c>
      <c r="D558" t="s">
        <v>17</v>
      </c>
      <c r="E558">
        <v>393152</v>
      </c>
      <c r="F558">
        <v>203679</v>
      </c>
      <c r="G558">
        <v>387917</v>
      </c>
      <c r="H558">
        <v>4.5</v>
      </c>
      <c r="I558">
        <v>10</v>
      </c>
      <c r="J558">
        <f t="shared" si="24"/>
        <v>189473</v>
      </c>
      <c r="K558" s="2">
        <f t="shared" si="25"/>
        <v>1.0134951548913813</v>
      </c>
      <c r="L558" s="2">
        <f t="shared" si="26"/>
        <v>0.48193319632101578</v>
      </c>
    </row>
    <row r="559" spans="1:12" x14ac:dyDescent="0.3">
      <c r="A559" s="1">
        <v>45396</v>
      </c>
      <c r="B559" t="s">
        <v>9</v>
      </c>
      <c r="C559" t="s">
        <v>18</v>
      </c>
      <c r="D559" t="s">
        <v>17</v>
      </c>
      <c r="E559">
        <v>212834</v>
      </c>
      <c r="F559">
        <v>113772</v>
      </c>
      <c r="G559">
        <v>189991</v>
      </c>
      <c r="H559">
        <v>4</v>
      </c>
      <c r="I559">
        <v>9</v>
      </c>
      <c r="J559">
        <f t="shared" si="24"/>
        <v>99062</v>
      </c>
      <c r="K559" s="2">
        <f t="shared" si="25"/>
        <v>1.1202320109899944</v>
      </c>
      <c r="L559" s="2">
        <f t="shared" si="26"/>
        <v>0.46544255147203922</v>
      </c>
    </row>
    <row r="560" spans="1:12" x14ac:dyDescent="0.3">
      <c r="A560" s="1">
        <v>45501</v>
      </c>
      <c r="B560" t="s">
        <v>9</v>
      </c>
      <c r="C560" t="s">
        <v>13</v>
      </c>
      <c r="D560" t="s">
        <v>14</v>
      </c>
      <c r="E560">
        <v>266446</v>
      </c>
      <c r="F560">
        <v>150883</v>
      </c>
      <c r="G560">
        <v>256255</v>
      </c>
      <c r="H560">
        <v>4.9000000000000004</v>
      </c>
      <c r="I560">
        <v>11</v>
      </c>
      <c r="J560">
        <f t="shared" si="24"/>
        <v>115563</v>
      </c>
      <c r="K560" s="2">
        <f t="shared" si="25"/>
        <v>1.0397689801174612</v>
      </c>
      <c r="L560" s="2">
        <f t="shared" si="26"/>
        <v>0.4337201534269608</v>
      </c>
    </row>
    <row r="561" spans="1:12" x14ac:dyDescent="0.3">
      <c r="A561" s="1">
        <v>45783</v>
      </c>
      <c r="B561" t="s">
        <v>12</v>
      </c>
      <c r="C561" t="s">
        <v>10</v>
      </c>
      <c r="D561" t="s">
        <v>11</v>
      </c>
      <c r="E561">
        <v>316063</v>
      </c>
      <c r="F561">
        <v>137625</v>
      </c>
      <c r="G561">
        <v>282921</v>
      </c>
      <c r="H561">
        <v>5</v>
      </c>
      <c r="I561">
        <v>7</v>
      </c>
      <c r="J561">
        <f t="shared" si="24"/>
        <v>178438</v>
      </c>
      <c r="K561" s="2">
        <f t="shared" si="25"/>
        <v>1.1171422411203127</v>
      </c>
      <c r="L561" s="2">
        <f t="shared" si="26"/>
        <v>0.56456465957736279</v>
      </c>
    </row>
    <row r="562" spans="1:12" x14ac:dyDescent="0.3">
      <c r="A562" s="1">
        <v>45828</v>
      </c>
      <c r="B562" t="s">
        <v>12</v>
      </c>
      <c r="C562" t="s">
        <v>16</v>
      </c>
      <c r="D562" t="s">
        <v>11</v>
      </c>
      <c r="E562">
        <v>338953</v>
      </c>
      <c r="F562">
        <v>160227</v>
      </c>
      <c r="G562">
        <v>355417</v>
      </c>
      <c r="H562">
        <v>4.5999999999999996</v>
      </c>
      <c r="I562">
        <v>7</v>
      </c>
      <c r="J562">
        <f t="shared" si="24"/>
        <v>178726</v>
      </c>
      <c r="K562" s="2">
        <f t="shared" si="25"/>
        <v>0.95367694848586304</v>
      </c>
      <c r="L562" s="2">
        <f t="shared" si="26"/>
        <v>0.5272884441205713</v>
      </c>
    </row>
    <row r="563" spans="1:12" x14ac:dyDescent="0.3">
      <c r="A563" s="1">
        <v>45651</v>
      </c>
      <c r="B563" t="s">
        <v>15</v>
      </c>
      <c r="C563" t="s">
        <v>18</v>
      </c>
      <c r="D563" t="s">
        <v>11</v>
      </c>
      <c r="E563">
        <v>410312</v>
      </c>
      <c r="F563">
        <v>137676</v>
      </c>
      <c r="G563">
        <v>445295</v>
      </c>
      <c r="H563">
        <v>4.2</v>
      </c>
      <c r="I563">
        <v>9</v>
      </c>
      <c r="J563">
        <f t="shared" si="24"/>
        <v>272636</v>
      </c>
      <c r="K563" s="2">
        <f t="shared" si="25"/>
        <v>0.9214385968852109</v>
      </c>
      <c r="L563" s="2">
        <f t="shared" si="26"/>
        <v>0.66446021564078073</v>
      </c>
    </row>
    <row r="564" spans="1:12" x14ac:dyDescent="0.3">
      <c r="A564" s="1">
        <v>45396</v>
      </c>
      <c r="B564" t="s">
        <v>19</v>
      </c>
      <c r="C564" t="s">
        <v>13</v>
      </c>
      <c r="D564" t="s">
        <v>17</v>
      </c>
      <c r="E564">
        <v>351678</v>
      </c>
      <c r="F564">
        <v>121385</v>
      </c>
      <c r="G564">
        <v>336566</v>
      </c>
      <c r="H564">
        <v>4.5999999999999996</v>
      </c>
      <c r="I564">
        <v>1</v>
      </c>
      <c r="J564">
        <f t="shared" si="24"/>
        <v>230293</v>
      </c>
      <c r="K564" s="2">
        <f t="shared" si="25"/>
        <v>1.0449005544232037</v>
      </c>
      <c r="L564" s="2">
        <f t="shared" si="26"/>
        <v>0.65484050750971057</v>
      </c>
    </row>
    <row r="565" spans="1:12" x14ac:dyDescent="0.3">
      <c r="A565" s="1">
        <v>45423</v>
      </c>
      <c r="B565" t="s">
        <v>12</v>
      </c>
      <c r="C565" t="s">
        <v>13</v>
      </c>
      <c r="D565" t="s">
        <v>11</v>
      </c>
      <c r="E565">
        <v>16511</v>
      </c>
      <c r="F565">
        <v>7726</v>
      </c>
      <c r="G565">
        <v>17648</v>
      </c>
      <c r="H565">
        <v>4.9000000000000004</v>
      </c>
      <c r="I565">
        <v>0</v>
      </c>
      <c r="J565">
        <f t="shared" si="24"/>
        <v>8785</v>
      </c>
      <c r="K565" s="2">
        <f t="shared" si="25"/>
        <v>0.93557343608340893</v>
      </c>
      <c r="L565" s="2">
        <f t="shared" si="26"/>
        <v>0.53206952940463936</v>
      </c>
    </row>
    <row r="566" spans="1:12" x14ac:dyDescent="0.3">
      <c r="A566" s="1">
        <v>45440</v>
      </c>
      <c r="B566" t="s">
        <v>19</v>
      </c>
      <c r="C566" t="s">
        <v>13</v>
      </c>
      <c r="D566" t="s">
        <v>14</v>
      </c>
      <c r="E566">
        <v>469379</v>
      </c>
      <c r="F566">
        <v>261912</v>
      </c>
      <c r="G566">
        <v>467381</v>
      </c>
      <c r="H566">
        <v>3.7</v>
      </c>
      <c r="I566">
        <v>5</v>
      </c>
      <c r="J566">
        <f t="shared" si="24"/>
        <v>207467</v>
      </c>
      <c r="K566" s="2">
        <f t="shared" si="25"/>
        <v>1.0042748849439751</v>
      </c>
      <c r="L566" s="2">
        <f t="shared" si="26"/>
        <v>0.44200315736323953</v>
      </c>
    </row>
    <row r="567" spans="1:12" x14ac:dyDescent="0.3">
      <c r="A567" s="1">
        <v>45434</v>
      </c>
      <c r="B567" t="s">
        <v>15</v>
      </c>
      <c r="C567" t="s">
        <v>16</v>
      </c>
      <c r="D567" t="s">
        <v>17</v>
      </c>
      <c r="E567">
        <v>64195</v>
      </c>
      <c r="F567">
        <v>36377</v>
      </c>
      <c r="G567">
        <v>56810</v>
      </c>
      <c r="H567">
        <v>4.3</v>
      </c>
      <c r="I567">
        <v>8</v>
      </c>
      <c r="J567">
        <f t="shared" si="24"/>
        <v>27818</v>
      </c>
      <c r="K567" s="2">
        <f t="shared" si="25"/>
        <v>1.1299947192395705</v>
      </c>
      <c r="L567" s="2">
        <f t="shared" si="26"/>
        <v>0.43333592958953188</v>
      </c>
    </row>
    <row r="568" spans="1:12" x14ac:dyDescent="0.3">
      <c r="A568" s="1">
        <v>45916</v>
      </c>
      <c r="B568" t="s">
        <v>12</v>
      </c>
      <c r="C568" t="s">
        <v>13</v>
      </c>
      <c r="D568" t="s">
        <v>11</v>
      </c>
      <c r="E568">
        <v>182502</v>
      </c>
      <c r="F568">
        <v>78763</v>
      </c>
      <c r="G568">
        <v>160922</v>
      </c>
      <c r="H568">
        <v>4.8</v>
      </c>
      <c r="I568">
        <v>3</v>
      </c>
      <c r="J568">
        <f t="shared" si="24"/>
        <v>103739</v>
      </c>
      <c r="K568" s="2">
        <f t="shared" si="25"/>
        <v>1.1341022358658233</v>
      </c>
      <c r="L568" s="2">
        <f t="shared" si="26"/>
        <v>0.56842664737920678</v>
      </c>
    </row>
    <row r="569" spans="1:12" x14ac:dyDescent="0.3">
      <c r="A569" s="1">
        <v>45954</v>
      </c>
      <c r="B569" t="s">
        <v>9</v>
      </c>
      <c r="C569" t="s">
        <v>18</v>
      </c>
      <c r="D569" t="s">
        <v>17</v>
      </c>
      <c r="E569">
        <v>151449</v>
      </c>
      <c r="F569">
        <v>50463</v>
      </c>
      <c r="G569">
        <v>132490</v>
      </c>
      <c r="H569">
        <v>3.9</v>
      </c>
      <c r="I569">
        <v>8</v>
      </c>
      <c r="J569">
        <f t="shared" si="24"/>
        <v>100986</v>
      </c>
      <c r="K569" s="2">
        <f t="shared" si="25"/>
        <v>1.1430975922711148</v>
      </c>
      <c r="L569" s="2">
        <f t="shared" si="26"/>
        <v>0.66679872432303944</v>
      </c>
    </row>
    <row r="570" spans="1:12" x14ac:dyDescent="0.3">
      <c r="A570" s="1">
        <v>45483</v>
      </c>
      <c r="B570" t="s">
        <v>19</v>
      </c>
      <c r="C570" t="s">
        <v>16</v>
      </c>
      <c r="D570" t="s">
        <v>14</v>
      </c>
      <c r="E570">
        <v>437700</v>
      </c>
      <c r="F570">
        <v>220398</v>
      </c>
      <c r="G570">
        <v>384147</v>
      </c>
      <c r="H570">
        <v>4.4000000000000004</v>
      </c>
      <c r="I570">
        <v>6</v>
      </c>
      <c r="J570">
        <f t="shared" si="24"/>
        <v>217302</v>
      </c>
      <c r="K570" s="2">
        <f t="shared" si="25"/>
        <v>1.1394075705394029</v>
      </c>
      <c r="L570" s="2">
        <f t="shared" si="26"/>
        <v>0.49646333104866347</v>
      </c>
    </row>
    <row r="571" spans="1:12" x14ac:dyDescent="0.3">
      <c r="A571" s="1">
        <v>45488</v>
      </c>
      <c r="B571" t="s">
        <v>19</v>
      </c>
      <c r="C571" t="s">
        <v>18</v>
      </c>
      <c r="D571" t="s">
        <v>17</v>
      </c>
      <c r="E571">
        <v>427216</v>
      </c>
      <c r="F571">
        <v>258152</v>
      </c>
      <c r="G571">
        <v>447558</v>
      </c>
      <c r="H571">
        <v>4.3</v>
      </c>
      <c r="I571">
        <v>7</v>
      </c>
      <c r="J571">
        <f t="shared" si="24"/>
        <v>169064</v>
      </c>
      <c r="K571" s="2">
        <f t="shared" si="25"/>
        <v>0.9545489076276148</v>
      </c>
      <c r="L571" s="2">
        <f t="shared" si="26"/>
        <v>0.39573424216321484</v>
      </c>
    </row>
    <row r="572" spans="1:12" x14ac:dyDescent="0.3">
      <c r="A572" s="1">
        <v>45893</v>
      </c>
      <c r="B572" t="s">
        <v>19</v>
      </c>
      <c r="C572" t="s">
        <v>18</v>
      </c>
      <c r="D572" t="s">
        <v>11</v>
      </c>
      <c r="E572">
        <v>432847</v>
      </c>
      <c r="F572">
        <v>238120</v>
      </c>
      <c r="G572">
        <v>422919</v>
      </c>
      <c r="H572">
        <v>4.7</v>
      </c>
      <c r="I572">
        <v>12</v>
      </c>
      <c r="J572">
        <f t="shared" si="24"/>
        <v>194727</v>
      </c>
      <c r="K572" s="2">
        <f t="shared" si="25"/>
        <v>1.0234749443746911</v>
      </c>
      <c r="L572" s="2">
        <f t="shared" si="26"/>
        <v>0.44987489805866737</v>
      </c>
    </row>
    <row r="573" spans="1:12" x14ac:dyDescent="0.3">
      <c r="A573" s="1">
        <v>45906</v>
      </c>
      <c r="B573" t="s">
        <v>12</v>
      </c>
      <c r="C573" t="s">
        <v>16</v>
      </c>
      <c r="D573" t="s">
        <v>14</v>
      </c>
      <c r="E573">
        <v>355783</v>
      </c>
      <c r="F573">
        <v>208028</v>
      </c>
      <c r="G573">
        <v>314764</v>
      </c>
      <c r="H573">
        <v>3.5</v>
      </c>
      <c r="I573">
        <v>14</v>
      </c>
      <c r="J573">
        <f t="shared" si="24"/>
        <v>147755</v>
      </c>
      <c r="K573" s="2">
        <f t="shared" si="25"/>
        <v>1.1303166817043881</v>
      </c>
      <c r="L573" s="2">
        <f t="shared" si="26"/>
        <v>0.41529527830166141</v>
      </c>
    </row>
    <row r="574" spans="1:12" x14ac:dyDescent="0.3">
      <c r="A574" s="1">
        <v>45730</v>
      </c>
      <c r="B574" t="s">
        <v>15</v>
      </c>
      <c r="C574" t="s">
        <v>13</v>
      </c>
      <c r="D574" t="s">
        <v>14</v>
      </c>
      <c r="E574">
        <v>348030</v>
      </c>
      <c r="F574">
        <v>154076</v>
      </c>
      <c r="G574">
        <v>333330</v>
      </c>
      <c r="H574">
        <v>4.7</v>
      </c>
      <c r="I574">
        <v>8</v>
      </c>
      <c r="J574">
        <f t="shared" si="24"/>
        <v>193954</v>
      </c>
      <c r="K574" s="2">
        <f t="shared" si="25"/>
        <v>1.0441004410044101</v>
      </c>
      <c r="L574" s="2">
        <f t="shared" si="26"/>
        <v>0.55729103812889691</v>
      </c>
    </row>
    <row r="575" spans="1:12" x14ac:dyDescent="0.3">
      <c r="A575" s="1">
        <v>45500</v>
      </c>
      <c r="B575" t="s">
        <v>15</v>
      </c>
      <c r="C575" t="s">
        <v>16</v>
      </c>
      <c r="D575" t="s">
        <v>11</v>
      </c>
      <c r="E575">
        <v>487164</v>
      </c>
      <c r="F575">
        <v>187210</v>
      </c>
      <c r="G575">
        <v>462052</v>
      </c>
      <c r="H575">
        <v>3.8</v>
      </c>
      <c r="I575">
        <v>13</v>
      </c>
      <c r="J575">
        <f t="shared" si="24"/>
        <v>299954</v>
      </c>
      <c r="K575" s="2">
        <f t="shared" si="25"/>
        <v>1.0543488611671414</v>
      </c>
      <c r="L575" s="2">
        <f t="shared" si="26"/>
        <v>0.61571462587547521</v>
      </c>
    </row>
    <row r="576" spans="1:12" x14ac:dyDescent="0.3">
      <c r="A576" s="1">
        <v>45948</v>
      </c>
      <c r="B576" t="s">
        <v>15</v>
      </c>
      <c r="C576" t="s">
        <v>10</v>
      </c>
      <c r="D576" t="s">
        <v>17</v>
      </c>
      <c r="E576">
        <v>227516</v>
      </c>
      <c r="F576">
        <v>129956</v>
      </c>
      <c r="G576">
        <v>202916</v>
      </c>
      <c r="H576">
        <v>4.4000000000000004</v>
      </c>
      <c r="I576">
        <v>13</v>
      </c>
      <c r="J576">
        <f t="shared" si="24"/>
        <v>97560</v>
      </c>
      <c r="K576" s="2">
        <f t="shared" si="25"/>
        <v>1.121232431153778</v>
      </c>
      <c r="L576" s="2">
        <f t="shared" si="26"/>
        <v>0.42880500712037833</v>
      </c>
    </row>
    <row r="577" spans="1:12" x14ac:dyDescent="0.3">
      <c r="A577" s="1">
        <v>45800</v>
      </c>
      <c r="B577" t="s">
        <v>12</v>
      </c>
      <c r="C577" t="s">
        <v>10</v>
      </c>
      <c r="D577" t="s">
        <v>14</v>
      </c>
      <c r="E577">
        <v>12462</v>
      </c>
      <c r="F577">
        <v>6813</v>
      </c>
      <c r="G577">
        <v>10655</v>
      </c>
      <c r="H577">
        <v>4.5</v>
      </c>
      <c r="I577">
        <v>4</v>
      </c>
      <c r="J577">
        <f t="shared" si="24"/>
        <v>5649</v>
      </c>
      <c r="K577" s="2">
        <f t="shared" si="25"/>
        <v>1.1695917409666823</v>
      </c>
      <c r="L577" s="2">
        <f t="shared" si="26"/>
        <v>0.45329802599903707</v>
      </c>
    </row>
    <row r="578" spans="1:12" x14ac:dyDescent="0.3">
      <c r="A578" s="1">
        <v>45861</v>
      </c>
      <c r="B578" t="s">
        <v>19</v>
      </c>
      <c r="C578" t="s">
        <v>18</v>
      </c>
      <c r="D578" t="s">
        <v>14</v>
      </c>
      <c r="E578">
        <v>294697</v>
      </c>
      <c r="F578">
        <v>143022</v>
      </c>
      <c r="G578">
        <v>286541</v>
      </c>
      <c r="H578">
        <v>3.7</v>
      </c>
      <c r="I578">
        <v>14</v>
      </c>
      <c r="J578">
        <f t="shared" si="24"/>
        <v>151675</v>
      </c>
      <c r="K578" s="2">
        <f t="shared" si="25"/>
        <v>1.0284636404563396</v>
      </c>
      <c r="L578" s="2">
        <f t="shared" si="26"/>
        <v>0.51468118100964722</v>
      </c>
    </row>
    <row r="579" spans="1:12" x14ac:dyDescent="0.3">
      <c r="A579" s="1">
        <v>45739</v>
      </c>
      <c r="B579" t="s">
        <v>15</v>
      </c>
      <c r="C579" t="s">
        <v>16</v>
      </c>
      <c r="D579" t="s">
        <v>14</v>
      </c>
      <c r="E579">
        <v>15368</v>
      </c>
      <c r="F579">
        <v>8556</v>
      </c>
      <c r="G579">
        <v>14165</v>
      </c>
      <c r="H579">
        <v>4.3</v>
      </c>
      <c r="I579">
        <v>12</v>
      </c>
      <c r="J579">
        <f t="shared" ref="J579:J642" si="27">E579-F579</f>
        <v>6812</v>
      </c>
      <c r="K579" s="2">
        <f t="shared" ref="K579:K642" si="28">E579/G579</f>
        <v>1.0849276385457112</v>
      </c>
      <c r="L579" s="2">
        <f t="shared" ref="L579:L642" si="29">J579/E579</f>
        <v>0.44325871941697031</v>
      </c>
    </row>
    <row r="580" spans="1:12" x14ac:dyDescent="0.3">
      <c r="A580" s="1">
        <v>45866</v>
      </c>
      <c r="B580" t="s">
        <v>12</v>
      </c>
      <c r="C580" t="s">
        <v>18</v>
      </c>
      <c r="D580" t="s">
        <v>11</v>
      </c>
      <c r="E580">
        <v>99424</v>
      </c>
      <c r="F580">
        <v>49473</v>
      </c>
      <c r="G580">
        <v>100935</v>
      </c>
      <c r="H580">
        <v>4.0999999999999996</v>
      </c>
      <c r="I580">
        <v>2</v>
      </c>
      <c r="J580">
        <f t="shared" si="27"/>
        <v>49951</v>
      </c>
      <c r="K580" s="2">
        <f t="shared" si="28"/>
        <v>0.98502996978253332</v>
      </c>
      <c r="L580" s="2">
        <f t="shared" si="29"/>
        <v>0.50240384615384615</v>
      </c>
    </row>
    <row r="581" spans="1:12" x14ac:dyDescent="0.3">
      <c r="A581" s="1">
        <v>45723</v>
      </c>
      <c r="B581" t="s">
        <v>9</v>
      </c>
      <c r="C581" t="s">
        <v>13</v>
      </c>
      <c r="D581" t="s">
        <v>14</v>
      </c>
      <c r="E581">
        <v>295052</v>
      </c>
      <c r="F581">
        <v>97432</v>
      </c>
      <c r="G581">
        <v>335969</v>
      </c>
      <c r="H581">
        <v>4.2</v>
      </c>
      <c r="I581">
        <v>0</v>
      </c>
      <c r="J581">
        <f t="shared" si="27"/>
        <v>197620</v>
      </c>
      <c r="K581" s="2">
        <f t="shared" si="28"/>
        <v>0.87821197789081729</v>
      </c>
      <c r="L581" s="2">
        <f t="shared" si="29"/>
        <v>0.66978024212681153</v>
      </c>
    </row>
    <row r="582" spans="1:12" x14ac:dyDescent="0.3">
      <c r="A582" s="1">
        <v>45455</v>
      </c>
      <c r="B582" t="s">
        <v>19</v>
      </c>
      <c r="C582" t="s">
        <v>16</v>
      </c>
      <c r="D582" t="s">
        <v>17</v>
      </c>
      <c r="E582">
        <v>281487</v>
      </c>
      <c r="F582">
        <v>152726</v>
      </c>
      <c r="G582">
        <v>257585</v>
      </c>
      <c r="H582">
        <v>3.9</v>
      </c>
      <c r="I582">
        <v>13</v>
      </c>
      <c r="J582">
        <f t="shared" si="27"/>
        <v>128761</v>
      </c>
      <c r="K582" s="2">
        <f t="shared" si="28"/>
        <v>1.092792670380651</v>
      </c>
      <c r="L582" s="2">
        <f t="shared" si="29"/>
        <v>0.45743142667334546</v>
      </c>
    </row>
    <row r="583" spans="1:12" x14ac:dyDescent="0.3">
      <c r="A583" s="1">
        <v>45478</v>
      </c>
      <c r="B583" t="s">
        <v>9</v>
      </c>
      <c r="C583" t="s">
        <v>13</v>
      </c>
      <c r="D583" t="s">
        <v>17</v>
      </c>
      <c r="E583">
        <v>154771</v>
      </c>
      <c r="F583">
        <v>86358</v>
      </c>
      <c r="G583">
        <v>155619</v>
      </c>
      <c r="H583">
        <v>4.5999999999999996</v>
      </c>
      <c r="I583">
        <v>12</v>
      </c>
      <c r="J583">
        <f t="shared" si="27"/>
        <v>68413</v>
      </c>
      <c r="K583" s="2">
        <f t="shared" si="28"/>
        <v>0.9945507939261915</v>
      </c>
      <c r="L583" s="2">
        <f t="shared" si="29"/>
        <v>0.44202725316758307</v>
      </c>
    </row>
    <row r="584" spans="1:12" x14ac:dyDescent="0.3">
      <c r="A584" s="1">
        <v>45427</v>
      </c>
      <c r="B584" t="s">
        <v>9</v>
      </c>
      <c r="C584" t="s">
        <v>18</v>
      </c>
      <c r="D584" t="s">
        <v>11</v>
      </c>
      <c r="E584">
        <v>69550</v>
      </c>
      <c r="F584">
        <v>36311</v>
      </c>
      <c r="G584">
        <v>76571</v>
      </c>
      <c r="H584">
        <v>3.6</v>
      </c>
      <c r="I584">
        <v>8</v>
      </c>
      <c r="J584">
        <f t="shared" si="27"/>
        <v>33239</v>
      </c>
      <c r="K584" s="2">
        <f t="shared" si="28"/>
        <v>0.90830732261561165</v>
      </c>
      <c r="L584" s="2">
        <f t="shared" si="29"/>
        <v>0.47791516894320635</v>
      </c>
    </row>
    <row r="585" spans="1:12" x14ac:dyDescent="0.3">
      <c r="A585" s="1">
        <v>45662</v>
      </c>
      <c r="B585" t="s">
        <v>12</v>
      </c>
      <c r="C585" t="s">
        <v>16</v>
      </c>
      <c r="D585" t="s">
        <v>14</v>
      </c>
      <c r="E585">
        <v>267336</v>
      </c>
      <c r="F585">
        <v>136083</v>
      </c>
      <c r="G585">
        <v>287578</v>
      </c>
      <c r="H585">
        <v>4.3</v>
      </c>
      <c r="I585">
        <v>15</v>
      </c>
      <c r="J585">
        <f t="shared" si="27"/>
        <v>131253</v>
      </c>
      <c r="K585" s="2">
        <f t="shared" si="28"/>
        <v>0.92961214001071013</v>
      </c>
      <c r="L585" s="2">
        <f t="shared" si="29"/>
        <v>0.49096642427506959</v>
      </c>
    </row>
    <row r="586" spans="1:12" x14ac:dyDescent="0.3">
      <c r="A586" s="1">
        <v>45488</v>
      </c>
      <c r="B586" t="s">
        <v>19</v>
      </c>
      <c r="C586" t="s">
        <v>10</v>
      </c>
      <c r="D586" t="s">
        <v>11</v>
      </c>
      <c r="E586">
        <v>229707</v>
      </c>
      <c r="F586">
        <v>81467</v>
      </c>
      <c r="G586">
        <v>205342</v>
      </c>
      <c r="H586">
        <v>4.7</v>
      </c>
      <c r="I586">
        <v>1</v>
      </c>
      <c r="J586">
        <f t="shared" si="27"/>
        <v>148240</v>
      </c>
      <c r="K586" s="2">
        <f t="shared" si="28"/>
        <v>1.1186557060903273</v>
      </c>
      <c r="L586" s="2">
        <f t="shared" si="29"/>
        <v>0.64534385107985393</v>
      </c>
    </row>
    <row r="587" spans="1:12" x14ac:dyDescent="0.3">
      <c r="A587" s="1">
        <v>45925</v>
      </c>
      <c r="B587" t="s">
        <v>19</v>
      </c>
      <c r="C587" t="s">
        <v>16</v>
      </c>
      <c r="D587" t="s">
        <v>14</v>
      </c>
      <c r="E587">
        <v>103078</v>
      </c>
      <c r="F587">
        <v>55110</v>
      </c>
      <c r="G587">
        <v>113722</v>
      </c>
      <c r="H587">
        <v>4.2</v>
      </c>
      <c r="I587">
        <v>5</v>
      </c>
      <c r="J587">
        <f t="shared" si="27"/>
        <v>47968</v>
      </c>
      <c r="K587" s="2">
        <f t="shared" si="28"/>
        <v>0.90640333444716059</v>
      </c>
      <c r="L587" s="2">
        <f t="shared" si="29"/>
        <v>0.46535633209802285</v>
      </c>
    </row>
    <row r="588" spans="1:12" x14ac:dyDescent="0.3">
      <c r="A588" s="1">
        <v>45899</v>
      </c>
      <c r="B588" t="s">
        <v>19</v>
      </c>
      <c r="C588" t="s">
        <v>10</v>
      </c>
      <c r="D588" t="s">
        <v>17</v>
      </c>
      <c r="E588">
        <v>199651</v>
      </c>
      <c r="F588">
        <v>102308</v>
      </c>
      <c r="G588">
        <v>172055</v>
      </c>
      <c r="H588">
        <v>3.9</v>
      </c>
      <c r="I588">
        <v>5</v>
      </c>
      <c r="J588">
        <f t="shared" si="27"/>
        <v>97343</v>
      </c>
      <c r="K588" s="2">
        <f t="shared" si="28"/>
        <v>1.1603905727819592</v>
      </c>
      <c r="L588" s="2">
        <f t="shared" si="29"/>
        <v>0.48756580232505725</v>
      </c>
    </row>
    <row r="589" spans="1:12" x14ac:dyDescent="0.3">
      <c r="A589" s="1">
        <v>45942</v>
      </c>
      <c r="B589" t="s">
        <v>12</v>
      </c>
      <c r="C589" t="s">
        <v>10</v>
      </c>
      <c r="D589" t="s">
        <v>11</v>
      </c>
      <c r="E589">
        <v>68819</v>
      </c>
      <c r="F589">
        <v>26253</v>
      </c>
      <c r="G589">
        <v>65635</v>
      </c>
      <c r="H589">
        <v>4.5</v>
      </c>
      <c r="I589">
        <v>0</v>
      </c>
      <c r="J589">
        <f t="shared" si="27"/>
        <v>42566</v>
      </c>
      <c r="K589" s="2">
        <f t="shared" si="28"/>
        <v>1.0485107031309515</v>
      </c>
      <c r="L589" s="2">
        <f t="shared" si="29"/>
        <v>0.61852104796640461</v>
      </c>
    </row>
    <row r="590" spans="1:12" x14ac:dyDescent="0.3">
      <c r="A590" s="1">
        <v>45745</v>
      </c>
      <c r="B590" t="s">
        <v>12</v>
      </c>
      <c r="C590" t="s">
        <v>16</v>
      </c>
      <c r="D590" t="s">
        <v>14</v>
      </c>
      <c r="E590">
        <v>292579</v>
      </c>
      <c r="F590">
        <v>109720</v>
      </c>
      <c r="G590">
        <v>272033</v>
      </c>
      <c r="H590">
        <v>5</v>
      </c>
      <c r="I590">
        <v>5</v>
      </c>
      <c r="J590">
        <f t="shared" si="27"/>
        <v>182859</v>
      </c>
      <c r="K590" s="2">
        <f t="shared" si="28"/>
        <v>1.0755276014307087</v>
      </c>
      <c r="L590" s="2">
        <f t="shared" si="29"/>
        <v>0.62499017359414044</v>
      </c>
    </row>
    <row r="591" spans="1:12" x14ac:dyDescent="0.3">
      <c r="A591" s="1">
        <v>45806</v>
      </c>
      <c r="B591" t="s">
        <v>19</v>
      </c>
      <c r="C591" t="s">
        <v>13</v>
      </c>
      <c r="D591" t="s">
        <v>11</v>
      </c>
      <c r="E591">
        <v>250909</v>
      </c>
      <c r="F591">
        <v>118104</v>
      </c>
      <c r="G591">
        <v>236192</v>
      </c>
      <c r="H591">
        <v>3.8</v>
      </c>
      <c r="I591">
        <v>0</v>
      </c>
      <c r="J591">
        <f t="shared" si="27"/>
        <v>132805</v>
      </c>
      <c r="K591" s="2">
        <f t="shared" si="28"/>
        <v>1.0623094770356321</v>
      </c>
      <c r="L591" s="2">
        <f t="shared" si="29"/>
        <v>0.52929548162879769</v>
      </c>
    </row>
    <row r="592" spans="1:12" x14ac:dyDescent="0.3">
      <c r="A592" s="1">
        <v>46005</v>
      </c>
      <c r="B592" t="s">
        <v>12</v>
      </c>
      <c r="C592" t="s">
        <v>10</v>
      </c>
      <c r="D592" t="s">
        <v>11</v>
      </c>
      <c r="E592">
        <v>263985</v>
      </c>
      <c r="F592">
        <v>126430</v>
      </c>
      <c r="G592">
        <v>297004</v>
      </c>
      <c r="H592">
        <v>4.7</v>
      </c>
      <c r="I592">
        <v>14</v>
      </c>
      <c r="J592">
        <f t="shared" si="27"/>
        <v>137555</v>
      </c>
      <c r="K592" s="2">
        <f t="shared" si="28"/>
        <v>0.88882641311228128</v>
      </c>
      <c r="L592" s="2">
        <f t="shared" si="29"/>
        <v>0.52107127298899558</v>
      </c>
    </row>
    <row r="593" spans="1:12" x14ac:dyDescent="0.3">
      <c r="A593" s="1">
        <v>45528</v>
      </c>
      <c r="B593" t="s">
        <v>9</v>
      </c>
      <c r="C593" t="s">
        <v>13</v>
      </c>
      <c r="D593" t="s">
        <v>11</v>
      </c>
      <c r="E593">
        <v>357160</v>
      </c>
      <c r="F593">
        <v>124509</v>
      </c>
      <c r="G593">
        <v>312600</v>
      </c>
      <c r="H593">
        <v>4.0999999999999996</v>
      </c>
      <c r="I593">
        <v>9</v>
      </c>
      <c r="J593">
        <f t="shared" si="27"/>
        <v>232651</v>
      </c>
      <c r="K593" s="2">
        <f t="shared" si="28"/>
        <v>1.1425463851567499</v>
      </c>
      <c r="L593" s="2">
        <f t="shared" si="29"/>
        <v>0.65139153320640608</v>
      </c>
    </row>
    <row r="594" spans="1:12" x14ac:dyDescent="0.3">
      <c r="A594" s="1">
        <v>45666</v>
      </c>
      <c r="B594" t="s">
        <v>12</v>
      </c>
      <c r="C594" t="s">
        <v>10</v>
      </c>
      <c r="D594" t="s">
        <v>14</v>
      </c>
      <c r="E594">
        <v>429149</v>
      </c>
      <c r="F594">
        <v>181643</v>
      </c>
      <c r="G594">
        <v>385764</v>
      </c>
      <c r="H594">
        <v>3.9</v>
      </c>
      <c r="I594">
        <v>2</v>
      </c>
      <c r="J594">
        <f t="shared" si="27"/>
        <v>247506</v>
      </c>
      <c r="K594" s="2">
        <f t="shared" si="28"/>
        <v>1.1124651341234537</v>
      </c>
      <c r="L594" s="2">
        <f t="shared" si="29"/>
        <v>0.57673675110509404</v>
      </c>
    </row>
    <row r="595" spans="1:12" x14ac:dyDescent="0.3">
      <c r="A595" s="1">
        <v>45814</v>
      </c>
      <c r="B595" t="s">
        <v>19</v>
      </c>
      <c r="C595" t="s">
        <v>10</v>
      </c>
      <c r="D595" t="s">
        <v>17</v>
      </c>
      <c r="E595">
        <v>358844</v>
      </c>
      <c r="F595">
        <v>205029</v>
      </c>
      <c r="G595">
        <v>329936</v>
      </c>
      <c r="H595">
        <v>4.8</v>
      </c>
      <c r="I595">
        <v>6</v>
      </c>
      <c r="J595">
        <f t="shared" si="27"/>
        <v>153815</v>
      </c>
      <c r="K595" s="2">
        <f t="shared" si="28"/>
        <v>1.0876169923864023</v>
      </c>
      <c r="L595" s="2">
        <f t="shared" si="29"/>
        <v>0.42864030052056046</v>
      </c>
    </row>
    <row r="596" spans="1:12" x14ac:dyDescent="0.3">
      <c r="A596" s="1">
        <v>45412</v>
      </c>
      <c r="B596" t="s">
        <v>15</v>
      </c>
      <c r="C596" t="s">
        <v>16</v>
      </c>
      <c r="D596" t="s">
        <v>17</v>
      </c>
      <c r="E596">
        <v>555888</v>
      </c>
      <c r="F596">
        <v>270234</v>
      </c>
      <c r="G596">
        <v>477283</v>
      </c>
      <c r="H596">
        <v>4.4000000000000004</v>
      </c>
      <c r="I596">
        <v>2</v>
      </c>
      <c r="J596">
        <f t="shared" si="27"/>
        <v>285654</v>
      </c>
      <c r="K596" s="2">
        <f t="shared" si="28"/>
        <v>1.1646926456630553</v>
      </c>
      <c r="L596" s="2">
        <f t="shared" si="29"/>
        <v>0.51386970037129787</v>
      </c>
    </row>
    <row r="597" spans="1:12" x14ac:dyDescent="0.3">
      <c r="A597" s="1">
        <v>45553</v>
      </c>
      <c r="B597" t="s">
        <v>19</v>
      </c>
      <c r="C597" t="s">
        <v>13</v>
      </c>
      <c r="D597" t="s">
        <v>11</v>
      </c>
      <c r="E597">
        <v>166078</v>
      </c>
      <c r="F597">
        <v>102291</v>
      </c>
      <c r="G597">
        <v>170480</v>
      </c>
      <c r="H597">
        <v>4.0999999999999996</v>
      </c>
      <c r="I597">
        <v>14</v>
      </c>
      <c r="J597">
        <f t="shared" si="27"/>
        <v>63787</v>
      </c>
      <c r="K597" s="2">
        <f t="shared" si="28"/>
        <v>0.97417878930079771</v>
      </c>
      <c r="L597" s="2">
        <f t="shared" si="29"/>
        <v>0.38407856549332242</v>
      </c>
    </row>
    <row r="598" spans="1:12" x14ac:dyDescent="0.3">
      <c r="A598" s="1">
        <v>45933</v>
      </c>
      <c r="B598" t="s">
        <v>15</v>
      </c>
      <c r="C598" t="s">
        <v>18</v>
      </c>
      <c r="D598" t="s">
        <v>11</v>
      </c>
      <c r="E598">
        <v>389162</v>
      </c>
      <c r="F598">
        <v>133376</v>
      </c>
      <c r="G598">
        <v>374535</v>
      </c>
      <c r="H598">
        <v>4.3</v>
      </c>
      <c r="I598">
        <v>7</v>
      </c>
      <c r="J598">
        <f t="shared" si="27"/>
        <v>255786</v>
      </c>
      <c r="K598" s="2">
        <f t="shared" si="28"/>
        <v>1.0390537599957281</v>
      </c>
      <c r="L598" s="2">
        <f t="shared" si="29"/>
        <v>0.65727383454705235</v>
      </c>
    </row>
    <row r="599" spans="1:12" x14ac:dyDescent="0.3">
      <c r="A599" s="1">
        <v>45303</v>
      </c>
      <c r="B599" t="s">
        <v>19</v>
      </c>
      <c r="C599" t="s">
        <v>16</v>
      </c>
      <c r="D599" t="s">
        <v>11</v>
      </c>
      <c r="E599">
        <v>468768</v>
      </c>
      <c r="F599">
        <v>262840</v>
      </c>
      <c r="G599">
        <v>430246</v>
      </c>
      <c r="H599">
        <v>4.7</v>
      </c>
      <c r="I599">
        <v>14</v>
      </c>
      <c r="J599">
        <f t="shared" si="27"/>
        <v>205928</v>
      </c>
      <c r="K599" s="2">
        <f t="shared" si="28"/>
        <v>1.0895348242633285</v>
      </c>
      <c r="L599" s="2">
        <f t="shared" si="29"/>
        <v>0.43929619769267525</v>
      </c>
    </row>
    <row r="600" spans="1:12" x14ac:dyDescent="0.3">
      <c r="A600" s="1">
        <v>45381</v>
      </c>
      <c r="B600" t="s">
        <v>9</v>
      </c>
      <c r="C600" t="s">
        <v>13</v>
      </c>
      <c r="D600" t="s">
        <v>17</v>
      </c>
      <c r="E600">
        <v>233068</v>
      </c>
      <c r="F600">
        <v>85487</v>
      </c>
      <c r="G600">
        <v>203947</v>
      </c>
      <c r="H600">
        <v>3.8</v>
      </c>
      <c r="I600">
        <v>14</v>
      </c>
      <c r="J600">
        <f t="shared" si="27"/>
        <v>147581</v>
      </c>
      <c r="K600" s="2">
        <f t="shared" si="28"/>
        <v>1.1427870966476585</v>
      </c>
      <c r="L600" s="2">
        <f t="shared" si="29"/>
        <v>0.6332100502857535</v>
      </c>
    </row>
    <row r="601" spans="1:12" x14ac:dyDescent="0.3">
      <c r="A601" s="1">
        <v>45362</v>
      </c>
      <c r="B601" t="s">
        <v>19</v>
      </c>
      <c r="C601" t="s">
        <v>13</v>
      </c>
      <c r="D601" t="s">
        <v>14</v>
      </c>
      <c r="E601">
        <v>398388</v>
      </c>
      <c r="F601">
        <v>208627</v>
      </c>
      <c r="G601">
        <v>385787</v>
      </c>
      <c r="H601">
        <v>4.3</v>
      </c>
      <c r="I601">
        <v>12</v>
      </c>
      <c r="J601">
        <f t="shared" si="27"/>
        <v>189761</v>
      </c>
      <c r="K601" s="2">
        <f t="shared" si="28"/>
        <v>1.0326631016597241</v>
      </c>
      <c r="L601" s="2">
        <f t="shared" si="29"/>
        <v>0.47632207797423615</v>
      </c>
    </row>
    <row r="602" spans="1:12" x14ac:dyDescent="0.3">
      <c r="A602" s="1">
        <v>45752</v>
      </c>
      <c r="B602" t="s">
        <v>15</v>
      </c>
      <c r="C602" t="s">
        <v>10</v>
      </c>
      <c r="D602" t="s">
        <v>14</v>
      </c>
      <c r="E602">
        <v>134954</v>
      </c>
      <c r="F602">
        <v>78168</v>
      </c>
      <c r="G602">
        <v>125568</v>
      </c>
      <c r="H602">
        <v>4</v>
      </c>
      <c r="I602">
        <v>12</v>
      </c>
      <c r="J602">
        <f t="shared" si="27"/>
        <v>56786</v>
      </c>
      <c r="K602" s="2">
        <f t="shared" si="28"/>
        <v>1.0747483435270133</v>
      </c>
      <c r="L602" s="2">
        <f t="shared" si="29"/>
        <v>0.42078041406701544</v>
      </c>
    </row>
    <row r="603" spans="1:12" x14ac:dyDescent="0.3">
      <c r="A603" s="1">
        <v>45515</v>
      </c>
      <c r="B603" t="s">
        <v>9</v>
      </c>
      <c r="C603" t="s">
        <v>16</v>
      </c>
      <c r="D603" t="s">
        <v>14</v>
      </c>
      <c r="E603">
        <v>379589</v>
      </c>
      <c r="F603">
        <v>163431</v>
      </c>
      <c r="G603">
        <v>361087</v>
      </c>
      <c r="H603">
        <v>4.7</v>
      </c>
      <c r="I603">
        <v>3</v>
      </c>
      <c r="J603">
        <f t="shared" si="27"/>
        <v>216158</v>
      </c>
      <c r="K603" s="2">
        <f t="shared" si="28"/>
        <v>1.0512397289295932</v>
      </c>
      <c r="L603" s="2">
        <f t="shared" si="29"/>
        <v>0.56945275021141284</v>
      </c>
    </row>
    <row r="604" spans="1:12" x14ac:dyDescent="0.3">
      <c r="A604" s="1">
        <v>45718</v>
      </c>
      <c r="B604" t="s">
        <v>15</v>
      </c>
      <c r="C604" t="s">
        <v>16</v>
      </c>
      <c r="D604" t="s">
        <v>14</v>
      </c>
      <c r="E604">
        <v>401011</v>
      </c>
      <c r="F604">
        <v>205488</v>
      </c>
      <c r="G604">
        <v>355549</v>
      </c>
      <c r="H604">
        <v>3.7</v>
      </c>
      <c r="I604">
        <v>3</v>
      </c>
      <c r="J604">
        <f t="shared" si="27"/>
        <v>195523</v>
      </c>
      <c r="K604" s="2">
        <f t="shared" si="28"/>
        <v>1.1278642324967867</v>
      </c>
      <c r="L604" s="2">
        <f t="shared" si="29"/>
        <v>0.48757515379877359</v>
      </c>
    </row>
    <row r="605" spans="1:12" x14ac:dyDescent="0.3">
      <c r="A605" s="1">
        <v>45841</v>
      </c>
      <c r="B605" t="s">
        <v>15</v>
      </c>
      <c r="C605" t="s">
        <v>13</v>
      </c>
      <c r="D605" t="s">
        <v>11</v>
      </c>
      <c r="E605">
        <v>73928</v>
      </c>
      <c r="F605">
        <v>28291</v>
      </c>
      <c r="G605">
        <v>71643</v>
      </c>
      <c r="H605">
        <v>3.7</v>
      </c>
      <c r="I605">
        <v>15</v>
      </c>
      <c r="J605">
        <f t="shared" si="27"/>
        <v>45637</v>
      </c>
      <c r="K605" s="2">
        <f t="shared" si="28"/>
        <v>1.0318942534511397</v>
      </c>
      <c r="L605" s="2">
        <f t="shared" si="29"/>
        <v>0.61731684882588467</v>
      </c>
    </row>
    <row r="606" spans="1:12" x14ac:dyDescent="0.3">
      <c r="A606" s="1">
        <v>45929</v>
      </c>
      <c r="B606" t="s">
        <v>12</v>
      </c>
      <c r="C606" t="s">
        <v>10</v>
      </c>
      <c r="D606" t="s">
        <v>17</v>
      </c>
      <c r="E606">
        <v>36553</v>
      </c>
      <c r="F606">
        <v>19183</v>
      </c>
      <c r="G606">
        <v>31960</v>
      </c>
      <c r="H606">
        <v>5</v>
      </c>
      <c r="I606">
        <v>3</v>
      </c>
      <c r="J606">
        <f t="shared" si="27"/>
        <v>17370</v>
      </c>
      <c r="K606" s="2">
        <f t="shared" si="28"/>
        <v>1.1437108886107634</v>
      </c>
      <c r="L606" s="2">
        <f t="shared" si="29"/>
        <v>0.4752003939485131</v>
      </c>
    </row>
    <row r="607" spans="1:12" x14ac:dyDescent="0.3">
      <c r="A607" s="1">
        <v>45909</v>
      </c>
      <c r="B607" t="s">
        <v>12</v>
      </c>
      <c r="C607" t="s">
        <v>18</v>
      </c>
      <c r="D607" t="s">
        <v>11</v>
      </c>
      <c r="E607">
        <v>350130</v>
      </c>
      <c r="F607">
        <v>162416</v>
      </c>
      <c r="G607">
        <v>364615</v>
      </c>
      <c r="H607">
        <v>5</v>
      </c>
      <c r="I607">
        <v>8</v>
      </c>
      <c r="J607">
        <f t="shared" si="27"/>
        <v>187714</v>
      </c>
      <c r="K607" s="2">
        <f t="shared" si="28"/>
        <v>0.96027316484511061</v>
      </c>
      <c r="L607" s="2">
        <f t="shared" si="29"/>
        <v>0.53612658155542225</v>
      </c>
    </row>
    <row r="608" spans="1:12" x14ac:dyDescent="0.3">
      <c r="A608" s="1">
        <v>45579</v>
      </c>
      <c r="B608" t="s">
        <v>15</v>
      </c>
      <c r="C608" t="s">
        <v>18</v>
      </c>
      <c r="D608" t="s">
        <v>17</v>
      </c>
      <c r="E608">
        <v>372811</v>
      </c>
      <c r="F608">
        <v>139739</v>
      </c>
      <c r="G608">
        <v>339428</v>
      </c>
      <c r="H608">
        <v>4.9000000000000004</v>
      </c>
      <c r="I608">
        <v>15</v>
      </c>
      <c r="J608">
        <f t="shared" si="27"/>
        <v>233072</v>
      </c>
      <c r="K608" s="2">
        <f t="shared" si="28"/>
        <v>1.0983507547992506</v>
      </c>
      <c r="L608" s="2">
        <f t="shared" si="29"/>
        <v>0.62517468636923268</v>
      </c>
    </row>
    <row r="609" spans="1:12" x14ac:dyDescent="0.3">
      <c r="A609" s="1">
        <v>45398</v>
      </c>
      <c r="B609" t="s">
        <v>9</v>
      </c>
      <c r="C609" t="s">
        <v>10</v>
      </c>
      <c r="D609" t="s">
        <v>11</v>
      </c>
      <c r="E609">
        <v>174726</v>
      </c>
      <c r="F609">
        <v>65372</v>
      </c>
      <c r="G609">
        <v>149366</v>
      </c>
      <c r="H609">
        <v>4.7</v>
      </c>
      <c r="I609">
        <v>4</v>
      </c>
      <c r="J609">
        <f t="shared" si="27"/>
        <v>109354</v>
      </c>
      <c r="K609" s="2">
        <f t="shared" si="28"/>
        <v>1.169784288258372</v>
      </c>
      <c r="L609" s="2">
        <f t="shared" si="29"/>
        <v>0.6258599178141776</v>
      </c>
    </row>
    <row r="610" spans="1:12" x14ac:dyDescent="0.3">
      <c r="A610" s="1">
        <v>45898</v>
      </c>
      <c r="B610" t="s">
        <v>19</v>
      </c>
      <c r="C610" t="s">
        <v>10</v>
      </c>
      <c r="D610" t="s">
        <v>11</v>
      </c>
      <c r="E610">
        <v>93291</v>
      </c>
      <c r="F610">
        <v>50543</v>
      </c>
      <c r="G610">
        <v>85183</v>
      </c>
      <c r="H610">
        <v>4.5999999999999996</v>
      </c>
      <c r="I610">
        <v>15</v>
      </c>
      <c r="J610">
        <f t="shared" si="27"/>
        <v>42748</v>
      </c>
      <c r="K610" s="2">
        <f t="shared" si="28"/>
        <v>1.0951833112240705</v>
      </c>
      <c r="L610" s="2">
        <f t="shared" si="29"/>
        <v>0.45822212217684449</v>
      </c>
    </row>
    <row r="611" spans="1:12" x14ac:dyDescent="0.3">
      <c r="A611" s="1">
        <v>45677</v>
      </c>
      <c r="B611" t="s">
        <v>15</v>
      </c>
      <c r="C611" t="s">
        <v>13</v>
      </c>
      <c r="D611" t="s">
        <v>11</v>
      </c>
      <c r="E611">
        <v>442537</v>
      </c>
      <c r="F611">
        <v>176947</v>
      </c>
      <c r="G611">
        <v>488590</v>
      </c>
      <c r="H611">
        <v>4</v>
      </c>
      <c r="I611">
        <v>1</v>
      </c>
      <c r="J611">
        <f t="shared" si="27"/>
        <v>265590</v>
      </c>
      <c r="K611" s="2">
        <f t="shared" si="28"/>
        <v>0.90574305655048204</v>
      </c>
      <c r="L611" s="2">
        <f t="shared" si="29"/>
        <v>0.60015320752841006</v>
      </c>
    </row>
    <row r="612" spans="1:12" x14ac:dyDescent="0.3">
      <c r="A612" s="1">
        <v>45781</v>
      </c>
      <c r="B612" t="s">
        <v>12</v>
      </c>
      <c r="C612" t="s">
        <v>10</v>
      </c>
      <c r="D612" t="s">
        <v>17</v>
      </c>
      <c r="E612">
        <v>13009</v>
      </c>
      <c r="F612">
        <v>5141</v>
      </c>
      <c r="G612">
        <v>13303</v>
      </c>
      <c r="H612">
        <v>4.0999999999999996</v>
      </c>
      <c r="I612">
        <v>0</v>
      </c>
      <c r="J612">
        <f t="shared" si="27"/>
        <v>7868</v>
      </c>
      <c r="K612" s="2">
        <f t="shared" si="28"/>
        <v>0.97789972186724794</v>
      </c>
      <c r="L612" s="2">
        <f t="shared" si="29"/>
        <v>0.6048120531939426</v>
      </c>
    </row>
    <row r="613" spans="1:12" x14ac:dyDescent="0.3">
      <c r="A613" s="1">
        <v>45969</v>
      </c>
      <c r="B613" t="s">
        <v>9</v>
      </c>
      <c r="C613" t="s">
        <v>10</v>
      </c>
      <c r="D613" t="s">
        <v>14</v>
      </c>
      <c r="E613">
        <v>342553</v>
      </c>
      <c r="F613">
        <v>116153</v>
      </c>
      <c r="G613">
        <v>324447</v>
      </c>
      <c r="H613">
        <v>4.5</v>
      </c>
      <c r="I613">
        <v>11</v>
      </c>
      <c r="J613">
        <f t="shared" si="27"/>
        <v>226400</v>
      </c>
      <c r="K613" s="2">
        <f t="shared" si="28"/>
        <v>1.0558057248179209</v>
      </c>
      <c r="L613" s="2">
        <f t="shared" si="29"/>
        <v>0.66091962411656002</v>
      </c>
    </row>
    <row r="614" spans="1:12" x14ac:dyDescent="0.3">
      <c r="A614" s="1">
        <v>45665</v>
      </c>
      <c r="B614" t="s">
        <v>15</v>
      </c>
      <c r="C614" t="s">
        <v>18</v>
      </c>
      <c r="D614" t="s">
        <v>14</v>
      </c>
      <c r="E614">
        <v>158725</v>
      </c>
      <c r="F614">
        <v>91012</v>
      </c>
      <c r="G614">
        <v>168314</v>
      </c>
      <c r="H614">
        <v>3.7</v>
      </c>
      <c r="I614">
        <v>5</v>
      </c>
      <c r="J614">
        <f t="shared" si="27"/>
        <v>67713</v>
      </c>
      <c r="K614" s="2">
        <f t="shared" si="28"/>
        <v>0.94302910037192389</v>
      </c>
      <c r="L614" s="2">
        <f t="shared" si="29"/>
        <v>0.42660576468735234</v>
      </c>
    </row>
    <row r="615" spans="1:12" x14ac:dyDescent="0.3">
      <c r="A615" s="1">
        <v>45627</v>
      </c>
      <c r="B615" t="s">
        <v>15</v>
      </c>
      <c r="C615" t="s">
        <v>13</v>
      </c>
      <c r="D615" t="s">
        <v>17</v>
      </c>
      <c r="E615">
        <v>144201</v>
      </c>
      <c r="F615">
        <v>83071</v>
      </c>
      <c r="G615">
        <v>123775</v>
      </c>
      <c r="H615">
        <v>4.4000000000000004</v>
      </c>
      <c r="I615">
        <v>7</v>
      </c>
      <c r="J615">
        <f t="shared" si="27"/>
        <v>61130</v>
      </c>
      <c r="K615" s="2">
        <f t="shared" si="28"/>
        <v>1.1650252474247627</v>
      </c>
      <c r="L615" s="2">
        <f t="shared" si="29"/>
        <v>0.42392216420135781</v>
      </c>
    </row>
    <row r="616" spans="1:12" x14ac:dyDescent="0.3">
      <c r="A616" s="1">
        <v>45796</v>
      </c>
      <c r="B616" t="s">
        <v>15</v>
      </c>
      <c r="C616" t="s">
        <v>13</v>
      </c>
      <c r="D616" t="s">
        <v>11</v>
      </c>
      <c r="E616">
        <v>128843</v>
      </c>
      <c r="F616">
        <v>56633</v>
      </c>
      <c r="G616">
        <v>116267</v>
      </c>
      <c r="H616">
        <v>3.9</v>
      </c>
      <c r="I616">
        <v>2</v>
      </c>
      <c r="J616">
        <f t="shared" si="27"/>
        <v>72210</v>
      </c>
      <c r="K616" s="2">
        <f t="shared" si="28"/>
        <v>1.1081648275090954</v>
      </c>
      <c r="L616" s="2">
        <f t="shared" si="29"/>
        <v>0.56044953936185904</v>
      </c>
    </row>
    <row r="617" spans="1:12" x14ac:dyDescent="0.3">
      <c r="A617" s="1">
        <v>45962</v>
      </c>
      <c r="B617" t="s">
        <v>19</v>
      </c>
      <c r="C617" t="s">
        <v>16</v>
      </c>
      <c r="D617" t="s">
        <v>17</v>
      </c>
      <c r="E617">
        <v>17452</v>
      </c>
      <c r="F617">
        <v>6298</v>
      </c>
      <c r="G617">
        <v>17854</v>
      </c>
      <c r="H617">
        <v>4.3</v>
      </c>
      <c r="I617">
        <v>14</v>
      </c>
      <c r="J617">
        <f t="shared" si="27"/>
        <v>11154</v>
      </c>
      <c r="K617" s="2">
        <f t="shared" si="28"/>
        <v>0.97748403719054555</v>
      </c>
      <c r="L617" s="2">
        <f t="shared" si="29"/>
        <v>0.63912445564978226</v>
      </c>
    </row>
    <row r="618" spans="1:12" x14ac:dyDescent="0.3">
      <c r="A618" s="1">
        <v>45571</v>
      </c>
      <c r="B618" t="s">
        <v>19</v>
      </c>
      <c r="C618" t="s">
        <v>16</v>
      </c>
      <c r="D618" t="s">
        <v>17</v>
      </c>
      <c r="E618">
        <v>152157</v>
      </c>
      <c r="F618">
        <v>65081</v>
      </c>
      <c r="G618">
        <v>144897</v>
      </c>
      <c r="H618">
        <v>4.9000000000000004</v>
      </c>
      <c r="I618">
        <v>4</v>
      </c>
      <c r="J618">
        <f t="shared" si="27"/>
        <v>87076</v>
      </c>
      <c r="K618" s="2">
        <f t="shared" si="28"/>
        <v>1.0501045570301664</v>
      </c>
      <c r="L618" s="2">
        <f t="shared" si="29"/>
        <v>0.57227731882200616</v>
      </c>
    </row>
    <row r="619" spans="1:12" x14ac:dyDescent="0.3">
      <c r="A619" s="1">
        <v>45623</v>
      </c>
      <c r="B619" t="s">
        <v>15</v>
      </c>
      <c r="C619" t="s">
        <v>13</v>
      </c>
      <c r="D619" t="s">
        <v>17</v>
      </c>
      <c r="E619">
        <v>89267</v>
      </c>
      <c r="F619">
        <v>37371</v>
      </c>
      <c r="G619">
        <v>99986</v>
      </c>
      <c r="H619">
        <v>4.7</v>
      </c>
      <c r="I619">
        <v>14</v>
      </c>
      <c r="J619">
        <f t="shared" si="27"/>
        <v>51896</v>
      </c>
      <c r="K619" s="2">
        <f t="shared" si="28"/>
        <v>0.89279499129878181</v>
      </c>
      <c r="L619" s="2">
        <f t="shared" si="29"/>
        <v>0.58135705243819102</v>
      </c>
    </row>
    <row r="620" spans="1:12" x14ac:dyDescent="0.3">
      <c r="A620" s="1">
        <v>45455</v>
      </c>
      <c r="B620" t="s">
        <v>9</v>
      </c>
      <c r="C620" t="s">
        <v>16</v>
      </c>
      <c r="D620" t="s">
        <v>17</v>
      </c>
      <c r="E620">
        <v>214994</v>
      </c>
      <c r="F620">
        <v>131504</v>
      </c>
      <c r="G620">
        <v>200285</v>
      </c>
      <c r="H620">
        <v>3.8</v>
      </c>
      <c r="I620">
        <v>6</v>
      </c>
      <c r="J620">
        <f t="shared" si="27"/>
        <v>83490</v>
      </c>
      <c r="K620" s="2">
        <f t="shared" si="28"/>
        <v>1.0734403475048055</v>
      </c>
      <c r="L620" s="2">
        <f t="shared" si="29"/>
        <v>0.38833641869075414</v>
      </c>
    </row>
    <row r="621" spans="1:12" x14ac:dyDescent="0.3">
      <c r="A621" s="1">
        <v>45743</v>
      </c>
      <c r="B621" t="s">
        <v>19</v>
      </c>
      <c r="C621" t="s">
        <v>13</v>
      </c>
      <c r="D621" t="s">
        <v>11</v>
      </c>
      <c r="E621">
        <v>343261</v>
      </c>
      <c r="F621">
        <v>208403</v>
      </c>
      <c r="G621">
        <v>366820</v>
      </c>
      <c r="H621">
        <v>4</v>
      </c>
      <c r="I621">
        <v>6</v>
      </c>
      <c r="J621">
        <f t="shared" si="27"/>
        <v>134858</v>
      </c>
      <c r="K621" s="2">
        <f t="shared" si="28"/>
        <v>0.93577503952892427</v>
      </c>
      <c r="L621" s="2">
        <f t="shared" si="29"/>
        <v>0.39287306160618307</v>
      </c>
    </row>
    <row r="622" spans="1:12" x14ac:dyDescent="0.3">
      <c r="A622" s="1">
        <v>45890</v>
      </c>
      <c r="B622" t="s">
        <v>15</v>
      </c>
      <c r="C622" t="s">
        <v>10</v>
      </c>
      <c r="D622" t="s">
        <v>11</v>
      </c>
      <c r="E622">
        <v>226621</v>
      </c>
      <c r="F622">
        <v>78121</v>
      </c>
      <c r="G622">
        <v>223947</v>
      </c>
      <c r="H622">
        <v>4.2</v>
      </c>
      <c r="I622">
        <v>11</v>
      </c>
      <c r="J622">
        <f t="shared" si="27"/>
        <v>148500</v>
      </c>
      <c r="K622" s="2">
        <f t="shared" si="28"/>
        <v>1.0119403251662225</v>
      </c>
      <c r="L622" s="2">
        <f t="shared" si="29"/>
        <v>0.65527907828488974</v>
      </c>
    </row>
    <row r="623" spans="1:12" x14ac:dyDescent="0.3">
      <c r="A623" s="1">
        <v>45400</v>
      </c>
      <c r="B623" t="s">
        <v>12</v>
      </c>
      <c r="C623" t="s">
        <v>13</v>
      </c>
      <c r="D623" t="s">
        <v>11</v>
      </c>
      <c r="E623">
        <v>256375</v>
      </c>
      <c r="F623">
        <v>101538</v>
      </c>
      <c r="G623">
        <v>227011</v>
      </c>
      <c r="H623">
        <v>3.5</v>
      </c>
      <c r="I623">
        <v>15</v>
      </c>
      <c r="J623">
        <f t="shared" si="27"/>
        <v>154837</v>
      </c>
      <c r="K623" s="2">
        <f t="shared" si="28"/>
        <v>1.1293505601050169</v>
      </c>
      <c r="L623" s="2">
        <f t="shared" si="29"/>
        <v>0.60394734275962947</v>
      </c>
    </row>
    <row r="624" spans="1:12" x14ac:dyDescent="0.3">
      <c r="A624" s="1">
        <v>45578</v>
      </c>
      <c r="B624" t="s">
        <v>12</v>
      </c>
      <c r="C624" t="s">
        <v>10</v>
      </c>
      <c r="D624" t="s">
        <v>11</v>
      </c>
      <c r="E624">
        <v>113533</v>
      </c>
      <c r="F624">
        <v>66118</v>
      </c>
      <c r="G624">
        <v>124271</v>
      </c>
      <c r="H624">
        <v>4.8</v>
      </c>
      <c r="I624">
        <v>5</v>
      </c>
      <c r="J624">
        <f t="shared" si="27"/>
        <v>47415</v>
      </c>
      <c r="K624" s="2">
        <f t="shared" si="28"/>
        <v>0.91359206894609357</v>
      </c>
      <c r="L624" s="2">
        <f t="shared" si="29"/>
        <v>0.41763187795618895</v>
      </c>
    </row>
    <row r="625" spans="1:12" x14ac:dyDescent="0.3">
      <c r="A625" s="1">
        <v>46015</v>
      </c>
      <c r="B625" t="s">
        <v>12</v>
      </c>
      <c r="C625" t="s">
        <v>10</v>
      </c>
      <c r="D625" t="s">
        <v>14</v>
      </c>
      <c r="E625">
        <v>70708</v>
      </c>
      <c r="F625">
        <v>25901</v>
      </c>
      <c r="G625">
        <v>68248</v>
      </c>
      <c r="H625">
        <v>4.5</v>
      </c>
      <c r="I625">
        <v>5</v>
      </c>
      <c r="J625">
        <f t="shared" si="27"/>
        <v>44807</v>
      </c>
      <c r="K625" s="2">
        <f t="shared" si="28"/>
        <v>1.0360450123080529</v>
      </c>
      <c r="L625" s="2">
        <f t="shared" si="29"/>
        <v>0.6336906714940318</v>
      </c>
    </row>
    <row r="626" spans="1:12" x14ac:dyDescent="0.3">
      <c r="A626" s="1">
        <v>45799</v>
      </c>
      <c r="B626" t="s">
        <v>12</v>
      </c>
      <c r="C626" t="s">
        <v>10</v>
      </c>
      <c r="D626" t="s">
        <v>11</v>
      </c>
      <c r="E626">
        <v>297360</v>
      </c>
      <c r="F626">
        <v>167888</v>
      </c>
      <c r="G626">
        <v>259985</v>
      </c>
      <c r="H626">
        <v>4.7</v>
      </c>
      <c r="I626">
        <v>3</v>
      </c>
      <c r="J626">
        <f t="shared" si="27"/>
        <v>129472</v>
      </c>
      <c r="K626" s="2">
        <f t="shared" si="28"/>
        <v>1.1437582937477162</v>
      </c>
      <c r="L626" s="2">
        <f t="shared" si="29"/>
        <v>0.4354048964218456</v>
      </c>
    </row>
    <row r="627" spans="1:12" x14ac:dyDescent="0.3">
      <c r="A627" s="1">
        <v>45857</v>
      </c>
      <c r="B627" t="s">
        <v>9</v>
      </c>
      <c r="C627" t="s">
        <v>18</v>
      </c>
      <c r="D627" t="s">
        <v>14</v>
      </c>
      <c r="E627">
        <v>24389</v>
      </c>
      <c r="F627">
        <v>14590</v>
      </c>
      <c r="G627">
        <v>27252</v>
      </c>
      <c r="H627">
        <v>4.2</v>
      </c>
      <c r="I627">
        <v>9</v>
      </c>
      <c r="J627">
        <f t="shared" si="27"/>
        <v>9799</v>
      </c>
      <c r="K627" s="2">
        <f t="shared" si="28"/>
        <v>0.89494349038602672</v>
      </c>
      <c r="L627" s="2">
        <f t="shared" si="29"/>
        <v>0.40177949075402847</v>
      </c>
    </row>
    <row r="628" spans="1:12" x14ac:dyDescent="0.3">
      <c r="A628" s="1">
        <v>45349</v>
      </c>
      <c r="B628" t="s">
        <v>19</v>
      </c>
      <c r="C628" t="s">
        <v>18</v>
      </c>
      <c r="D628" t="s">
        <v>14</v>
      </c>
      <c r="E628">
        <v>104913</v>
      </c>
      <c r="F628">
        <v>38412</v>
      </c>
      <c r="G628">
        <v>107818</v>
      </c>
      <c r="H628">
        <v>4.5</v>
      </c>
      <c r="I628">
        <v>12</v>
      </c>
      <c r="J628">
        <f t="shared" si="27"/>
        <v>66501</v>
      </c>
      <c r="K628" s="2">
        <f t="shared" si="28"/>
        <v>0.97305644697545868</v>
      </c>
      <c r="L628" s="2">
        <f t="shared" si="29"/>
        <v>0.63386806210860425</v>
      </c>
    </row>
    <row r="629" spans="1:12" x14ac:dyDescent="0.3">
      <c r="A629" s="1">
        <v>45964</v>
      </c>
      <c r="B629" t="s">
        <v>12</v>
      </c>
      <c r="C629" t="s">
        <v>13</v>
      </c>
      <c r="D629" t="s">
        <v>11</v>
      </c>
      <c r="E629">
        <v>496084</v>
      </c>
      <c r="F629">
        <v>289778</v>
      </c>
      <c r="G629">
        <v>506895</v>
      </c>
      <c r="H629">
        <v>3.9</v>
      </c>
      <c r="I629">
        <v>10</v>
      </c>
      <c r="J629">
        <f t="shared" si="27"/>
        <v>206306</v>
      </c>
      <c r="K629" s="2">
        <f t="shared" si="28"/>
        <v>0.97867211158129397</v>
      </c>
      <c r="L629" s="2">
        <f t="shared" si="29"/>
        <v>0.41586908668693207</v>
      </c>
    </row>
    <row r="630" spans="1:12" x14ac:dyDescent="0.3">
      <c r="A630" s="1">
        <v>45970</v>
      </c>
      <c r="B630" t="s">
        <v>9</v>
      </c>
      <c r="C630" t="s">
        <v>18</v>
      </c>
      <c r="D630" t="s">
        <v>17</v>
      </c>
      <c r="E630">
        <v>247330</v>
      </c>
      <c r="F630">
        <v>144007</v>
      </c>
      <c r="G630">
        <v>268131</v>
      </c>
      <c r="H630">
        <v>4.5</v>
      </c>
      <c r="I630">
        <v>5</v>
      </c>
      <c r="J630">
        <f t="shared" si="27"/>
        <v>103323</v>
      </c>
      <c r="K630" s="2">
        <f t="shared" si="28"/>
        <v>0.92242224882613344</v>
      </c>
      <c r="L630" s="2">
        <f t="shared" si="29"/>
        <v>0.41775360853919863</v>
      </c>
    </row>
    <row r="631" spans="1:12" x14ac:dyDescent="0.3">
      <c r="A631" s="1">
        <v>45732</v>
      </c>
      <c r="B631" t="s">
        <v>15</v>
      </c>
      <c r="C631" t="s">
        <v>13</v>
      </c>
      <c r="D631" t="s">
        <v>11</v>
      </c>
      <c r="E631">
        <v>184004</v>
      </c>
      <c r="F631">
        <v>103249</v>
      </c>
      <c r="G631">
        <v>163333</v>
      </c>
      <c r="H631">
        <v>4.9000000000000004</v>
      </c>
      <c r="I631">
        <v>10</v>
      </c>
      <c r="J631">
        <f t="shared" si="27"/>
        <v>80755</v>
      </c>
      <c r="K631" s="2">
        <f t="shared" si="28"/>
        <v>1.1265574011375534</v>
      </c>
      <c r="L631" s="2">
        <f t="shared" si="29"/>
        <v>0.4388763287754614</v>
      </c>
    </row>
    <row r="632" spans="1:12" x14ac:dyDescent="0.3">
      <c r="A632" s="1">
        <v>45918</v>
      </c>
      <c r="B632" t="s">
        <v>15</v>
      </c>
      <c r="C632" t="s">
        <v>18</v>
      </c>
      <c r="D632" t="s">
        <v>11</v>
      </c>
      <c r="E632">
        <v>66396</v>
      </c>
      <c r="F632">
        <v>27250</v>
      </c>
      <c r="G632">
        <v>73017</v>
      </c>
      <c r="H632">
        <v>5</v>
      </c>
      <c r="I632">
        <v>3</v>
      </c>
      <c r="J632">
        <f t="shared" si="27"/>
        <v>39146</v>
      </c>
      <c r="K632" s="2">
        <f t="shared" si="28"/>
        <v>0.90932248654422942</v>
      </c>
      <c r="L632" s="2">
        <f t="shared" si="29"/>
        <v>0.5895837098620399</v>
      </c>
    </row>
    <row r="633" spans="1:12" x14ac:dyDescent="0.3">
      <c r="A633" s="1">
        <v>45498</v>
      </c>
      <c r="B633" t="s">
        <v>12</v>
      </c>
      <c r="C633" t="s">
        <v>18</v>
      </c>
      <c r="D633" t="s">
        <v>17</v>
      </c>
      <c r="E633">
        <v>348585</v>
      </c>
      <c r="F633">
        <v>129666</v>
      </c>
      <c r="G633">
        <v>300645</v>
      </c>
      <c r="H633">
        <v>4.2</v>
      </c>
      <c r="I633">
        <v>9</v>
      </c>
      <c r="J633">
        <f t="shared" si="27"/>
        <v>218919</v>
      </c>
      <c r="K633" s="2">
        <f t="shared" si="28"/>
        <v>1.159457167090755</v>
      </c>
      <c r="L633" s="2">
        <f t="shared" si="29"/>
        <v>0.62802185980463876</v>
      </c>
    </row>
    <row r="634" spans="1:12" x14ac:dyDescent="0.3">
      <c r="A634" s="1">
        <v>45739</v>
      </c>
      <c r="B634" t="s">
        <v>15</v>
      </c>
      <c r="C634" t="s">
        <v>16</v>
      </c>
      <c r="D634" t="s">
        <v>17</v>
      </c>
      <c r="E634">
        <v>493241</v>
      </c>
      <c r="F634">
        <v>178071</v>
      </c>
      <c r="G634">
        <v>505541</v>
      </c>
      <c r="H634">
        <v>4.5999999999999996</v>
      </c>
      <c r="I634">
        <v>2</v>
      </c>
      <c r="J634">
        <f t="shared" si="27"/>
        <v>315170</v>
      </c>
      <c r="K634" s="2">
        <f t="shared" si="28"/>
        <v>0.97566962916954314</v>
      </c>
      <c r="L634" s="2">
        <f t="shared" si="29"/>
        <v>0.63897770055611758</v>
      </c>
    </row>
    <row r="635" spans="1:12" x14ac:dyDescent="0.3">
      <c r="A635" s="1">
        <v>45667</v>
      </c>
      <c r="B635" t="s">
        <v>12</v>
      </c>
      <c r="C635" t="s">
        <v>18</v>
      </c>
      <c r="D635" t="s">
        <v>11</v>
      </c>
      <c r="E635">
        <v>463955</v>
      </c>
      <c r="F635">
        <v>188305</v>
      </c>
      <c r="G635">
        <v>501597</v>
      </c>
      <c r="H635">
        <v>4</v>
      </c>
      <c r="I635">
        <v>8</v>
      </c>
      <c r="J635">
        <f t="shared" si="27"/>
        <v>275650</v>
      </c>
      <c r="K635" s="2">
        <f t="shared" si="28"/>
        <v>0.92495569152128099</v>
      </c>
      <c r="L635" s="2">
        <f t="shared" si="29"/>
        <v>0.59413089631537541</v>
      </c>
    </row>
    <row r="636" spans="1:12" x14ac:dyDescent="0.3">
      <c r="A636" s="1">
        <v>45854</v>
      </c>
      <c r="B636" t="s">
        <v>19</v>
      </c>
      <c r="C636" t="s">
        <v>10</v>
      </c>
      <c r="D636" t="s">
        <v>17</v>
      </c>
      <c r="E636">
        <v>390724</v>
      </c>
      <c r="F636">
        <v>131583</v>
      </c>
      <c r="G636">
        <v>446423</v>
      </c>
      <c r="H636">
        <v>4.7</v>
      </c>
      <c r="I636">
        <v>7</v>
      </c>
      <c r="J636">
        <f t="shared" si="27"/>
        <v>259141</v>
      </c>
      <c r="K636" s="2">
        <f t="shared" si="28"/>
        <v>0.87523268290388267</v>
      </c>
      <c r="L636" s="2">
        <f t="shared" si="29"/>
        <v>0.66323287026136091</v>
      </c>
    </row>
    <row r="637" spans="1:12" x14ac:dyDescent="0.3">
      <c r="A637" s="1">
        <v>45857</v>
      </c>
      <c r="B637" t="s">
        <v>19</v>
      </c>
      <c r="C637" t="s">
        <v>13</v>
      </c>
      <c r="D637" t="s">
        <v>17</v>
      </c>
      <c r="E637">
        <v>301075</v>
      </c>
      <c r="F637">
        <v>102608</v>
      </c>
      <c r="G637">
        <v>316981</v>
      </c>
      <c r="H637">
        <v>4</v>
      </c>
      <c r="I637">
        <v>10</v>
      </c>
      <c r="J637">
        <f t="shared" si="27"/>
        <v>198467</v>
      </c>
      <c r="K637" s="2">
        <f t="shared" si="28"/>
        <v>0.94982033623466389</v>
      </c>
      <c r="L637" s="2">
        <f t="shared" si="29"/>
        <v>0.65919455285227935</v>
      </c>
    </row>
    <row r="638" spans="1:12" x14ac:dyDescent="0.3">
      <c r="A638" s="1">
        <v>45639</v>
      </c>
      <c r="B638" t="s">
        <v>15</v>
      </c>
      <c r="C638" t="s">
        <v>10</v>
      </c>
      <c r="D638" t="s">
        <v>11</v>
      </c>
      <c r="E638">
        <v>516321</v>
      </c>
      <c r="F638">
        <v>231353</v>
      </c>
      <c r="G638">
        <v>492408</v>
      </c>
      <c r="H638">
        <v>4.7</v>
      </c>
      <c r="I638">
        <v>11</v>
      </c>
      <c r="J638">
        <f t="shared" si="27"/>
        <v>284968</v>
      </c>
      <c r="K638" s="2">
        <f t="shared" si="28"/>
        <v>1.0485633864600088</v>
      </c>
      <c r="L638" s="2">
        <f t="shared" si="29"/>
        <v>0.55192022017310938</v>
      </c>
    </row>
    <row r="639" spans="1:12" x14ac:dyDescent="0.3">
      <c r="A639" s="1">
        <v>45832</v>
      </c>
      <c r="B639" t="s">
        <v>12</v>
      </c>
      <c r="C639" t="s">
        <v>10</v>
      </c>
      <c r="D639" t="s">
        <v>17</v>
      </c>
      <c r="E639">
        <v>258141</v>
      </c>
      <c r="F639">
        <v>104952</v>
      </c>
      <c r="G639">
        <v>296687</v>
      </c>
      <c r="H639">
        <v>4.2</v>
      </c>
      <c r="I639">
        <v>2</v>
      </c>
      <c r="J639">
        <f t="shared" si="27"/>
        <v>153189</v>
      </c>
      <c r="K639" s="2">
        <f t="shared" si="28"/>
        <v>0.87007856764873415</v>
      </c>
      <c r="L639" s="2">
        <f t="shared" si="29"/>
        <v>0.59343149674015361</v>
      </c>
    </row>
    <row r="640" spans="1:12" x14ac:dyDescent="0.3">
      <c r="A640" s="1">
        <v>45705</v>
      </c>
      <c r="B640" t="s">
        <v>9</v>
      </c>
      <c r="C640" t="s">
        <v>10</v>
      </c>
      <c r="D640" t="s">
        <v>14</v>
      </c>
      <c r="E640">
        <v>155486</v>
      </c>
      <c r="F640">
        <v>56133</v>
      </c>
      <c r="G640">
        <v>151512</v>
      </c>
      <c r="H640">
        <v>4.0999999999999996</v>
      </c>
      <c r="I640">
        <v>13</v>
      </c>
      <c r="J640">
        <f t="shared" si="27"/>
        <v>99353</v>
      </c>
      <c r="K640" s="2">
        <f t="shared" si="28"/>
        <v>1.0262289455620677</v>
      </c>
      <c r="L640" s="2">
        <f t="shared" si="29"/>
        <v>0.63898357408384032</v>
      </c>
    </row>
    <row r="641" spans="1:12" x14ac:dyDescent="0.3">
      <c r="A641" s="1">
        <v>45850</v>
      </c>
      <c r="B641" t="s">
        <v>19</v>
      </c>
      <c r="C641" t="s">
        <v>13</v>
      </c>
      <c r="D641" t="s">
        <v>17</v>
      </c>
      <c r="E641">
        <v>182275</v>
      </c>
      <c r="F641">
        <v>109285</v>
      </c>
      <c r="G641">
        <v>199430</v>
      </c>
      <c r="H641">
        <v>4.9000000000000004</v>
      </c>
      <c r="I641">
        <v>9</v>
      </c>
      <c r="J641">
        <f t="shared" si="27"/>
        <v>72990</v>
      </c>
      <c r="K641" s="2">
        <f t="shared" si="28"/>
        <v>0.91397984255127107</v>
      </c>
      <c r="L641" s="2">
        <f t="shared" si="29"/>
        <v>0.40043889727060761</v>
      </c>
    </row>
    <row r="642" spans="1:12" x14ac:dyDescent="0.3">
      <c r="A642" s="1">
        <v>45569</v>
      </c>
      <c r="B642" t="s">
        <v>19</v>
      </c>
      <c r="C642" t="s">
        <v>16</v>
      </c>
      <c r="D642" t="s">
        <v>14</v>
      </c>
      <c r="E642">
        <v>289720</v>
      </c>
      <c r="F642">
        <v>137551</v>
      </c>
      <c r="G642">
        <v>298568</v>
      </c>
      <c r="H642">
        <v>4.4000000000000004</v>
      </c>
      <c r="I642">
        <v>9</v>
      </c>
      <c r="J642">
        <f t="shared" si="27"/>
        <v>152169</v>
      </c>
      <c r="K642" s="2">
        <f t="shared" si="28"/>
        <v>0.97036520993542508</v>
      </c>
      <c r="L642" s="2">
        <f t="shared" si="29"/>
        <v>0.52522780615766951</v>
      </c>
    </row>
    <row r="643" spans="1:12" x14ac:dyDescent="0.3">
      <c r="A643" s="1">
        <v>45964</v>
      </c>
      <c r="B643" t="s">
        <v>19</v>
      </c>
      <c r="C643" t="s">
        <v>13</v>
      </c>
      <c r="D643" t="s">
        <v>14</v>
      </c>
      <c r="E643">
        <v>371659</v>
      </c>
      <c r="F643">
        <v>219492</v>
      </c>
      <c r="G643">
        <v>385035</v>
      </c>
      <c r="H643">
        <v>4.5</v>
      </c>
      <c r="I643">
        <v>1</v>
      </c>
      <c r="J643">
        <f t="shared" ref="J643:J706" si="30">E643-F643</f>
        <v>152167</v>
      </c>
      <c r="K643" s="2">
        <f t="shared" ref="K643:K706" si="31">E643/G643</f>
        <v>0.96526030101159632</v>
      </c>
      <c r="L643" s="2">
        <f t="shared" ref="L643:L706" si="32">J643/E643</f>
        <v>0.40942638278637139</v>
      </c>
    </row>
    <row r="644" spans="1:12" x14ac:dyDescent="0.3">
      <c r="A644" s="1">
        <v>45551</v>
      </c>
      <c r="B644" t="s">
        <v>19</v>
      </c>
      <c r="C644" t="s">
        <v>18</v>
      </c>
      <c r="D644" t="s">
        <v>17</v>
      </c>
      <c r="E644">
        <v>383192</v>
      </c>
      <c r="F644">
        <v>172783</v>
      </c>
      <c r="G644">
        <v>365428</v>
      </c>
      <c r="H644">
        <v>4.7</v>
      </c>
      <c r="I644">
        <v>12</v>
      </c>
      <c r="J644">
        <f t="shared" si="30"/>
        <v>210409</v>
      </c>
      <c r="K644" s="2">
        <f t="shared" si="31"/>
        <v>1.0486114911829416</v>
      </c>
      <c r="L644" s="2">
        <f t="shared" si="32"/>
        <v>0.54909549259901047</v>
      </c>
    </row>
    <row r="645" spans="1:12" x14ac:dyDescent="0.3">
      <c r="A645" s="1">
        <v>45926</v>
      </c>
      <c r="B645" t="s">
        <v>12</v>
      </c>
      <c r="C645" t="s">
        <v>18</v>
      </c>
      <c r="D645" t="s">
        <v>17</v>
      </c>
      <c r="E645">
        <v>202888</v>
      </c>
      <c r="F645">
        <v>111664</v>
      </c>
      <c r="G645">
        <v>225942</v>
      </c>
      <c r="H645">
        <v>4.3</v>
      </c>
      <c r="I645">
        <v>1</v>
      </c>
      <c r="J645">
        <f t="shared" si="30"/>
        <v>91224</v>
      </c>
      <c r="K645" s="2">
        <f t="shared" si="31"/>
        <v>0.89796496445990559</v>
      </c>
      <c r="L645" s="2">
        <f t="shared" si="32"/>
        <v>0.44962738062379243</v>
      </c>
    </row>
    <row r="646" spans="1:12" x14ac:dyDescent="0.3">
      <c r="A646" s="1">
        <v>45478</v>
      </c>
      <c r="B646" t="s">
        <v>12</v>
      </c>
      <c r="C646" t="s">
        <v>13</v>
      </c>
      <c r="D646" t="s">
        <v>14</v>
      </c>
      <c r="E646">
        <v>220448</v>
      </c>
      <c r="F646">
        <v>72776</v>
      </c>
      <c r="G646">
        <v>237321</v>
      </c>
      <c r="H646">
        <v>4.4000000000000004</v>
      </c>
      <c r="I646">
        <v>6</v>
      </c>
      <c r="J646">
        <f t="shared" si="30"/>
        <v>147672</v>
      </c>
      <c r="K646" s="2">
        <f t="shared" si="31"/>
        <v>0.92890220418757719</v>
      </c>
      <c r="L646" s="2">
        <f t="shared" si="32"/>
        <v>0.66987226012483669</v>
      </c>
    </row>
    <row r="647" spans="1:12" x14ac:dyDescent="0.3">
      <c r="A647" s="1">
        <v>45935</v>
      </c>
      <c r="B647" t="s">
        <v>15</v>
      </c>
      <c r="C647" t="s">
        <v>16</v>
      </c>
      <c r="D647" t="s">
        <v>17</v>
      </c>
      <c r="E647">
        <v>148442</v>
      </c>
      <c r="F647">
        <v>55428</v>
      </c>
      <c r="G647">
        <v>161065</v>
      </c>
      <c r="H647">
        <v>3.9</v>
      </c>
      <c r="I647">
        <v>11</v>
      </c>
      <c r="J647">
        <f t="shared" si="30"/>
        <v>93014</v>
      </c>
      <c r="K647" s="2">
        <f t="shared" si="31"/>
        <v>0.92162791419613199</v>
      </c>
      <c r="L647" s="2">
        <f t="shared" si="32"/>
        <v>0.62660163565567695</v>
      </c>
    </row>
    <row r="648" spans="1:12" x14ac:dyDescent="0.3">
      <c r="A648" s="1">
        <v>45746</v>
      </c>
      <c r="B648" t="s">
        <v>19</v>
      </c>
      <c r="C648" t="s">
        <v>10</v>
      </c>
      <c r="D648" t="s">
        <v>11</v>
      </c>
      <c r="E648">
        <v>59593</v>
      </c>
      <c r="F648">
        <v>19470</v>
      </c>
      <c r="G648">
        <v>53821</v>
      </c>
      <c r="H648">
        <v>4.5999999999999996</v>
      </c>
      <c r="I648">
        <v>9</v>
      </c>
      <c r="J648">
        <f t="shared" si="30"/>
        <v>40123</v>
      </c>
      <c r="K648" s="2">
        <f t="shared" si="31"/>
        <v>1.1072443841623159</v>
      </c>
      <c r="L648" s="2">
        <f t="shared" si="32"/>
        <v>0.67328377494000968</v>
      </c>
    </row>
    <row r="649" spans="1:12" x14ac:dyDescent="0.3">
      <c r="A649" s="1">
        <v>46003</v>
      </c>
      <c r="B649" t="s">
        <v>9</v>
      </c>
      <c r="C649" t="s">
        <v>16</v>
      </c>
      <c r="D649" t="s">
        <v>11</v>
      </c>
      <c r="E649">
        <v>259108</v>
      </c>
      <c r="F649">
        <v>110848</v>
      </c>
      <c r="G649">
        <v>292994</v>
      </c>
      <c r="H649">
        <v>4.5</v>
      </c>
      <c r="I649">
        <v>1</v>
      </c>
      <c r="J649">
        <f t="shared" si="30"/>
        <v>148260</v>
      </c>
      <c r="K649" s="2">
        <f t="shared" si="31"/>
        <v>0.8843457545205704</v>
      </c>
      <c r="L649" s="2">
        <f t="shared" si="32"/>
        <v>0.57219383423128578</v>
      </c>
    </row>
    <row r="650" spans="1:12" x14ac:dyDescent="0.3">
      <c r="A650" s="1">
        <v>45324</v>
      </c>
      <c r="B650" t="s">
        <v>15</v>
      </c>
      <c r="C650" t="s">
        <v>10</v>
      </c>
      <c r="D650" t="s">
        <v>17</v>
      </c>
      <c r="E650">
        <v>564744</v>
      </c>
      <c r="F650">
        <v>329901</v>
      </c>
      <c r="G650">
        <v>618008</v>
      </c>
      <c r="H650">
        <v>3.9</v>
      </c>
      <c r="I650">
        <v>5</v>
      </c>
      <c r="J650">
        <f t="shared" si="30"/>
        <v>234843</v>
      </c>
      <c r="K650" s="2">
        <f t="shared" si="31"/>
        <v>0.91381341341859657</v>
      </c>
      <c r="L650" s="2">
        <f t="shared" si="32"/>
        <v>0.41583974331732609</v>
      </c>
    </row>
    <row r="651" spans="1:12" x14ac:dyDescent="0.3">
      <c r="A651" s="1">
        <v>45993</v>
      </c>
      <c r="B651" t="s">
        <v>19</v>
      </c>
      <c r="C651" t="s">
        <v>18</v>
      </c>
      <c r="D651" t="s">
        <v>17</v>
      </c>
      <c r="E651">
        <v>195920</v>
      </c>
      <c r="F651">
        <v>97512</v>
      </c>
      <c r="G651">
        <v>169739</v>
      </c>
      <c r="H651">
        <v>4.4000000000000004</v>
      </c>
      <c r="I651">
        <v>6</v>
      </c>
      <c r="J651">
        <f t="shared" si="30"/>
        <v>98408</v>
      </c>
      <c r="K651" s="2">
        <f t="shared" si="31"/>
        <v>1.154242690247969</v>
      </c>
      <c r="L651" s="2">
        <f t="shared" si="32"/>
        <v>0.50228664761126995</v>
      </c>
    </row>
    <row r="652" spans="1:12" x14ac:dyDescent="0.3">
      <c r="A652" s="1">
        <v>45974</v>
      </c>
      <c r="B652" t="s">
        <v>15</v>
      </c>
      <c r="C652" t="s">
        <v>13</v>
      </c>
      <c r="D652" t="s">
        <v>17</v>
      </c>
      <c r="E652">
        <v>113844</v>
      </c>
      <c r="F652">
        <v>69159</v>
      </c>
      <c r="G652">
        <v>124789</v>
      </c>
      <c r="H652">
        <v>4.7</v>
      </c>
      <c r="I652">
        <v>11</v>
      </c>
      <c r="J652">
        <f t="shared" si="30"/>
        <v>44685</v>
      </c>
      <c r="K652" s="2">
        <f t="shared" si="31"/>
        <v>0.91229194880959064</v>
      </c>
      <c r="L652" s="2">
        <f t="shared" si="32"/>
        <v>0.39251080425845897</v>
      </c>
    </row>
    <row r="653" spans="1:12" x14ac:dyDescent="0.3">
      <c r="A653" s="1">
        <v>46013</v>
      </c>
      <c r="B653" t="s">
        <v>9</v>
      </c>
      <c r="C653" t="s">
        <v>10</v>
      </c>
      <c r="D653" t="s">
        <v>17</v>
      </c>
      <c r="E653">
        <v>531278</v>
      </c>
      <c r="F653">
        <v>237796</v>
      </c>
      <c r="G653">
        <v>583226</v>
      </c>
      <c r="H653">
        <v>4.4000000000000004</v>
      </c>
      <c r="I653">
        <v>7</v>
      </c>
      <c r="J653">
        <f t="shared" si="30"/>
        <v>293482</v>
      </c>
      <c r="K653" s="2">
        <f t="shared" si="31"/>
        <v>0.91092989681529968</v>
      </c>
      <c r="L653" s="2">
        <f t="shared" si="32"/>
        <v>0.55240759075286383</v>
      </c>
    </row>
    <row r="654" spans="1:12" x14ac:dyDescent="0.3">
      <c r="A654" s="1">
        <v>45316</v>
      </c>
      <c r="B654" t="s">
        <v>12</v>
      </c>
      <c r="C654" t="s">
        <v>10</v>
      </c>
      <c r="D654" t="s">
        <v>14</v>
      </c>
      <c r="E654">
        <v>347462</v>
      </c>
      <c r="F654">
        <v>115571</v>
      </c>
      <c r="G654">
        <v>351747</v>
      </c>
      <c r="H654">
        <v>4.4000000000000004</v>
      </c>
      <c r="I654">
        <v>10</v>
      </c>
      <c r="J654">
        <f t="shared" si="30"/>
        <v>231891</v>
      </c>
      <c r="K654" s="2">
        <f t="shared" si="31"/>
        <v>0.98781794869607986</v>
      </c>
      <c r="L654" s="2">
        <f t="shared" si="32"/>
        <v>0.66738521046905852</v>
      </c>
    </row>
    <row r="655" spans="1:12" x14ac:dyDescent="0.3">
      <c r="A655" s="1">
        <v>45511</v>
      </c>
      <c r="B655" t="s">
        <v>12</v>
      </c>
      <c r="C655" t="s">
        <v>18</v>
      </c>
      <c r="D655" t="s">
        <v>14</v>
      </c>
      <c r="E655">
        <v>329752</v>
      </c>
      <c r="F655">
        <v>185501</v>
      </c>
      <c r="G655">
        <v>286183</v>
      </c>
      <c r="H655">
        <v>4.4000000000000004</v>
      </c>
      <c r="I655">
        <v>9</v>
      </c>
      <c r="J655">
        <f t="shared" si="30"/>
        <v>144251</v>
      </c>
      <c r="K655" s="2">
        <f t="shared" si="31"/>
        <v>1.1522417474133684</v>
      </c>
      <c r="L655" s="2">
        <f t="shared" si="32"/>
        <v>0.43745299497804413</v>
      </c>
    </row>
    <row r="656" spans="1:12" x14ac:dyDescent="0.3">
      <c r="A656" s="1">
        <v>45845</v>
      </c>
      <c r="B656" t="s">
        <v>19</v>
      </c>
      <c r="C656" t="s">
        <v>13</v>
      </c>
      <c r="D656" t="s">
        <v>11</v>
      </c>
      <c r="E656">
        <v>388185</v>
      </c>
      <c r="F656">
        <v>163054</v>
      </c>
      <c r="G656">
        <v>339286</v>
      </c>
      <c r="H656">
        <v>4.2</v>
      </c>
      <c r="I656">
        <v>10</v>
      </c>
      <c r="J656">
        <f t="shared" si="30"/>
        <v>225131</v>
      </c>
      <c r="K656" s="2">
        <f t="shared" si="31"/>
        <v>1.1441232470541078</v>
      </c>
      <c r="L656" s="2">
        <f t="shared" si="32"/>
        <v>0.57995800971186418</v>
      </c>
    </row>
    <row r="657" spans="1:12" x14ac:dyDescent="0.3">
      <c r="A657" s="1">
        <v>45678</v>
      </c>
      <c r="B657" t="s">
        <v>12</v>
      </c>
      <c r="C657" t="s">
        <v>16</v>
      </c>
      <c r="D657" t="s">
        <v>14</v>
      </c>
      <c r="E657">
        <v>484062</v>
      </c>
      <c r="F657">
        <v>284945</v>
      </c>
      <c r="G657">
        <v>469219</v>
      </c>
      <c r="H657">
        <v>4.3</v>
      </c>
      <c r="I657">
        <v>2</v>
      </c>
      <c r="J657">
        <f t="shared" si="30"/>
        <v>199117</v>
      </c>
      <c r="K657" s="2">
        <f t="shared" si="31"/>
        <v>1.0316334163791321</v>
      </c>
      <c r="L657" s="2">
        <f t="shared" si="32"/>
        <v>0.4113460672393206</v>
      </c>
    </row>
    <row r="658" spans="1:12" x14ac:dyDescent="0.3">
      <c r="A658" s="1">
        <v>45438</v>
      </c>
      <c r="B658" t="s">
        <v>12</v>
      </c>
      <c r="C658" t="s">
        <v>13</v>
      </c>
      <c r="D658" t="s">
        <v>11</v>
      </c>
      <c r="E658">
        <v>315273</v>
      </c>
      <c r="F658">
        <v>146182</v>
      </c>
      <c r="G658">
        <v>268675</v>
      </c>
      <c r="H658">
        <v>3.5</v>
      </c>
      <c r="I658">
        <v>3</v>
      </c>
      <c r="J658">
        <f t="shared" si="30"/>
        <v>169091</v>
      </c>
      <c r="K658" s="2">
        <f t="shared" si="31"/>
        <v>1.1734363078068297</v>
      </c>
      <c r="L658" s="2">
        <f t="shared" si="32"/>
        <v>0.53633200432640915</v>
      </c>
    </row>
    <row r="659" spans="1:12" x14ac:dyDescent="0.3">
      <c r="A659" s="1">
        <v>45427</v>
      </c>
      <c r="B659" t="s">
        <v>12</v>
      </c>
      <c r="C659" t="s">
        <v>13</v>
      </c>
      <c r="D659" t="s">
        <v>14</v>
      </c>
      <c r="E659">
        <v>332754</v>
      </c>
      <c r="F659">
        <v>189485</v>
      </c>
      <c r="G659">
        <v>308606</v>
      </c>
      <c r="H659">
        <v>3.7</v>
      </c>
      <c r="I659">
        <v>15</v>
      </c>
      <c r="J659">
        <f t="shared" si="30"/>
        <v>143269</v>
      </c>
      <c r="K659" s="2">
        <f t="shared" si="31"/>
        <v>1.0782486406615555</v>
      </c>
      <c r="L659" s="2">
        <f t="shared" si="32"/>
        <v>0.4305553051202991</v>
      </c>
    </row>
    <row r="660" spans="1:12" x14ac:dyDescent="0.3">
      <c r="A660" s="1">
        <v>45618</v>
      </c>
      <c r="B660" t="s">
        <v>12</v>
      </c>
      <c r="C660" t="s">
        <v>18</v>
      </c>
      <c r="D660" t="s">
        <v>17</v>
      </c>
      <c r="E660">
        <v>325617</v>
      </c>
      <c r="F660">
        <v>112393</v>
      </c>
      <c r="G660">
        <v>328049</v>
      </c>
      <c r="H660">
        <v>4.2</v>
      </c>
      <c r="I660">
        <v>8</v>
      </c>
      <c r="J660">
        <f t="shared" si="30"/>
        <v>213224</v>
      </c>
      <c r="K660" s="2">
        <f t="shared" si="31"/>
        <v>0.99258647336221117</v>
      </c>
      <c r="L660" s="2">
        <f t="shared" si="32"/>
        <v>0.65483067530257943</v>
      </c>
    </row>
    <row r="661" spans="1:12" x14ac:dyDescent="0.3">
      <c r="A661" s="1">
        <v>45557</v>
      </c>
      <c r="B661" t="s">
        <v>12</v>
      </c>
      <c r="C661" t="s">
        <v>13</v>
      </c>
      <c r="D661" t="s">
        <v>17</v>
      </c>
      <c r="E661">
        <v>245207</v>
      </c>
      <c r="F661">
        <v>117338</v>
      </c>
      <c r="G661">
        <v>277348</v>
      </c>
      <c r="H661">
        <v>5</v>
      </c>
      <c r="I661">
        <v>7</v>
      </c>
      <c r="J661">
        <f t="shared" si="30"/>
        <v>127869</v>
      </c>
      <c r="K661" s="2">
        <f t="shared" si="31"/>
        <v>0.88411309978799202</v>
      </c>
      <c r="L661" s="2">
        <f t="shared" si="32"/>
        <v>0.52147369365474883</v>
      </c>
    </row>
    <row r="662" spans="1:12" x14ac:dyDescent="0.3">
      <c r="A662" s="1">
        <v>45991</v>
      </c>
      <c r="B662" t="s">
        <v>15</v>
      </c>
      <c r="C662" t="s">
        <v>16</v>
      </c>
      <c r="D662" t="s">
        <v>17</v>
      </c>
      <c r="E662">
        <v>264371</v>
      </c>
      <c r="F662">
        <v>109127</v>
      </c>
      <c r="G662">
        <v>282516</v>
      </c>
      <c r="H662">
        <v>3.6</v>
      </c>
      <c r="I662">
        <v>10</v>
      </c>
      <c r="J662">
        <f t="shared" si="30"/>
        <v>155244</v>
      </c>
      <c r="K662" s="2">
        <f t="shared" si="31"/>
        <v>0.93577354910872301</v>
      </c>
      <c r="L662" s="2">
        <f t="shared" si="32"/>
        <v>0.58722023217372554</v>
      </c>
    </row>
    <row r="663" spans="1:12" x14ac:dyDescent="0.3">
      <c r="A663" s="1">
        <v>45481</v>
      </c>
      <c r="B663" t="s">
        <v>19</v>
      </c>
      <c r="C663" t="s">
        <v>18</v>
      </c>
      <c r="D663" t="s">
        <v>17</v>
      </c>
      <c r="E663">
        <v>60971</v>
      </c>
      <c r="F663">
        <v>24405</v>
      </c>
      <c r="G663">
        <v>54932</v>
      </c>
      <c r="H663">
        <v>3.6</v>
      </c>
      <c r="I663">
        <v>1</v>
      </c>
      <c r="J663">
        <f t="shared" si="30"/>
        <v>36566</v>
      </c>
      <c r="K663" s="2">
        <f t="shared" si="31"/>
        <v>1.1099359207747761</v>
      </c>
      <c r="L663" s="2">
        <f t="shared" si="32"/>
        <v>0.59972773941709989</v>
      </c>
    </row>
    <row r="664" spans="1:12" x14ac:dyDescent="0.3">
      <c r="A664" s="1">
        <v>45347</v>
      </c>
      <c r="B664" t="s">
        <v>12</v>
      </c>
      <c r="C664" t="s">
        <v>13</v>
      </c>
      <c r="D664" t="s">
        <v>11</v>
      </c>
      <c r="E664">
        <v>458648</v>
      </c>
      <c r="F664">
        <v>191764</v>
      </c>
      <c r="G664">
        <v>469603</v>
      </c>
      <c r="H664">
        <v>3.5</v>
      </c>
      <c r="I664">
        <v>7</v>
      </c>
      <c r="J664">
        <f t="shared" si="30"/>
        <v>266884</v>
      </c>
      <c r="K664" s="2">
        <f t="shared" si="31"/>
        <v>0.97667178446475</v>
      </c>
      <c r="L664" s="2">
        <f t="shared" si="32"/>
        <v>0.58189286773298909</v>
      </c>
    </row>
    <row r="665" spans="1:12" x14ac:dyDescent="0.3">
      <c r="A665" s="1">
        <v>45540</v>
      </c>
      <c r="B665" t="s">
        <v>15</v>
      </c>
      <c r="C665" t="s">
        <v>13</v>
      </c>
      <c r="D665" t="s">
        <v>11</v>
      </c>
      <c r="E665">
        <v>135849</v>
      </c>
      <c r="F665">
        <v>46331</v>
      </c>
      <c r="G665">
        <v>120148</v>
      </c>
      <c r="H665">
        <v>4.2</v>
      </c>
      <c r="I665">
        <v>15</v>
      </c>
      <c r="J665">
        <f t="shared" si="30"/>
        <v>89518</v>
      </c>
      <c r="K665" s="2">
        <f t="shared" si="31"/>
        <v>1.1306804940573294</v>
      </c>
      <c r="L665" s="2">
        <f t="shared" si="32"/>
        <v>0.65895221900786904</v>
      </c>
    </row>
    <row r="666" spans="1:12" x14ac:dyDescent="0.3">
      <c r="A666" s="1">
        <v>46000</v>
      </c>
      <c r="B666" t="s">
        <v>19</v>
      </c>
      <c r="C666" t="s">
        <v>13</v>
      </c>
      <c r="D666" t="s">
        <v>17</v>
      </c>
      <c r="E666">
        <v>514369</v>
      </c>
      <c r="F666">
        <v>290960</v>
      </c>
      <c r="G666">
        <v>527901</v>
      </c>
      <c r="H666">
        <v>3.7</v>
      </c>
      <c r="I666">
        <v>14</v>
      </c>
      <c r="J666">
        <f t="shared" si="30"/>
        <v>223409</v>
      </c>
      <c r="K666" s="2">
        <f t="shared" si="31"/>
        <v>0.97436640582230383</v>
      </c>
      <c r="L666" s="2">
        <f t="shared" si="32"/>
        <v>0.43433605057847574</v>
      </c>
    </row>
    <row r="667" spans="1:12" x14ac:dyDescent="0.3">
      <c r="A667" s="1">
        <v>45466</v>
      </c>
      <c r="B667" t="s">
        <v>12</v>
      </c>
      <c r="C667" t="s">
        <v>13</v>
      </c>
      <c r="D667" t="s">
        <v>11</v>
      </c>
      <c r="E667">
        <v>180956</v>
      </c>
      <c r="F667">
        <v>74857</v>
      </c>
      <c r="G667">
        <v>188961</v>
      </c>
      <c r="H667">
        <v>4.8</v>
      </c>
      <c r="I667">
        <v>1</v>
      </c>
      <c r="J667">
        <f t="shared" si="30"/>
        <v>106099</v>
      </c>
      <c r="K667" s="2">
        <f t="shared" si="31"/>
        <v>0.9576367610247617</v>
      </c>
      <c r="L667" s="2">
        <f t="shared" si="32"/>
        <v>0.5863248524503194</v>
      </c>
    </row>
    <row r="668" spans="1:12" x14ac:dyDescent="0.3">
      <c r="A668" s="1">
        <v>45600</v>
      </c>
      <c r="B668" t="s">
        <v>15</v>
      </c>
      <c r="C668" t="s">
        <v>16</v>
      </c>
      <c r="D668" t="s">
        <v>17</v>
      </c>
      <c r="E668">
        <v>252037</v>
      </c>
      <c r="F668">
        <v>124556</v>
      </c>
      <c r="G668">
        <v>245207</v>
      </c>
      <c r="H668">
        <v>5</v>
      </c>
      <c r="I668">
        <v>7</v>
      </c>
      <c r="J668">
        <f t="shared" si="30"/>
        <v>127481</v>
      </c>
      <c r="K668" s="2">
        <f t="shared" si="31"/>
        <v>1.0278540172181054</v>
      </c>
      <c r="L668" s="2">
        <f t="shared" si="32"/>
        <v>0.50580271944198674</v>
      </c>
    </row>
    <row r="669" spans="1:12" x14ac:dyDescent="0.3">
      <c r="A669" s="1">
        <v>45954</v>
      </c>
      <c r="B669" t="s">
        <v>9</v>
      </c>
      <c r="C669" t="s">
        <v>16</v>
      </c>
      <c r="D669" t="s">
        <v>11</v>
      </c>
      <c r="E669">
        <v>380513</v>
      </c>
      <c r="F669">
        <v>153247</v>
      </c>
      <c r="G669">
        <v>371381</v>
      </c>
      <c r="H669">
        <v>4.4000000000000004</v>
      </c>
      <c r="I669">
        <v>11</v>
      </c>
      <c r="J669">
        <f t="shared" si="30"/>
        <v>227266</v>
      </c>
      <c r="K669" s="2">
        <f t="shared" si="31"/>
        <v>1.0245893031684443</v>
      </c>
      <c r="L669" s="2">
        <f t="shared" si="32"/>
        <v>0.59726211719441913</v>
      </c>
    </row>
    <row r="670" spans="1:12" x14ac:dyDescent="0.3">
      <c r="A670" s="1">
        <v>45831</v>
      </c>
      <c r="B670" t="s">
        <v>12</v>
      </c>
      <c r="C670" t="s">
        <v>13</v>
      </c>
      <c r="D670" t="s">
        <v>14</v>
      </c>
      <c r="E670">
        <v>324493</v>
      </c>
      <c r="F670">
        <v>101514</v>
      </c>
      <c r="G670">
        <v>362472</v>
      </c>
      <c r="H670">
        <v>4.5</v>
      </c>
      <c r="I670">
        <v>0</v>
      </c>
      <c r="J670">
        <f t="shared" si="30"/>
        <v>222979</v>
      </c>
      <c r="K670" s="2">
        <f t="shared" si="31"/>
        <v>0.89522225164978264</v>
      </c>
      <c r="L670" s="2">
        <f t="shared" si="32"/>
        <v>0.68716120224473254</v>
      </c>
    </row>
    <row r="671" spans="1:12" x14ac:dyDescent="0.3">
      <c r="A671" s="1">
        <v>45459</v>
      </c>
      <c r="B671" t="s">
        <v>9</v>
      </c>
      <c r="C671" t="s">
        <v>16</v>
      </c>
      <c r="D671" t="s">
        <v>14</v>
      </c>
      <c r="E671">
        <v>353677</v>
      </c>
      <c r="F671">
        <v>156125</v>
      </c>
      <c r="G671">
        <v>306904</v>
      </c>
      <c r="H671">
        <v>4.4000000000000004</v>
      </c>
      <c r="I671">
        <v>6</v>
      </c>
      <c r="J671">
        <f t="shared" si="30"/>
        <v>197552</v>
      </c>
      <c r="K671" s="2">
        <f t="shared" si="31"/>
        <v>1.1524027057320856</v>
      </c>
      <c r="L671" s="2">
        <f t="shared" si="32"/>
        <v>0.55856614933965176</v>
      </c>
    </row>
    <row r="672" spans="1:12" x14ac:dyDescent="0.3">
      <c r="A672" s="1">
        <v>45710</v>
      </c>
      <c r="B672" t="s">
        <v>9</v>
      </c>
      <c r="C672" t="s">
        <v>10</v>
      </c>
      <c r="D672" t="s">
        <v>17</v>
      </c>
      <c r="E672">
        <v>406103</v>
      </c>
      <c r="F672">
        <v>163638</v>
      </c>
      <c r="G672">
        <v>414849</v>
      </c>
      <c r="H672">
        <v>4.2</v>
      </c>
      <c r="I672">
        <v>11</v>
      </c>
      <c r="J672">
        <f t="shared" si="30"/>
        <v>242465</v>
      </c>
      <c r="K672" s="2">
        <f t="shared" si="31"/>
        <v>0.97891763027029111</v>
      </c>
      <c r="L672" s="2">
        <f t="shared" si="32"/>
        <v>0.59705296439573208</v>
      </c>
    </row>
    <row r="673" spans="1:12" x14ac:dyDescent="0.3">
      <c r="A673" s="1">
        <v>45376</v>
      </c>
      <c r="B673" t="s">
        <v>19</v>
      </c>
      <c r="C673" t="s">
        <v>10</v>
      </c>
      <c r="D673" t="s">
        <v>14</v>
      </c>
      <c r="E673">
        <v>40341</v>
      </c>
      <c r="F673">
        <v>21023</v>
      </c>
      <c r="G673">
        <v>43135</v>
      </c>
      <c r="H673">
        <v>4.5999999999999996</v>
      </c>
      <c r="I673">
        <v>6</v>
      </c>
      <c r="J673">
        <f t="shared" si="30"/>
        <v>19318</v>
      </c>
      <c r="K673" s="2">
        <f t="shared" si="31"/>
        <v>0.9352266141184653</v>
      </c>
      <c r="L673" s="2">
        <f t="shared" si="32"/>
        <v>0.47886765325599268</v>
      </c>
    </row>
    <row r="674" spans="1:12" x14ac:dyDescent="0.3">
      <c r="A674" s="1">
        <v>45643</v>
      </c>
      <c r="B674" t="s">
        <v>15</v>
      </c>
      <c r="C674" t="s">
        <v>10</v>
      </c>
      <c r="D674" t="s">
        <v>11</v>
      </c>
      <c r="E674">
        <v>16474</v>
      </c>
      <c r="F674">
        <v>6642</v>
      </c>
      <c r="G674">
        <v>14985</v>
      </c>
      <c r="H674">
        <v>4</v>
      </c>
      <c r="I674">
        <v>0</v>
      </c>
      <c r="J674">
        <f t="shared" si="30"/>
        <v>9832</v>
      </c>
      <c r="K674" s="2">
        <f t="shared" si="31"/>
        <v>1.0993660326993659</v>
      </c>
      <c r="L674" s="2">
        <f t="shared" si="32"/>
        <v>0.59681923030229456</v>
      </c>
    </row>
    <row r="675" spans="1:12" x14ac:dyDescent="0.3">
      <c r="A675" s="1">
        <v>45757</v>
      </c>
      <c r="B675" t="s">
        <v>9</v>
      </c>
      <c r="C675" t="s">
        <v>18</v>
      </c>
      <c r="D675" t="s">
        <v>11</v>
      </c>
      <c r="E675">
        <v>235959</v>
      </c>
      <c r="F675">
        <v>117401</v>
      </c>
      <c r="G675">
        <v>255794</v>
      </c>
      <c r="H675">
        <v>4.3</v>
      </c>
      <c r="I675">
        <v>2</v>
      </c>
      <c r="J675">
        <f t="shared" si="30"/>
        <v>118558</v>
      </c>
      <c r="K675" s="2">
        <f t="shared" si="31"/>
        <v>0.92245713347459279</v>
      </c>
      <c r="L675" s="2">
        <f t="shared" si="32"/>
        <v>0.50245169711687199</v>
      </c>
    </row>
    <row r="676" spans="1:12" x14ac:dyDescent="0.3">
      <c r="A676" s="1">
        <v>45937</v>
      </c>
      <c r="B676" t="s">
        <v>12</v>
      </c>
      <c r="C676" t="s">
        <v>10</v>
      </c>
      <c r="D676" t="s">
        <v>14</v>
      </c>
      <c r="E676">
        <v>44924</v>
      </c>
      <c r="F676">
        <v>16942</v>
      </c>
      <c r="G676">
        <v>48091</v>
      </c>
      <c r="H676">
        <v>4.4000000000000004</v>
      </c>
      <c r="I676">
        <v>8</v>
      </c>
      <c r="J676">
        <f t="shared" si="30"/>
        <v>27982</v>
      </c>
      <c r="K676" s="2">
        <f t="shared" si="31"/>
        <v>0.93414568214426819</v>
      </c>
      <c r="L676" s="2">
        <f t="shared" si="32"/>
        <v>0.62287418751669488</v>
      </c>
    </row>
    <row r="677" spans="1:12" x14ac:dyDescent="0.3">
      <c r="A677" s="1">
        <v>45880</v>
      </c>
      <c r="B677" t="s">
        <v>19</v>
      </c>
      <c r="C677" t="s">
        <v>18</v>
      </c>
      <c r="D677" t="s">
        <v>14</v>
      </c>
      <c r="E677">
        <v>415237</v>
      </c>
      <c r="F677">
        <v>244874</v>
      </c>
      <c r="G677">
        <v>439405</v>
      </c>
      <c r="H677">
        <v>3.8</v>
      </c>
      <c r="I677">
        <v>4</v>
      </c>
      <c r="J677">
        <f t="shared" si="30"/>
        <v>170363</v>
      </c>
      <c r="K677" s="2">
        <f t="shared" si="31"/>
        <v>0.94499835004153343</v>
      </c>
      <c r="L677" s="2">
        <f t="shared" si="32"/>
        <v>0.41027894913025575</v>
      </c>
    </row>
    <row r="678" spans="1:12" x14ac:dyDescent="0.3">
      <c r="A678" s="1">
        <v>45349</v>
      </c>
      <c r="B678" t="s">
        <v>15</v>
      </c>
      <c r="C678" t="s">
        <v>10</v>
      </c>
      <c r="D678" t="s">
        <v>17</v>
      </c>
      <c r="E678">
        <v>250970</v>
      </c>
      <c r="F678">
        <v>146216</v>
      </c>
      <c r="G678">
        <v>237318</v>
      </c>
      <c r="H678">
        <v>3.7</v>
      </c>
      <c r="I678">
        <v>5</v>
      </c>
      <c r="J678">
        <f t="shared" si="30"/>
        <v>104754</v>
      </c>
      <c r="K678" s="2">
        <f t="shared" si="31"/>
        <v>1.0575261884897058</v>
      </c>
      <c r="L678" s="2">
        <f t="shared" si="32"/>
        <v>0.4173965015738933</v>
      </c>
    </row>
    <row r="679" spans="1:12" x14ac:dyDescent="0.3">
      <c r="A679" s="1">
        <v>45794</v>
      </c>
      <c r="B679" t="s">
        <v>19</v>
      </c>
      <c r="C679" t="s">
        <v>18</v>
      </c>
      <c r="D679" t="s">
        <v>14</v>
      </c>
      <c r="E679">
        <v>497063</v>
      </c>
      <c r="F679">
        <v>206925</v>
      </c>
      <c r="G679">
        <v>504598</v>
      </c>
      <c r="H679">
        <v>4.0999999999999996</v>
      </c>
      <c r="I679">
        <v>2</v>
      </c>
      <c r="J679">
        <f t="shared" si="30"/>
        <v>290138</v>
      </c>
      <c r="K679" s="2">
        <f t="shared" si="31"/>
        <v>0.98506732091684868</v>
      </c>
      <c r="L679" s="2">
        <f t="shared" si="32"/>
        <v>0.58370468129794417</v>
      </c>
    </row>
    <row r="680" spans="1:12" x14ac:dyDescent="0.3">
      <c r="A680" s="1">
        <v>45326</v>
      </c>
      <c r="B680" t="s">
        <v>15</v>
      </c>
      <c r="C680" t="s">
        <v>10</v>
      </c>
      <c r="D680" t="s">
        <v>14</v>
      </c>
      <c r="E680">
        <v>454844</v>
      </c>
      <c r="F680">
        <v>205982</v>
      </c>
      <c r="G680">
        <v>508150</v>
      </c>
      <c r="H680">
        <v>4.4000000000000004</v>
      </c>
      <c r="I680">
        <v>13</v>
      </c>
      <c r="J680">
        <f t="shared" si="30"/>
        <v>248862</v>
      </c>
      <c r="K680" s="2">
        <f t="shared" si="31"/>
        <v>0.89509790416215684</v>
      </c>
      <c r="L680" s="2">
        <f t="shared" si="32"/>
        <v>0.54713704039187061</v>
      </c>
    </row>
    <row r="681" spans="1:12" x14ac:dyDescent="0.3">
      <c r="A681" s="1">
        <v>46014</v>
      </c>
      <c r="B681" t="s">
        <v>19</v>
      </c>
      <c r="C681" t="s">
        <v>13</v>
      </c>
      <c r="D681" t="s">
        <v>17</v>
      </c>
      <c r="E681">
        <v>411957</v>
      </c>
      <c r="F681">
        <v>183058</v>
      </c>
      <c r="G681">
        <v>372506</v>
      </c>
      <c r="H681">
        <v>3.9</v>
      </c>
      <c r="I681">
        <v>8</v>
      </c>
      <c r="J681">
        <f t="shared" si="30"/>
        <v>228899</v>
      </c>
      <c r="K681" s="2">
        <f t="shared" si="31"/>
        <v>1.1059070189473459</v>
      </c>
      <c r="L681" s="2">
        <f t="shared" si="32"/>
        <v>0.55563808844126938</v>
      </c>
    </row>
    <row r="682" spans="1:12" x14ac:dyDescent="0.3">
      <c r="A682" s="1">
        <v>45730</v>
      </c>
      <c r="B682" t="s">
        <v>15</v>
      </c>
      <c r="C682" t="s">
        <v>16</v>
      </c>
      <c r="D682" t="s">
        <v>14</v>
      </c>
      <c r="E682">
        <v>353932</v>
      </c>
      <c r="F682">
        <v>169905</v>
      </c>
      <c r="G682">
        <v>366187</v>
      </c>
      <c r="H682">
        <v>3.6</v>
      </c>
      <c r="I682">
        <v>4</v>
      </c>
      <c r="J682">
        <f t="shared" si="30"/>
        <v>184027</v>
      </c>
      <c r="K682" s="2">
        <f t="shared" si="31"/>
        <v>0.96653349245057851</v>
      </c>
      <c r="L682" s="2">
        <f t="shared" si="32"/>
        <v>0.51995015991772431</v>
      </c>
    </row>
    <row r="683" spans="1:12" x14ac:dyDescent="0.3">
      <c r="A683" s="1">
        <v>45842</v>
      </c>
      <c r="B683" t="s">
        <v>12</v>
      </c>
      <c r="C683" t="s">
        <v>16</v>
      </c>
      <c r="D683" t="s">
        <v>17</v>
      </c>
      <c r="E683">
        <v>57645</v>
      </c>
      <c r="F683">
        <v>31808</v>
      </c>
      <c r="G683">
        <v>53897</v>
      </c>
      <c r="H683">
        <v>4.0999999999999996</v>
      </c>
      <c r="I683">
        <v>8</v>
      </c>
      <c r="J683">
        <f t="shared" si="30"/>
        <v>25837</v>
      </c>
      <c r="K683" s="2">
        <f t="shared" si="31"/>
        <v>1.0695400486112399</v>
      </c>
      <c r="L683" s="2">
        <f t="shared" si="32"/>
        <v>0.44820886460230724</v>
      </c>
    </row>
    <row r="684" spans="1:12" x14ac:dyDescent="0.3">
      <c r="A684" s="1">
        <v>45620</v>
      </c>
      <c r="B684" t="s">
        <v>12</v>
      </c>
      <c r="C684" t="s">
        <v>18</v>
      </c>
      <c r="D684" t="s">
        <v>11</v>
      </c>
      <c r="E684">
        <v>338871</v>
      </c>
      <c r="F684">
        <v>177351</v>
      </c>
      <c r="G684">
        <v>317881</v>
      </c>
      <c r="H684">
        <v>3.9</v>
      </c>
      <c r="I684">
        <v>8</v>
      </c>
      <c r="J684">
        <f t="shared" si="30"/>
        <v>161520</v>
      </c>
      <c r="K684" s="2">
        <f t="shared" si="31"/>
        <v>1.0660309990216466</v>
      </c>
      <c r="L684" s="2">
        <f t="shared" si="32"/>
        <v>0.47664155386563029</v>
      </c>
    </row>
    <row r="685" spans="1:12" x14ac:dyDescent="0.3">
      <c r="A685" s="1">
        <v>45434</v>
      </c>
      <c r="B685" t="s">
        <v>12</v>
      </c>
      <c r="C685" t="s">
        <v>10</v>
      </c>
      <c r="D685" t="s">
        <v>14</v>
      </c>
      <c r="E685">
        <v>106502</v>
      </c>
      <c r="F685">
        <v>46714</v>
      </c>
      <c r="G685">
        <v>111710</v>
      </c>
      <c r="H685">
        <v>4.5</v>
      </c>
      <c r="I685">
        <v>4</v>
      </c>
      <c r="J685">
        <f t="shared" si="30"/>
        <v>59788</v>
      </c>
      <c r="K685" s="2">
        <f t="shared" si="31"/>
        <v>0.95337928565034469</v>
      </c>
      <c r="L685" s="2">
        <f t="shared" si="32"/>
        <v>0.56137912903044074</v>
      </c>
    </row>
    <row r="686" spans="1:12" x14ac:dyDescent="0.3">
      <c r="A686" s="1">
        <v>45816</v>
      </c>
      <c r="B686" t="s">
        <v>9</v>
      </c>
      <c r="C686" t="s">
        <v>16</v>
      </c>
      <c r="D686" t="s">
        <v>14</v>
      </c>
      <c r="E686">
        <v>287833</v>
      </c>
      <c r="F686">
        <v>154806</v>
      </c>
      <c r="G686">
        <v>320624</v>
      </c>
      <c r="H686">
        <v>3.6</v>
      </c>
      <c r="I686">
        <v>12</v>
      </c>
      <c r="J686">
        <f t="shared" si="30"/>
        <v>133027</v>
      </c>
      <c r="K686" s="2">
        <f t="shared" si="31"/>
        <v>0.89772755626528267</v>
      </c>
      <c r="L686" s="2">
        <f t="shared" si="32"/>
        <v>0.46216729839872428</v>
      </c>
    </row>
    <row r="687" spans="1:12" x14ac:dyDescent="0.3">
      <c r="A687" s="1">
        <v>45657</v>
      </c>
      <c r="B687" t="s">
        <v>9</v>
      </c>
      <c r="C687" t="s">
        <v>10</v>
      </c>
      <c r="D687" t="s">
        <v>17</v>
      </c>
      <c r="E687">
        <v>465566</v>
      </c>
      <c r="F687">
        <v>257832</v>
      </c>
      <c r="G687">
        <v>415023</v>
      </c>
      <c r="H687">
        <v>4.8</v>
      </c>
      <c r="I687">
        <v>10</v>
      </c>
      <c r="J687">
        <f t="shared" si="30"/>
        <v>207734</v>
      </c>
      <c r="K687" s="2">
        <f t="shared" si="31"/>
        <v>1.1217836119925884</v>
      </c>
      <c r="L687" s="2">
        <f t="shared" si="32"/>
        <v>0.44619667243742028</v>
      </c>
    </row>
    <row r="688" spans="1:12" x14ac:dyDescent="0.3">
      <c r="A688" s="1">
        <v>45667</v>
      </c>
      <c r="B688" t="s">
        <v>19</v>
      </c>
      <c r="C688" t="s">
        <v>13</v>
      </c>
      <c r="D688" t="s">
        <v>14</v>
      </c>
      <c r="E688">
        <v>236377</v>
      </c>
      <c r="F688">
        <v>93271</v>
      </c>
      <c r="G688">
        <v>254814</v>
      </c>
      <c r="H688">
        <v>4</v>
      </c>
      <c r="I688">
        <v>11</v>
      </c>
      <c r="J688">
        <f t="shared" si="30"/>
        <v>143106</v>
      </c>
      <c r="K688" s="2">
        <f t="shared" si="31"/>
        <v>0.92764526281915438</v>
      </c>
      <c r="L688" s="2">
        <f t="shared" si="32"/>
        <v>0.60541423234917102</v>
      </c>
    </row>
    <row r="689" spans="1:12" x14ac:dyDescent="0.3">
      <c r="A689" s="1">
        <v>45863</v>
      </c>
      <c r="B689" t="s">
        <v>12</v>
      </c>
      <c r="C689" t="s">
        <v>18</v>
      </c>
      <c r="D689" t="s">
        <v>11</v>
      </c>
      <c r="E689">
        <v>468580</v>
      </c>
      <c r="F689">
        <v>232517</v>
      </c>
      <c r="G689">
        <v>450860</v>
      </c>
      <c r="H689">
        <v>4.8</v>
      </c>
      <c r="I689">
        <v>6</v>
      </c>
      <c r="J689">
        <f t="shared" si="30"/>
        <v>236063</v>
      </c>
      <c r="K689" s="2">
        <f t="shared" si="31"/>
        <v>1.0393026660160583</v>
      </c>
      <c r="L689" s="2">
        <f t="shared" si="32"/>
        <v>0.50378377224806858</v>
      </c>
    </row>
    <row r="690" spans="1:12" x14ac:dyDescent="0.3">
      <c r="A690" s="1">
        <v>45380</v>
      </c>
      <c r="B690" t="s">
        <v>12</v>
      </c>
      <c r="C690" t="s">
        <v>16</v>
      </c>
      <c r="D690" t="s">
        <v>11</v>
      </c>
      <c r="E690">
        <v>448480</v>
      </c>
      <c r="F690">
        <v>189477</v>
      </c>
      <c r="G690">
        <v>479332</v>
      </c>
      <c r="H690">
        <v>4.4000000000000004</v>
      </c>
      <c r="I690">
        <v>12</v>
      </c>
      <c r="J690">
        <f t="shared" si="30"/>
        <v>259003</v>
      </c>
      <c r="K690" s="2">
        <f t="shared" si="31"/>
        <v>0.93563542596780525</v>
      </c>
      <c r="L690" s="2">
        <f t="shared" si="32"/>
        <v>0.57751293257224401</v>
      </c>
    </row>
    <row r="691" spans="1:12" x14ac:dyDescent="0.3">
      <c r="A691" s="1">
        <v>45397</v>
      </c>
      <c r="B691" t="s">
        <v>12</v>
      </c>
      <c r="C691" t="s">
        <v>16</v>
      </c>
      <c r="D691" t="s">
        <v>11</v>
      </c>
      <c r="E691">
        <v>250313</v>
      </c>
      <c r="F691">
        <v>119088</v>
      </c>
      <c r="G691">
        <v>261218</v>
      </c>
      <c r="H691">
        <v>4.5999999999999996</v>
      </c>
      <c r="I691">
        <v>2</v>
      </c>
      <c r="J691">
        <f t="shared" si="30"/>
        <v>131225</v>
      </c>
      <c r="K691" s="2">
        <f t="shared" si="31"/>
        <v>0.95825325972942144</v>
      </c>
      <c r="L691" s="2">
        <f t="shared" si="32"/>
        <v>0.5242436469540136</v>
      </c>
    </row>
    <row r="692" spans="1:12" x14ac:dyDescent="0.3">
      <c r="A692" s="1">
        <v>46017</v>
      </c>
      <c r="B692" t="s">
        <v>12</v>
      </c>
      <c r="C692" t="s">
        <v>13</v>
      </c>
      <c r="D692" t="s">
        <v>11</v>
      </c>
      <c r="E692">
        <v>484930</v>
      </c>
      <c r="F692">
        <v>170475</v>
      </c>
      <c r="G692">
        <v>530330</v>
      </c>
      <c r="H692">
        <v>4.7</v>
      </c>
      <c r="I692">
        <v>14</v>
      </c>
      <c r="J692">
        <f t="shared" si="30"/>
        <v>314455</v>
      </c>
      <c r="K692" s="2">
        <f t="shared" si="31"/>
        <v>0.91439292515980619</v>
      </c>
      <c r="L692" s="2">
        <f t="shared" si="32"/>
        <v>0.64845441610129295</v>
      </c>
    </row>
    <row r="693" spans="1:12" x14ac:dyDescent="0.3">
      <c r="A693" s="1">
        <v>45306</v>
      </c>
      <c r="B693" t="s">
        <v>19</v>
      </c>
      <c r="C693" t="s">
        <v>13</v>
      </c>
      <c r="D693" t="s">
        <v>11</v>
      </c>
      <c r="E693">
        <v>255282</v>
      </c>
      <c r="F693">
        <v>145268</v>
      </c>
      <c r="G693">
        <v>267360</v>
      </c>
      <c r="H693">
        <v>4.5</v>
      </c>
      <c r="I693">
        <v>6</v>
      </c>
      <c r="J693">
        <f t="shared" si="30"/>
        <v>110014</v>
      </c>
      <c r="K693" s="2">
        <f t="shared" si="31"/>
        <v>0.95482495511669663</v>
      </c>
      <c r="L693" s="2">
        <f t="shared" si="32"/>
        <v>0.43095087001825433</v>
      </c>
    </row>
    <row r="694" spans="1:12" x14ac:dyDescent="0.3">
      <c r="A694" s="1">
        <v>45833</v>
      </c>
      <c r="B694" t="s">
        <v>12</v>
      </c>
      <c r="C694" t="s">
        <v>10</v>
      </c>
      <c r="D694" t="s">
        <v>14</v>
      </c>
      <c r="E694">
        <v>224159</v>
      </c>
      <c r="F694">
        <v>122788</v>
      </c>
      <c r="G694">
        <v>245166</v>
      </c>
      <c r="H694">
        <v>3.6</v>
      </c>
      <c r="I694">
        <v>14</v>
      </c>
      <c r="J694">
        <f t="shared" si="30"/>
        <v>101371</v>
      </c>
      <c r="K694" s="2">
        <f t="shared" si="31"/>
        <v>0.91431519868170952</v>
      </c>
      <c r="L694" s="2">
        <f t="shared" si="32"/>
        <v>0.45222810594265678</v>
      </c>
    </row>
    <row r="695" spans="1:12" x14ac:dyDescent="0.3">
      <c r="A695" s="1">
        <v>45883</v>
      </c>
      <c r="B695" t="s">
        <v>9</v>
      </c>
      <c r="C695" t="s">
        <v>18</v>
      </c>
      <c r="D695" t="s">
        <v>17</v>
      </c>
      <c r="E695">
        <v>117792</v>
      </c>
      <c r="F695">
        <v>41243</v>
      </c>
      <c r="G695">
        <v>130913</v>
      </c>
      <c r="H695">
        <v>4.7</v>
      </c>
      <c r="I695">
        <v>14</v>
      </c>
      <c r="J695">
        <f t="shared" si="30"/>
        <v>76549</v>
      </c>
      <c r="K695" s="2">
        <f t="shared" si="31"/>
        <v>0.89977313177453733</v>
      </c>
      <c r="L695" s="2">
        <f t="shared" si="32"/>
        <v>0.64986586525400702</v>
      </c>
    </row>
    <row r="696" spans="1:12" x14ac:dyDescent="0.3">
      <c r="A696" s="1">
        <v>45839</v>
      </c>
      <c r="B696" t="s">
        <v>19</v>
      </c>
      <c r="C696" t="s">
        <v>16</v>
      </c>
      <c r="D696" t="s">
        <v>17</v>
      </c>
      <c r="E696">
        <v>344038</v>
      </c>
      <c r="F696">
        <v>139417</v>
      </c>
      <c r="G696">
        <v>326658</v>
      </c>
      <c r="H696">
        <v>4.3</v>
      </c>
      <c r="I696">
        <v>5</v>
      </c>
      <c r="J696">
        <f t="shared" si="30"/>
        <v>204621</v>
      </c>
      <c r="K696" s="2">
        <f t="shared" si="31"/>
        <v>1.0532054932069626</v>
      </c>
      <c r="L696" s="2">
        <f t="shared" si="32"/>
        <v>0.59476278783157677</v>
      </c>
    </row>
    <row r="697" spans="1:12" x14ac:dyDescent="0.3">
      <c r="A697" s="1">
        <v>45443</v>
      </c>
      <c r="B697" t="s">
        <v>12</v>
      </c>
      <c r="C697" t="s">
        <v>16</v>
      </c>
      <c r="D697" t="s">
        <v>11</v>
      </c>
      <c r="E697">
        <v>353154</v>
      </c>
      <c r="F697">
        <v>188012</v>
      </c>
      <c r="G697">
        <v>385191</v>
      </c>
      <c r="H697">
        <v>4.8</v>
      </c>
      <c r="I697">
        <v>13</v>
      </c>
      <c r="J697">
        <f t="shared" si="30"/>
        <v>165142</v>
      </c>
      <c r="K697" s="2">
        <f t="shared" si="31"/>
        <v>0.91682827480392848</v>
      </c>
      <c r="L697" s="2">
        <f t="shared" si="32"/>
        <v>0.46762035825730419</v>
      </c>
    </row>
    <row r="698" spans="1:12" x14ac:dyDescent="0.3">
      <c r="A698" s="1">
        <v>45369</v>
      </c>
      <c r="B698" t="s">
        <v>12</v>
      </c>
      <c r="C698" t="s">
        <v>16</v>
      </c>
      <c r="D698" t="s">
        <v>14</v>
      </c>
      <c r="E698">
        <v>162117</v>
      </c>
      <c r="F698">
        <v>88080</v>
      </c>
      <c r="G698">
        <v>183690</v>
      </c>
      <c r="H698">
        <v>4.8</v>
      </c>
      <c r="I698">
        <v>7</v>
      </c>
      <c r="J698">
        <f t="shared" si="30"/>
        <v>74037</v>
      </c>
      <c r="K698" s="2">
        <f t="shared" si="31"/>
        <v>0.88255756981871636</v>
      </c>
      <c r="L698" s="2">
        <f t="shared" si="32"/>
        <v>0.45668868779955218</v>
      </c>
    </row>
    <row r="699" spans="1:12" x14ac:dyDescent="0.3">
      <c r="A699" s="1">
        <v>45403</v>
      </c>
      <c r="B699" t="s">
        <v>9</v>
      </c>
      <c r="C699" t="s">
        <v>16</v>
      </c>
      <c r="D699" t="s">
        <v>11</v>
      </c>
      <c r="E699">
        <v>105558</v>
      </c>
      <c r="F699">
        <v>33781</v>
      </c>
      <c r="G699">
        <v>108656</v>
      </c>
      <c r="H699">
        <v>3.6</v>
      </c>
      <c r="I699">
        <v>8</v>
      </c>
      <c r="J699">
        <f t="shared" si="30"/>
        <v>71777</v>
      </c>
      <c r="K699" s="2">
        <f t="shared" si="31"/>
        <v>0.97148799882197023</v>
      </c>
      <c r="L699" s="2">
        <f t="shared" si="32"/>
        <v>0.67997688474582696</v>
      </c>
    </row>
    <row r="700" spans="1:12" x14ac:dyDescent="0.3">
      <c r="A700" s="1">
        <v>45999</v>
      </c>
      <c r="B700" t="s">
        <v>12</v>
      </c>
      <c r="C700" t="s">
        <v>18</v>
      </c>
      <c r="D700" t="s">
        <v>11</v>
      </c>
      <c r="E700">
        <v>193542</v>
      </c>
      <c r="F700">
        <v>117656</v>
      </c>
      <c r="G700">
        <v>206168</v>
      </c>
      <c r="H700">
        <v>4.2</v>
      </c>
      <c r="I700">
        <v>12</v>
      </c>
      <c r="J700">
        <f t="shared" si="30"/>
        <v>75886</v>
      </c>
      <c r="K700" s="2">
        <f t="shared" si="31"/>
        <v>0.9387586822397268</v>
      </c>
      <c r="L700" s="2">
        <f t="shared" si="32"/>
        <v>0.39209060565665332</v>
      </c>
    </row>
    <row r="701" spans="1:12" x14ac:dyDescent="0.3">
      <c r="A701" s="1">
        <v>45521</v>
      </c>
      <c r="B701" t="s">
        <v>12</v>
      </c>
      <c r="C701" t="s">
        <v>13</v>
      </c>
      <c r="D701" t="s">
        <v>11</v>
      </c>
      <c r="E701">
        <v>292152</v>
      </c>
      <c r="F701">
        <v>107823</v>
      </c>
      <c r="G701">
        <v>296438</v>
      </c>
      <c r="H701">
        <v>3.8</v>
      </c>
      <c r="I701">
        <v>10</v>
      </c>
      <c r="J701">
        <f t="shared" si="30"/>
        <v>184329</v>
      </c>
      <c r="K701" s="2">
        <f t="shared" si="31"/>
        <v>0.98554166469885773</v>
      </c>
      <c r="L701" s="2">
        <f t="shared" si="32"/>
        <v>0.63093526657356447</v>
      </c>
    </row>
    <row r="702" spans="1:12" x14ac:dyDescent="0.3">
      <c r="A702" s="1">
        <v>45775</v>
      </c>
      <c r="B702" t="s">
        <v>19</v>
      </c>
      <c r="C702" t="s">
        <v>10</v>
      </c>
      <c r="D702" t="s">
        <v>11</v>
      </c>
      <c r="E702">
        <v>288910</v>
      </c>
      <c r="F702">
        <v>133398</v>
      </c>
      <c r="G702">
        <v>317400</v>
      </c>
      <c r="H702">
        <v>4.7</v>
      </c>
      <c r="I702">
        <v>0</v>
      </c>
      <c r="J702">
        <f t="shared" si="30"/>
        <v>155512</v>
      </c>
      <c r="K702" s="2">
        <f t="shared" si="31"/>
        <v>0.91023944549464397</v>
      </c>
      <c r="L702" s="2">
        <f t="shared" si="32"/>
        <v>0.53827143401059152</v>
      </c>
    </row>
    <row r="703" spans="1:12" x14ac:dyDescent="0.3">
      <c r="A703" s="1">
        <v>45663</v>
      </c>
      <c r="B703" t="s">
        <v>12</v>
      </c>
      <c r="C703" t="s">
        <v>16</v>
      </c>
      <c r="D703" t="s">
        <v>11</v>
      </c>
      <c r="E703">
        <v>477059</v>
      </c>
      <c r="F703">
        <v>202605</v>
      </c>
      <c r="G703">
        <v>505256</v>
      </c>
      <c r="H703">
        <v>4</v>
      </c>
      <c r="I703">
        <v>13</v>
      </c>
      <c r="J703">
        <f t="shared" si="30"/>
        <v>274454</v>
      </c>
      <c r="K703" s="2">
        <f t="shared" si="31"/>
        <v>0.94419264689583104</v>
      </c>
      <c r="L703" s="2">
        <f t="shared" si="32"/>
        <v>0.57530410284681766</v>
      </c>
    </row>
    <row r="704" spans="1:12" x14ac:dyDescent="0.3">
      <c r="A704" s="1">
        <v>45315</v>
      </c>
      <c r="B704" t="s">
        <v>9</v>
      </c>
      <c r="C704" t="s">
        <v>18</v>
      </c>
      <c r="D704" t="s">
        <v>17</v>
      </c>
      <c r="E704">
        <v>281409</v>
      </c>
      <c r="F704">
        <v>96828</v>
      </c>
      <c r="G704">
        <v>243182</v>
      </c>
      <c r="H704">
        <v>4.9000000000000004</v>
      </c>
      <c r="I704">
        <v>5</v>
      </c>
      <c r="J704">
        <f t="shared" si="30"/>
        <v>184581</v>
      </c>
      <c r="K704" s="2">
        <f t="shared" si="31"/>
        <v>1.1571950226579271</v>
      </c>
      <c r="L704" s="2">
        <f t="shared" si="32"/>
        <v>0.65591718814963273</v>
      </c>
    </row>
    <row r="705" spans="1:12" x14ac:dyDescent="0.3">
      <c r="A705" s="1">
        <v>45562</v>
      </c>
      <c r="B705" t="s">
        <v>15</v>
      </c>
      <c r="C705" t="s">
        <v>13</v>
      </c>
      <c r="D705" t="s">
        <v>11</v>
      </c>
      <c r="E705">
        <v>230935</v>
      </c>
      <c r="F705">
        <v>79299</v>
      </c>
      <c r="G705">
        <v>216959</v>
      </c>
      <c r="H705">
        <v>4.7</v>
      </c>
      <c r="I705">
        <v>13</v>
      </c>
      <c r="J705">
        <f t="shared" si="30"/>
        <v>151636</v>
      </c>
      <c r="K705" s="2">
        <f t="shared" si="31"/>
        <v>1.0644177010402887</v>
      </c>
      <c r="L705" s="2">
        <f t="shared" si="32"/>
        <v>0.65661766297876023</v>
      </c>
    </row>
    <row r="706" spans="1:12" x14ac:dyDescent="0.3">
      <c r="A706" s="1">
        <v>45643</v>
      </c>
      <c r="B706" t="s">
        <v>19</v>
      </c>
      <c r="C706" t="s">
        <v>13</v>
      </c>
      <c r="D706" t="s">
        <v>17</v>
      </c>
      <c r="E706">
        <v>92931</v>
      </c>
      <c r="F706">
        <v>49582</v>
      </c>
      <c r="G706">
        <v>80557</v>
      </c>
      <c r="H706">
        <v>3.9</v>
      </c>
      <c r="I706">
        <v>0</v>
      </c>
      <c r="J706">
        <f t="shared" si="30"/>
        <v>43349</v>
      </c>
      <c r="K706" s="2">
        <f t="shared" si="31"/>
        <v>1.1536055215561651</v>
      </c>
      <c r="L706" s="2">
        <f t="shared" si="32"/>
        <v>0.46646436603501523</v>
      </c>
    </row>
    <row r="707" spans="1:12" x14ac:dyDescent="0.3">
      <c r="A707" s="1">
        <v>45625</v>
      </c>
      <c r="B707" t="s">
        <v>19</v>
      </c>
      <c r="C707" t="s">
        <v>10</v>
      </c>
      <c r="D707" t="s">
        <v>17</v>
      </c>
      <c r="E707">
        <v>445281</v>
      </c>
      <c r="F707">
        <v>209826</v>
      </c>
      <c r="G707">
        <v>382932</v>
      </c>
      <c r="H707">
        <v>3.7</v>
      </c>
      <c r="I707">
        <v>5</v>
      </c>
      <c r="J707">
        <f t="shared" ref="J707:J770" si="33">E707-F707</f>
        <v>235455</v>
      </c>
      <c r="K707" s="2">
        <f t="shared" ref="K707:K770" si="34">E707/G707</f>
        <v>1.1628200307104133</v>
      </c>
      <c r="L707" s="2">
        <f t="shared" ref="L707:L770" si="35">J707/E707</f>
        <v>0.52877845674978274</v>
      </c>
    </row>
    <row r="708" spans="1:12" x14ac:dyDescent="0.3">
      <c r="A708" s="1">
        <v>45841</v>
      </c>
      <c r="B708" t="s">
        <v>15</v>
      </c>
      <c r="C708" t="s">
        <v>13</v>
      </c>
      <c r="D708" t="s">
        <v>11</v>
      </c>
      <c r="E708">
        <v>417861</v>
      </c>
      <c r="F708">
        <v>170928</v>
      </c>
      <c r="G708">
        <v>429815</v>
      </c>
      <c r="H708">
        <v>4.0999999999999996</v>
      </c>
      <c r="I708">
        <v>4</v>
      </c>
      <c r="J708">
        <f t="shared" si="33"/>
        <v>246933</v>
      </c>
      <c r="K708" s="2">
        <f t="shared" si="34"/>
        <v>0.97218803438688739</v>
      </c>
      <c r="L708" s="2">
        <f t="shared" si="35"/>
        <v>0.59094531435094444</v>
      </c>
    </row>
    <row r="709" spans="1:12" x14ac:dyDescent="0.3">
      <c r="A709" s="1">
        <v>45888</v>
      </c>
      <c r="B709" t="s">
        <v>19</v>
      </c>
      <c r="C709" t="s">
        <v>10</v>
      </c>
      <c r="D709" t="s">
        <v>17</v>
      </c>
      <c r="E709">
        <v>155698</v>
      </c>
      <c r="F709">
        <v>56350</v>
      </c>
      <c r="G709">
        <v>162645</v>
      </c>
      <c r="H709">
        <v>4.0999999999999996</v>
      </c>
      <c r="I709">
        <v>4</v>
      </c>
      <c r="J709">
        <f t="shared" si="33"/>
        <v>99348</v>
      </c>
      <c r="K709" s="2">
        <f t="shared" si="34"/>
        <v>0.95728734360109435</v>
      </c>
      <c r="L709" s="2">
        <f t="shared" si="35"/>
        <v>0.63808141401944796</v>
      </c>
    </row>
    <row r="710" spans="1:12" x14ac:dyDescent="0.3">
      <c r="A710" s="1">
        <v>45564</v>
      </c>
      <c r="B710" t="s">
        <v>9</v>
      </c>
      <c r="C710" t="s">
        <v>16</v>
      </c>
      <c r="D710" t="s">
        <v>11</v>
      </c>
      <c r="E710">
        <v>178065</v>
      </c>
      <c r="F710">
        <v>80509</v>
      </c>
      <c r="G710">
        <v>168495</v>
      </c>
      <c r="H710">
        <v>4.4000000000000004</v>
      </c>
      <c r="I710">
        <v>3</v>
      </c>
      <c r="J710">
        <f t="shared" si="33"/>
        <v>97556</v>
      </c>
      <c r="K710" s="2">
        <f t="shared" si="34"/>
        <v>1.0567969375945874</v>
      </c>
      <c r="L710" s="2">
        <f t="shared" si="35"/>
        <v>0.54786735180973245</v>
      </c>
    </row>
    <row r="711" spans="1:12" x14ac:dyDescent="0.3">
      <c r="A711" s="1">
        <v>45616</v>
      </c>
      <c r="B711" t="s">
        <v>19</v>
      </c>
      <c r="C711" t="s">
        <v>13</v>
      </c>
      <c r="D711" t="s">
        <v>11</v>
      </c>
      <c r="E711">
        <v>204152</v>
      </c>
      <c r="F711">
        <v>111615</v>
      </c>
      <c r="G711">
        <v>199172</v>
      </c>
      <c r="H711">
        <v>3.8</v>
      </c>
      <c r="I711">
        <v>4</v>
      </c>
      <c r="J711">
        <f t="shared" si="33"/>
        <v>92537</v>
      </c>
      <c r="K711" s="2">
        <f t="shared" si="34"/>
        <v>1.0250035145502381</v>
      </c>
      <c r="L711" s="2">
        <f t="shared" si="35"/>
        <v>0.45327501077628435</v>
      </c>
    </row>
    <row r="712" spans="1:12" x14ac:dyDescent="0.3">
      <c r="A712" s="1">
        <v>45556</v>
      </c>
      <c r="B712" t="s">
        <v>12</v>
      </c>
      <c r="C712" t="s">
        <v>13</v>
      </c>
      <c r="D712" t="s">
        <v>17</v>
      </c>
      <c r="E712">
        <v>41551</v>
      </c>
      <c r="F712">
        <v>16093</v>
      </c>
      <c r="G712">
        <v>37410</v>
      </c>
      <c r="H712">
        <v>3.7</v>
      </c>
      <c r="I712">
        <v>5</v>
      </c>
      <c r="J712">
        <f t="shared" si="33"/>
        <v>25458</v>
      </c>
      <c r="K712" s="2">
        <f t="shared" si="34"/>
        <v>1.1106923282544774</v>
      </c>
      <c r="L712" s="2">
        <f t="shared" si="35"/>
        <v>0.61269283531082286</v>
      </c>
    </row>
    <row r="713" spans="1:12" x14ac:dyDescent="0.3">
      <c r="A713" s="1">
        <v>45900</v>
      </c>
      <c r="B713" t="s">
        <v>15</v>
      </c>
      <c r="C713" t="s">
        <v>18</v>
      </c>
      <c r="D713" t="s">
        <v>14</v>
      </c>
      <c r="E713">
        <v>137870</v>
      </c>
      <c r="F713">
        <v>71925</v>
      </c>
      <c r="G713">
        <v>127206</v>
      </c>
      <c r="H713">
        <v>3.6</v>
      </c>
      <c r="I713">
        <v>7</v>
      </c>
      <c r="J713">
        <f t="shared" si="33"/>
        <v>65945</v>
      </c>
      <c r="K713" s="2">
        <f t="shared" si="34"/>
        <v>1.0838325236230995</v>
      </c>
      <c r="L713" s="2">
        <f t="shared" si="35"/>
        <v>0.47831290345978095</v>
      </c>
    </row>
    <row r="714" spans="1:12" x14ac:dyDescent="0.3">
      <c r="A714" s="1">
        <v>45350</v>
      </c>
      <c r="B714" t="s">
        <v>9</v>
      </c>
      <c r="C714" t="s">
        <v>10</v>
      </c>
      <c r="D714" t="s">
        <v>17</v>
      </c>
      <c r="E714">
        <v>43896</v>
      </c>
      <c r="F714">
        <v>26395</v>
      </c>
      <c r="G714">
        <v>50405</v>
      </c>
      <c r="H714">
        <v>3.8</v>
      </c>
      <c r="I714">
        <v>6</v>
      </c>
      <c r="J714">
        <f t="shared" si="33"/>
        <v>17501</v>
      </c>
      <c r="K714" s="2">
        <f t="shared" si="34"/>
        <v>0.87086598551730976</v>
      </c>
      <c r="L714" s="2">
        <f t="shared" si="35"/>
        <v>0.39869236376890832</v>
      </c>
    </row>
    <row r="715" spans="1:12" x14ac:dyDescent="0.3">
      <c r="A715" s="1">
        <v>45890</v>
      </c>
      <c r="B715" t="s">
        <v>15</v>
      </c>
      <c r="C715" t="s">
        <v>16</v>
      </c>
      <c r="D715" t="s">
        <v>14</v>
      </c>
      <c r="E715">
        <v>384796</v>
      </c>
      <c r="F715">
        <v>195332</v>
      </c>
      <c r="G715">
        <v>378352</v>
      </c>
      <c r="H715">
        <v>4.5</v>
      </c>
      <c r="I715">
        <v>5</v>
      </c>
      <c r="J715">
        <f t="shared" si="33"/>
        <v>189464</v>
      </c>
      <c r="K715" s="2">
        <f t="shared" si="34"/>
        <v>1.0170317587854696</v>
      </c>
      <c r="L715" s="2">
        <f t="shared" si="35"/>
        <v>0.49237518061518309</v>
      </c>
    </row>
    <row r="716" spans="1:12" x14ac:dyDescent="0.3">
      <c r="A716" s="1">
        <v>45717</v>
      </c>
      <c r="B716" t="s">
        <v>19</v>
      </c>
      <c r="C716" t="s">
        <v>18</v>
      </c>
      <c r="D716" t="s">
        <v>17</v>
      </c>
      <c r="E716">
        <v>305830</v>
      </c>
      <c r="F716">
        <v>185647</v>
      </c>
      <c r="G716">
        <v>331340</v>
      </c>
      <c r="H716">
        <v>4.2</v>
      </c>
      <c r="I716">
        <v>5</v>
      </c>
      <c r="J716">
        <f t="shared" si="33"/>
        <v>120183</v>
      </c>
      <c r="K716" s="2">
        <f t="shared" si="34"/>
        <v>0.92300959739240662</v>
      </c>
      <c r="L716" s="2">
        <f t="shared" si="35"/>
        <v>0.39297322041657129</v>
      </c>
    </row>
    <row r="717" spans="1:12" x14ac:dyDescent="0.3">
      <c r="A717" s="1">
        <v>45362</v>
      </c>
      <c r="B717" t="s">
        <v>9</v>
      </c>
      <c r="C717" t="s">
        <v>16</v>
      </c>
      <c r="D717" t="s">
        <v>17</v>
      </c>
      <c r="E717">
        <v>230934</v>
      </c>
      <c r="F717">
        <v>122433</v>
      </c>
      <c r="G717">
        <v>250505</v>
      </c>
      <c r="H717">
        <v>4.8</v>
      </c>
      <c r="I717">
        <v>7</v>
      </c>
      <c r="J717">
        <f t="shared" si="33"/>
        <v>108501</v>
      </c>
      <c r="K717" s="2">
        <f t="shared" si="34"/>
        <v>0.92187381489391429</v>
      </c>
      <c r="L717" s="2">
        <f t="shared" si="35"/>
        <v>0.46983553742627765</v>
      </c>
    </row>
    <row r="718" spans="1:12" x14ac:dyDescent="0.3">
      <c r="A718" s="1">
        <v>45343</v>
      </c>
      <c r="B718" t="s">
        <v>15</v>
      </c>
      <c r="C718" t="s">
        <v>18</v>
      </c>
      <c r="D718" t="s">
        <v>14</v>
      </c>
      <c r="E718">
        <v>324260</v>
      </c>
      <c r="F718">
        <v>199064</v>
      </c>
      <c r="G718">
        <v>314870</v>
      </c>
      <c r="H718">
        <v>3.9</v>
      </c>
      <c r="I718">
        <v>8</v>
      </c>
      <c r="J718">
        <f t="shared" si="33"/>
        <v>125196</v>
      </c>
      <c r="K718" s="2">
        <f t="shared" si="34"/>
        <v>1.0298218312319369</v>
      </c>
      <c r="L718" s="2">
        <f t="shared" si="35"/>
        <v>0.38609757601924383</v>
      </c>
    </row>
    <row r="719" spans="1:12" x14ac:dyDescent="0.3">
      <c r="A719" s="1">
        <v>45982</v>
      </c>
      <c r="B719" t="s">
        <v>15</v>
      </c>
      <c r="C719" t="s">
        <v>13</v>
      </c>
      <c r="D719" t="s">
        <v>11</v>
      </c>
      <c r="E719">
        <v>480949</v>
      </c>
      <c r="F719">
        <v>258582</v>
      </c>
      <c r="G719">
        <v>442506</v>
      </c>
      <c r="H719">
        <v>3.6</v>
      </c>
      <c r="I719">
        <v>5</v>
      </c>
      <c r="J719">
        <f t="shared" si="33"/>
        <v>222367</v>
      </c>
      <c r="K719" s="2">
        <f t="shared" si="34"/>
        <v>1.0868756581831658</v>
      </c>
      <c r="L719" s="2">
        <f t="shared" si="35"/>
        <v>0.46235047790930017</v>
      </c>
    </row>
    <row r="720" spans="1:12" x14ac:dyDescent="0.3">
      <c r="A720" s="1">
        <v>45374</v>
      </c>
      <c r="B720" t="s">
        <v>15</v>
      </c>
      <c r="C720" t="s">
        <v>18</v>
      </c>
      <c r="D720" t="s">
        <v>14</v>
      </c>
      <c r="E720">
        <v>445126</v>
      </c>
      <c r="F720">
        <v>228322</v>
      </c>
      <c r="G720">
        <v>495323</v>
      </c>
      <c r="H720">
        <v>4.9000000000000004</v>
      </c>
      <c r="I720">
        <v>13</v>
      </c>
      <c r="J720">
        <f t="shared" si="33"/>
        <v>216804</v>
      </c>
      <c r="K720" s="2">
        <f t="shared" si="34"/>
        <v>0.8986580473751471</v>
      </c>
      <c r="L720" s="2">
        <f t="shared" si="35"/>
        <v>0.48706209028454867</v>
      </c>
    </row>
    <row r="721" spans="1:12" x14ac:dyDescent="0.3">
      <c r="A721" s="1">
        <v>45704</v>
      </c>
      <c r="B721" t="s">
        <v>12</v>
      </c>
      <c r="C721" t="s">
        <v>10</v>
      </c>
      <c r="D721" t="s">
        <v>17</v>
      </c>
      <c r="E721">
        <v>487793</v>
      </c>
      <c r="F721">
        <v>153156</v>
      </c>
      <c r="G721">
        <v>423437</v>
      </c>
      <c r="H721">
        <v>3.9</v>
      </c>
      <c r="I721">
        <v>0</v>
      </c>
      <c r="J721">
        <f t="shared" si="33"/>
        <v>334637</v>
      </c>
      <c r="K721" s="2">
        <f t="shared" si="34"/>
        <v>1.1519848289119752</v>
      </c>
      <c r="L721" s="2">
        <f t="shared" si="35"/>
        <v>0.6860225546492057</v>
      </c>
    </row>
    <row r="722" spans="1:12" x14ac:dyDescent="0.3">
      <c r="A722" s="1">
        <v>45564</v>
      </c>
      <c r="B722" t="s">
        <v>15</v>
      </c>
      <c r="C722" t="s">
        <v>16</v>
      </c>
      <c r="D722" t="s">
        <v>11</v>
      </c>
      <c r="E722">
        <v>449256</v>
      </c>
      <c r="F722">
        <v>259333</v>
      </c>
      <c r="G722">
        <v>467438</v>
      </c>
      <c r="H722">
        <v>3.7</v>
      </c>
      <c r="I722">
        <v>7</v>
      </c>
      <c r="J722">
        <f t="shared" si="33"/>
        <v>189923</v>
      </c>
      <c r="K722" s="2">
        <f t="shared" si="34"/>
        <v>0.9611028628395637</v>
      </c>
      <c r="L722" s="2">
        <f t="shared" si="35"/>
        <v>0.42275005787346193</v>
      </c>
    </row>
    <row r="723" spans="1:12" x14ac:dyDescent="0.3">
      <c r="A723" s="1">
        <v>45773</v>
      </c>
      <c r="B723" t="s">
        <v>12</v>
      </c>
      <c r="C723" t="s">
        <v>16</v>
      </c>
      <c r="D723" t="s">
        <v>14</v>
      </c>
      <c r="E723">
        <v>74384</v>
      </c>
      <c r="F723">
        <v>25781</v>
      </c>
      <c r="G723">
        <v>65874</v>
      </c>
      <c r="H723">
        <v>3.8</v>
      </c>
      <c r="I723">
        <v>3</v>
      </c>
      <c r="J723">
        <f t="shared" si="33"/>
        <v>48603</v>
      </c>
      <c r="K723" s="2">
        <f t="shared" si="34"/>
        <v>1.1291860217991925</v>
      </c>
      <c r="L723" s="2">
        <f t="shared" si="35"/>
        <v>0.65340664659066461</v>
      </c>
    </row>
    <row r="724" spans="1:12" x14ac:dyDescent="0.3">
      <c r="A724" s="1">
        <v>45510</v>
      </c>
      <c r="B724" t="s">
        <v>19</v>
      </c>
      <c r="C724" t="s">
        <v>10</v>
      </c>
      <c r="D724" t="s">
        <v>11</v>
      </c>
      <c r="E724">
        <v>272204</v>
      </c>
      <c r="F724">
        <v>164964</v>
      </c>
      <c r="G724">
        <v>273166</v>
      </c>
      <c r="H724">
        <v>4.7</v>
      </c>
      <c r="I724">
        <v>5</v>
      </c>
      <c r="J724">
        <f t="shared" si="33"/>
        <v>107240</v>
      </c>
      <c r="K724" s="2">
        <f t="shared" si="34"/>
        <v>0.99647833185681967</v>
      </c>
      <c r="L724" s="2">
        <f t="shared" si="35"/>
        <v>0.39396922896063247</v>
      </c>
    </row>
    <row r="725" spans="1:12" x14ac:dyDescent="0.3">
      <c r="A725" s="1">
        <v>45877</v>
      </c>
      <c r="B725" t="s">
        <v>9</v>
      </c>
      <c r="C725" t="s">
        <v>18</v>
      </c>
      <c r="D725" t="s">
        <v>14</v>
      </c>
      <c r="E725">
        <v>202376</v>
      </c>
      <c r="F725">
        <v>71548</v>
      </c>
      <c r="G725">
        <v>184114</v>
      </c>
      <c r="H725">
        <v>3.9</v>
      </c>
      <c r="I725">
        <v>10</v>
      </c>
      <c r="J725">
        <f t="shared" si="33"/>
        <v>130828</v>
      </c>
      <c r="K725" s="2">
        <f t="shared" si="34"/>
        <v>1.0991885462267943</v>
      </c>
      <c r="L725" s="2">
        <f t="shared" si="35"/>
        <v>0.64646005455192312</v>
      </c>
    </row>
    <row r="726" spans="1:12" x14ac:dyDescent="0.3">
      <c r="A726" s="1">
        <v>45453</v>
      </c>
      <c r="B726" t="s">
        <v>15</v>
      </c>
      <c r="C726" t="s">
        <v>10</v>
      </c>
      <c r="D726" t="s">
        <v>17</v>
      </c>
      <c r="E726">
        <v>88863</v>
      </c>
      <c r="F726">
        <v>34987</v>
      </c>
      <c r="G726">
        <v>80712</v>
      </c>
      <c r="H726">
        <v>4.2</v>
      </c>
      <c r="I726">
        <v>2</v>
      </c>
      <c r="J726">
        <f t="shared" si="33"/>
        <v>53876</v>
      </c>
      <c r="K726" s="2">
        <f t="shared" si="34"/>
        <v>1.1009887005649717</v>
      </c>
      <c r="L726" s="2">
        <f t="shared" si="35"/>
        <v>0.60628157951003225</v>
      </c>
    </row>
    <row r="727" spans="1:12" x14ac:dyDescent="0.3">
      <c r="A727" s="1">
        <v>45943</v>
      </c>
      <c r="B727" t="s">
        <v>15</v>
      </c>
      <c r="C727" t="s">
        <v>16</v>
      </c>
      <c r="D727" t="s">
        <v>14</v>
      </c>
      <c r="E727">
        <v>124003</v>
      </c>
      <c r="F727">
        <v>57523</v>
      </c>
      <c r="G727">
        <v>108655</v>
      </c>
      <c r="H727">
        <v>4.0999999999999996</v>
      </c>
      <c r="I727">
        <v>14</v>
      </c>
      <c r="J727">
        <f t="shared" si="33"/>
        <v>66480</v>
      </c>
      <c r="K727" s="2">
        <f t="shared" si="34"/>
        <v>1.1412544291565045</v>
      </c>
      <c r="L727" s="2">
        <f t="shared" si="35"/>
        <v>0.53611606170818449</v>
      </c>
    </row>
    <row r="728" spans="1:12" x14ac:dyDescent="0.3">
      <c r="A728" s="1">
        <v>45336</v>
      </c>
      <c r="B728" t="s">
        <v>19</v>
      </c>
      <c r="C728" t="s">
        <v>18</v>
      </c>
      <c r="D728" t="s">
        <v>11</v>
      </c>
      <c r="E728">
        <v>277673</v>
      </c>
      <c r="F728">
        <v>93660</v>
      </c>
      <c r="G728">
        <v>315461</v>
      </c>
      <c r="H728">
        <v>4</v>
      </c>
      <c r="I728">
        <v>12</v>
      </c>
      <c r="J728">
        <f t="shared" si="33"/>
        <v>184013</v>
      </c>
      <c r="K728" s="2">
        <f t="shared" si="34"/>
        <v>0.88021340197361952</v>
      </c>
      <c r="L728" s="2">
        <f t="shared" si="35"/>
        <v>0.66269676922135035</v>
      </c>
    </row>
    <row r="729" spans="1:12" x14ac:dyDescent="0.3">
      <c r="A729" s="1">
        <v>45839</v>
      </c>
      <c r="B729" t="s">
        <v>19</v>
      </c>
      <c r="C729" t="s">
        <v>18</v>
      </c>
      <c r="D729" t="s">
        <v>11</v>
      </c>
      <c r="E729">
        <v>120776</v>
      </c>
      <c r="F729">
        <v>68315</v>
      </c>
      <c r="G729">
        <v>130323</v>
      </c>
      <c r="H729">
        <v>3.7</v>
      </c>
      <c r="I729">
        <v>4</v>
      </c>
      <c r="J729">
        <f t="shared" si="33"/>
        <v>52461</v>
      </c>
      <c r="K729" s="2">
        <f t="shared" si="34"/>
        <v>0.92674355255787544</v>
      </c>
      <c r="L729" s="2">
        <f t="shared" si="35"/>
        <v>0.43436609922501157</v>
      </c>
    </row>
    <row r="730" spans="1:12" x14ac:dyDescent="0.3">
      <c r="A730" s="1">
        <v>45890</v>
      </c>
      <c r="B730" t="s">
        <v>15</v>
      </c>
      <c r="C730" t="s">
        <v>18</v>
      </c>
      <c r="D730" t="s">
        <v>17</v>
      </c>
      <c r="E730">
        <v>50860</v>
      </c>
      <c r="F730">
        <v>22349</v>
      </c>
      <c r="G730">
        <v>52893</v>
      </c>
      <c r="H730">
        <v>4.2</v>
      </c>
      <c r="I730">
        <v>14</v>
      </c>
      <c r="J730">
        <f t="shared" si="33"/>
        <v>28511</v>
      </c>
      <c r="K730" s="2">
        <f t="shared" si="34"/>
        <v>0.96156391204885339</v>
      </c>
      <c r="L730" s="2">
        <f t="shared" si="35"/>
        <v>0.56057805741250488</v>
      </c>
    </row>
    <row r="731" spans="1:12" x14ac:dyDescent="0.3">
      <c r="A731" s="1">
        <v>45972</v>
      </c>
      <c r="B731" t="s">
        <v>12</v>
      </c>
      <c r="C731" t="s">
        <v>18</v>
      </c>
      <c r="D731" t="s">
        <v>11</v>
      </c>
      <c r="E731">
        <v>66633</v>
      </c>
      <c r="F731">
        <v>28054</v>
      </c>
      <c r="G731">
        <v>75110</v>
      </c>
      <c r="H731">
        <v>4.7</v>
      </c>
      <c r="I731">
        <v>15</v>
      </c>
      <c r="J731">
        <f t="shared" si="33"/>
        <v>38579</v>
      </c>
      <c r="K731" s="2">
        <f t="shared" si="34"/>
        <v>0.88713886300093192</v>
      </c>
      <c r="L731" s="2">
        <f t="shared" si="35"/>
        <v>0.57897738357870721</v>
      </c>
    </row>
    <row r="732" spans="1:12" x14ac:dyDescent="0.3">
      <c r="A732" s="1">
        <v>45864</v>
      </c>
      <c r="B732" t="s">
        <v>15</v>
      </c>
      <c r="C732" t="s">
        <v>13</v>
      </c>
      <c r="D732" t="s">
        <v>17</v>
      </c>
      <c r="E732">
        <v>13174</v>
      </c>
      <c r="F732">
        <v>5784</v>
      </c>
      <c r="G732">
        <v>14416</v>
      </c>
      <c r="H732">
        <v>4.0999999999999996</v>
      </c>
      <c r="I732">
        <v>9</v>
      </c>
      <c r="J732">
        <f t="shared" si="33"/>
        <v>7390</v>
      </c>
      <c r="K732" s="2">
        <f t="shared" si="34"/>
        <v>0.9138457269700333</v>
      </c>
      <c r="L732" s="2">
        <f t="shared" si="35"/>
        <v>0.56095339304691061</v>
      </c>
    </row>
    <row r="733" spans="1:12" x14ac:dyDescent="0.3">
      <c r="A733" s="1">
        <v>45500</v>
      </c>
      <c r="B733" t="s">
        <v>19</v>
      </c>
      <c r="C733" t="s">
        <v>16</v>
      </c>
      <c r="D733" t="s">
        <v>11</v>
      </c>
      <c r="E733">
        <v>252878</v>
      </c>
      <c r="F733">
        <v>136056</v>
      </c>
      <c r="G733">
        <v>263710</v>
      </c>
      <c r="H733">
        <v>4.4000000000000004</v>
      </c>
      <c r="I733">
        <v>14</v>
      </c>
      <c r="J733">
        <f t="shared" si="33"/>
        <v>116822</v>
      </c>
      <c r="K733" s="2">
        <f t="shared" si="34"/>
        <v>0.95892457623905047</v>
      </c>
      <c r="L733" s="2">
        <f t="shared" si="35"/>
        <v>0.46196980362071827</v>
      </c>
    </row>
    <row r="734" spans="1:12" x14ac:dyDescent="0.3">
      <c r="A734" s="1">
        <v>45844</v>
      </c>
      <c r="B734" t="s">
        <v>9</v>
      </c>
      <c r="C734" t="s">
        <v>18</v>
      </c>
      <c r="D734" t="s">
        <v>17</v>
      </c>
      <c r="E734">
        <v>108970</v>
      </c>
      <c r="F734">
        <v>61107</v>
      </c>
      <c r="G734">
        <v>107957</v>
      </c>
      <c r="H734">
        <v>4.7</v>
      </c>
      <c r="I734">
        <v>11</v>
      </c>
      <c r="J734">
        <f t="shared" si="33"/>
        <v>47863</v>
      </c>
      <c r="K734" s="2">
        <f t="shared" si="34"/>
        <v>1.0093833655992663</v>
      </c>
      <c r="L734" s="2">
        <f t="shared" si="35"/>
        <v>0.43923098100394603</v>
      </c>
    </row>
    <row r="735" spans="1:12" x14ac:dyDescent="0.3">
      <c r="A735" s="1">
        <v>45421</v>
      </c>
      <c r="B735" t="s">
        <v>12</v>
      </c>
      <c r="C735" t="s">
        <v>13</v>
      </c>
      <c r="D735" t="s">
        <v>17</v>
      </c>
      <c r="E735">
        <v>82902</v>
      </c>
      <c r="F735">
        <v>43201</v>
      </c>
      <c r="G735">
        <v>87474</v>
      </c>
      <c r="H735">
        <v>3.5</v>
      </c>
      <c r="I735">
        <v>12</v>
      </c>
      <c r="J735">
        <f t="shared" si="33"/>
        <v>39701</v>
      </c>
      <c r="K735" s="2">
        <f t="shared" si="34"/>
        <v>0.94773304067494346</v>
      </c>
      <c r="L735" s="2">
        <f t="shared" si="35"/>
        <v>0.47889073846228075</v>
      </c>
    </row>
    <row r="736" spans="1:12" x14ac:dyDescent="0.3">
      <c r="A736" s="1">
        <v>45738</v>
      </c>
      <c r="B736" t="s">
        <v>15</v>
      </c>
      <c r="C736" t="s">
        <v>10</v>
      </c>
      <c r="D736" t="s">
        <v>11</v>
      </c>
      <c r="E736">
        <v>339801</v>
      </c>
      <c r="F736">
        <v>189527</v>
      </c>
      <c r="G736">
        <v>328262</v>
      </c>
      <c r="H736">
        <v>3.6</v>
      </c>
      <c r="I736">
        <v>15</v>
      </c>
      <c r="J736">
        <f t="shared" si="33"/>
        <v>150274</v>
      </c>
      <c r="K736" s="2">
        <f t="shared" si="34"/>
        <v>1.0351517994772468</v>
      </c>
      <c r="L736" s="2">
        <f t="shared" si="35"/>
        <v>0.44224119411067064</v>
      </c>
    </row>
    <row r="737" spans="1:12" x14ac:dyDescent="0.3">
      <c r="A737" s="1">
        <v>45715</v>
      </c>
      <c r="B737" t="s">
        <v>15</v>
      </c>
      <c r="C737" t="s">
        <v>13</v>
      </c>
      <c r="D737" t="s">
        <v>14</v>
      </c>
      <c r="E737">
        <v>172448</v>
      </c>
      <c r="F737">
        <v>105915</v>
      </c>
      <c r="G737">
        <v>171613</v>
      </c>
      <c r="H737">
        <v>3.7</v>
      </c>
      <c r="I737">
        <v>8</v>
      </c>
      <c r="J737">
        <f t="shared" si="33"/>
        <v>66533</v>
      </c>
      <c r="K737" s="2">
        <f t="shared" si="34"/>
        <v>1.0048655987600006</v>
      </c>
      <c r="L737" s="2">
        <f t="shared" si="35"/>
        <v>0.38581485433290036</v>
      </c>
    </row>
    <row r="738" spans="1:12" x14ac:dyDescent="0.3">
      <c r="A738" s="1">
        <v>45940</v>
      </c>
      <c r="B738" t="s">
        <v>9</v>
      </c>
      <c r="C738" t="s">
        <v>10</v>
      </c>
      <c r="D738" t="s">
        <v>14</v>
      </c>
      <c r="E738">
        <v>325508</v>
      </c>
      <c r="F738">
        <v>101639</v>
      </c>
      <c r="G738">
        <v>296778</v>
      </c>
      <c r="H738">
        <v>4.5999999999999996</v>
      </c>
      <c r="I738">
        <v>1</v>
      </c>
      <c r="J738">
        <f t="shared" si="33"/>
        <v>223869</v>
      </c>
      <c r="K738" s="2">
        <f t="shared" si="34"/>
        <v>1.0968063670487704</v>
      </c>
      <c r="L738" s="2">
        <f t="shared" si="35"/>
        <v>0.68775268196173367</v>
      </c>
    </row>
    <row r="739" spans="1:12" x14ac:dyDescent="0.3">
      <c r="A739" s="1">
        <v>45952</v>
      </c>
      <c r="B739" t="s">
        <v>15</v>
      </c>
      <c r="C739" t="s">
        <v>18</v>
      </c>
      <c r="D739" t="s">
        <v>14</v>
      </c>
      <c r="E739">
        <v>173991</v>
      </c>
      <c r="F739">
        <v>94192</v>
      </c>
      <c r="G739">
        <v>156569</v>
      </c>
      <c r="H739">
        <v>4.9000000000000004</v>
      </c>
      <c r="I739">
        <v>0</v>
      </c>
      <c r="J739">
        <f t="shared" si="33"/>
        <v>79799</v>
      </c>
      <c r="K739" s="2">
        <f t="shared" si="34"/>
        <v>1.1112736237697118</v>
      </c>
      <c r="L739" s="2">
        <f t="shared" si="35"/>
        <v>0.45863866521831587</v>
      </c>
    </row>
    <row r="740" spans="1:12" x14ac:dyDescent="0.3">
      <c r="A740" s="1">
        <v>45373</v>
      </c>
      <c r="B740" t="s">
        <v>19</v>
      </c>
      <c r="C740" t="s">
        <v>10</v>
      </c>
      <c r="D740" t="s">
        <v>17</v>
      </c>
      <c r="E740">
        <v>259264</v>
      </c>
      <c r="F740">
        <v>135427</v>
      </c>
      <c r="G740">
        <v>294425</v>
      </c>
      <c r="H740">
        <v>4.5999999999999996</v>
      </c>
      <c r="I740">
        <v>12</v>
      </c>
      <c r="J740">
        <f t="shared" si="33"/>
        <v>123837</v>
      </c>
      <c r="K740" s="2">
        <f t="shared" si="34"/>
        <v>0.88057739662053158</v>
      </c>
      <c r="L740" s="2">
        <f t="shared" si="35"/>
        <v>0.47764826586028142</v>
      </c>
    </row>
    <row r="741" spans="1:12" x14ac:dyDescent="0.3">
      <c r="A741" s="1">
        <v>45850</v>
      </c>
      <c r="B741" t="s">
        <v>12</v>
      </c>
      <c r="C741" t="s">
        <v>13</v>
      </c>
      <c r="D741" t="s">
        <v>14</v>
      </c>
      <c r="E741">
        <v>349148</v>
      </c>
      <c r="F741">
        <v>166976</v>
      </c>
      <c r="G741">
        <v>319461</v>
      </c>
      <c r="H741">
        <v>4.8</v>
      </c>
      <c r="I741">
        <v>14</v>
      </c>
      <c r="J741">
        <f t="shared" si="33"/>
        <v>182172</v>
      </c>
      <c r="K741" s="2">
        <f t="shared" si="34"/>
        <v>1.0929284012758991</v>
      </c>
      <c r="L741" s="2">
        <f t="shared" si="35"/>
        <v>0.52176154524728768</v>
      </c>
    </row>
    <row r="742" spans="1:12" x14ac:dyDescent="0.3">
      <c r="A742" s="1">
        <v>45829</v>
      </c>
      <c r="B742" t="s">
        <v>19</v>
      </c>
      <c r="C742" t="s">
        <v>16</v>
      </c>
      <c r="D742" t="s">
        <v>17</v>
      </c>
      <c r="E742">
        <v>148925</v>
      </c>
      <c r="F742">
        <v>64741</v>
      </c>
      <c r="G742">
        <v>163641</v>
      </c>
      <c r="H742">
        <v>3.8</v>
      </c>
      <c r="I742">
        <v>11</v>
      </c>
      <c r="J742">
        <f t="shared" si="33"/>
        <v>84184</v>
      </c>
      <c r="K742" s="2">
        <f t="shared" si="34"/>
        <v>0.91007143686484437</v>
      </c>
      <c r="L742" s="2">
        <f t="shared" si="35"/>
        <v>0.56527782440825924</v>
      </c>
    </row>
    <row r="743" spans="1:12" x14ac:dyDescent="0.3">
      <c r="A743" s="1">
        <v>45564</v>
      </c>
      <c r="B743" t="s">
        <v>9</v>
      </c>
      <c r="C743" t="s">
        <v>10</v>
      </c>
      <c r="D743" t="s">
        <v>14</v>
      </c>
      <c r="E743">
        <v>259527</v>
      </c>
      <c r="F743">
        <v>106527</v>
      </c>
      <c r="G743">
        <v>282596</v>
      </c>
      <c r="H743">
        <v>4.7</v>
      </c>
      <c r="I743">
        <v>14</v>
      </c>
      <c r="J743">
        <f t="shared" si="33"/>
        <v>153000</v>
      </c>
      <c r="K743" s="2">
        <f t="shared" si="34"/>
        <v>0.9183675635890105</v>
      </c>
      <c r="L743" s="2">
        <f t="shared" si="35"/>
        <v>0.58953403692101403</v>
      </c>
    </row>
    <row r="744" spans="1:12" x14ac:dyDescent="0.3">
      <c r="A744" s="1">
        <v>46003</v>
      </c>
      <c r="B744" t="s">
        <v>9</v>
      </c>
      <c r="C744" t="s">
        <v>13</v>
      </c>
      <c r="D744" t="s">
        <v>14</v>
      </c>
      <c r="E744">
        <v>350674</v>
      </c>
      <c r="F744">
        <v>178925</v>
      </c>
      <c r="G744">
        <v>355365</v>
      </c>
      <c r="H744">
        <v>3.6</v>
      </c>
      <c r="I744">
        <v>6</v>
      </c>
      <c r="J744">
        <f t="shared" si="33"/>
        <v>171749</v>
      </c>
      <c r="K744" s="2">
        <f t="shared" si="34"/>
        <v>0.98679948785051985</v>
      </c>
      <c r="L744" s="2">
        <f t="shared" si="35"/>
        <v>0.48976827480794127</v>
      </c>
    </row>
    <row r="745" spans="1:12" x14ac:dyDescent="0.3">
      <c r="A745" s="1">
        <v>45420</v>
      </c>
      <c r="B745" t="s">
        <v>19</v>
      </c>
      <c r="C745" t="s">
        <v>10</v>
      </c>
      <c r="D745" t="s">
        <v>17</v>
      </c>
      <c r="E745">
        <v>39813</v>
      </c>
      <c r="F745">
        <v>20454</v>
      </c>
      <c r="G745">
        <v>40809</v>
      </c>
      <c r="H745">
        <v>4.2</v>
      </c>
      <c r="I745">
        <v>15</v>
      </c>
      <c r="J745">
        <f t="shared" si="33"/>
        <v>19359</v>
      </c>
      <c r="K745" s="2">
        <f t="shared" si="34"/>
        <v>0.97559361905462028</v>
      </c>
      <c r="L745" s="2">
        <f t="shared" si="35"/>
        <v>0.48624821038354304</v>
      </c>
    </row>
    <row r="746" spans="1:12" x14ac:dyDescent="0.3">
      <c r="A746" s="1">
        <v>45425</v>
      </c>
      <c r="B746" t="s">
        <v>9</v>
      </c>
      <c r="C746" t="s">
        <v>13</v>
      </c>
      <c r="D746" t="s">
        <v>11</v>
      </c>
      <c r="E746">
        <v>447480</v>
      </c>
      <c r="F746">
        <v>206866</v>
      </c>
      <c r="G746">
        <v>407752</v>
      </c>
      <c r="H746">
        <v>3.9</v>
      </c>
      <c r="I746">
        <v>13</v>
      </c>
      <c r="J746">
        <f t="shared" si="33"/>
        <v>240614</v>
      </c>
      <c r="K746" s="2">
        <f t="shared" si="34"/>
        <v>1.0974317722537228</v>
      </c>
      <c r="L746" s="2">
        <f t="shared" si="35"/>
        <v>0.53770894788593904</v>
      </c>
    </row>
    <row r="747" spans="1:12" x14ac:dyDescent="0.3">
      <c r="A747" s="1">
        <v>45829</v>
      </c>
      <c r="B747" t="s">
        <v>19</v>
      </c>
      <c r="C747" t="s">
        <v>10</v>
      </c>
      <c r="D747" t="s">
        <v>11</v>
      </c>
      <c r="E747">
        <v>209618</v>
      </c>
      <c r="F747">
        <v>93613</v>
      </c>
      <c r="G747">
        <v>203063</v>
      </c>
      <c r="H747">
        <v>4.4000000000000004</v>
      </c>
      <c r="I747">
        <v>3</v>
      </c>
      <c r="J747">
        <f t="shared" si="33"/>
        <v>116005</v>
      </c>
      <c r="K747" s="2">
        <f t="shared" si="34"/>
        <v>1.0322806222699359</v>
      </c>
      <c r="L747" s="2">
        <f t="shared" si="35"/>
        <v>0.5534114436737303</v>
      </c>
    </row>
    <row r="748" spans="1:12" x14ac:dyDescent="0.3">
      <c r="A748" s="1">
        <v>45911</v>
      </c>
      <c r="B748" t="s">
        <v>15</v>
      </c>
      <c r="C748" t="s">
        <v>10</v>
      </c>
      <c r="D748" t="s">
        <v>17</v>
      </c>
      <c r="E748">
        <v>117051</v>
      </c>
      <c r="F748">
        <v>64418</v>
      </c>
      <c r="G748">
        <v>115180</v>
      </c>
      <c r="H748">
        <v>3.7</v>
      </c>
      <c r="I748">
        <v>13</v>
      </c>
      <c r="J748">
        <f t="shared" si="33"/>
        <v>52633</v>
      </c>
      <c r="K748" s="2">
        <f t="shared" si="34"/>
        <v>1.0162441396075708</v>
      </c>
      <c r="L748" s="2">
        <f t="shared" si="35"/>
        <v>0.44965869578218043</v>
      </c>
    </row>
    <row r="749" spans="1:12" x14ac:dyDescent="0.3">
      <c r="A749" s="1">
        <v>45869</v>
      </c>
      <c r="B749" t="s">
        <v>15</v>
      </c>
      <c r="C749" t="s">
        <v>10</v>
      </c>
      <c r="D749" t="s">
        <v>11</v>
      </c>
      <c r="E749">
        <v>199518</v>
      </c>
      <c r="F749">
        <v>69486</v>
      </c>
      <c r="G749">
        <v>202550</v>
      </c>
      <c r="H749">
        <v>3.7</v>
      </c>
      <c r="I749">
        <v>0</v>
      </c>
      <c r="J749">
        <f t="shared" si="33"/>
        <v>130032</v>
      </c>
      <c r="K749" s="2">
        <f t="shared" si="34"/>
        <v>0.98503085657862255</v>
      </c>
      <c r="L749" s="2">
        <f t="shared" si="35"/>
        <v>0.65173067091690973</v>
      </c>
    </row>
    <row r="750" spans="1:12" x14ac:dyDescent="0.3">
      <c r="A750" s="1">
        <v>45990</v>
      </c>
      <c r="B750" t="s">
        <v>15</v>
      </c>
      <c r="C750" t="s">
        <v>18</v>
      </c>
      <c r="D750" t="s">
        <v>11</v>
      </c>
      <c r="E750">
        <v>222235</v>
      </c>
      <c r="F750">
        <v>74976</v>
      </c>
      <c r="G750">
        <v>227139</v>
      </c>
      <c r="H750">
        <v>4</v>
      </c>
      <c r="I750">
        <v>15</v>
      </c>
      <c r="J750">
        <f t="shared" si="33"/>
        <v>147259</v>
      </c>
      <c r="K750" s="2">
        <f t="shared" si="34"/>
        <v>0.97840969626528251</v>
      </c>
      <c r="L750" s="2">
        <f t="shared" si="35"/>
        <v>0.66262739892456179</v>
      </c>
    </row>
    <row r="751" spans="1:12" x14ac:dyDescent="0.3">
      <c r="A751" s="1">
        <v>45800</v>
      </c>
      <c r="B751" t="s">
        <v>15</v>
      </c>
      <c r="C751" t="s">
        <v>16</v>
      </c>
      <c r="D751" t="s">
        <v>14</v>
      </c>
      <c r="E751">
        <v>261071</v>
      </c>
      <c r="F751">
        <v>131487</v>
      </c>
      <c r="G751">
        <v>285800</v>
      </c>
      <c r="H751">
        <v>4.4000000000000004</v>
      </c>
      <c r="I751">
        <v>1</v>
      </c>
      <c r="J751">
        <f t="shared" si="33"/>
        <v>129584</v>
      </c>
      <c r="K751" s="2">
        <f t="shared" si="34"/>
        <v>0.91347445766270119</v>
      </c>
      <c r="L751" s="2">
        <f t="shared" si="35"/>
        <v>0.49635539757384006</v>
      </c>
    </row>
    <row r="752" spans="1:12" x14ac:dyDescent="0.3">
      <c r="A752" s="1">
        <v>45342</v>
      </c>
      <c r="B752" t="s">
        <v>9</v>
      </c>
      <c r="C752" t="s">
        <v>18</v>
      </c>
      <c r="D752" t="s">
        <v>11</v>
      </c>
      <c r="E752">
        <v>175637</v>
      </c>
      <c r="F752">
        <v>60613</v>
      </c>
      <c r="G752">
        <v>153935</v>
      </c>
      <c r="H752">
        <v>4.7</v>
      </c>
      <c r="I752">
        <v>3</v>
      </c>
      <c r="J752">
        <f t="shared" si="33"/>
        <v>115024</v>
      </c>
      <c r="K752" s="2">
        <f t="shared" si="34"/>
        <v>1.1409815831357391</v>
      </c>
      <c r="L752" s="2">
        <f t="shared" si="35"/>
        <v>0.65489617791239885</v>
      </c>
    </row>
    <row r="753" spans="1:12" x14ac:dyDescent="0.3">
      <c r="A753" s="1">
        <v>45734</v>
      </c>
      <c r="B753" t="s">
        <v>19</v>
      </c>
      <c r="C753" t="s">
        <v>18</v>
      </c>
      <c r="D753" t="s">
        <v>11</v>
      </c>
      <c r="E753">
        <v>219087</v>
      </c>
      <c r="F753">
        <v>121450</v>
      </c>
      <c r="G753">
        <v>232666</v>
      </c>
      <c r="H753">
        <v>4.3</v>
      </c>
      <c r="I753">
        <v>2</v>
      </c>
      <c r="J753">
        <f t="shared" si="33"/>
        <v>97637</v>
      </c>
      <c r="K753" s="2">
        <f t="shared" si="34"/>
        <v>0.94163736858844871</v>
      </c>
      <c r="L753" s="2">
        <f t="shared" si="35"/>
        <v>0.44565400959436208</v>
      </c>
    </row>
    <row r="754" spans="1:12" x14ac:dyDescent="0.3">
      <c r="A754" s="1">
        <v>45562</v>
      </c>
      <c r="B754" t="s">
        <v>12</v>
      </c>
      <c r="C754" t="s">
        <v>10</v>
      </c>
      <c r="D754" t="s">
        <v>17</v>
      </c>
      <c r="E754">
        <v>336160</v>
      </c>
      <c r="F754">
        <v>203561</v>
      </c>
      <c r="G754">
        <v>318215</v>
      </c>
      <c r="H754">
        <v>4.3</v>
      </c>
      <c r="I754">
        <v>9</v>
      </c>
      <c r="J754">
        <f t="shared" si="33"/>
        <v>132599</v>
      </c>
      <c r="K754" s="2">
        <f t="shared" si="34"/>
        <v>1.0563926904765646</v>
      </c>
      <c r="L754" s="2">
        <f t="shared" si="35"/>
        <v>0.39445204664445505</v>
      </c>
    </row>
    <row r="755" spans="1:12" x14ac:dyDescent="0.3">
      <c r="A755" s="1">
        <v>45909</v>
      </c>
      <c r="B755" t="s">
        <v>9</v>
      </c>
      <c r="C755" t="s">
        <v>10</v>
      </c>
      <c r="D755" t="s">
        <v>11</v>
      </c>
      <c r="E755">
        <v>296198</v>
      </c>
      <c r="F755">
        <v>123556</v>
      </c>
      <c r="G755">
        <v>268906</v>
      </c>
      <c r="H755">
        <v>3.6</v>
      </c>
      <c r="I755">
        <v>13</v>
      </c>
      <c r="J755">
        <f t="shared" si="33"/>
        <v>172642</v>
      </c>
      <c r="K755" s="2">
        <f t="shared" si="34"/>
        <v>1.1014927149264055</v>
      </c>
      <c r="L755" s="2">
        <f t="shared" si="35"/>
        <v>0.58286011384276737</v>
      </c>
    </row>
    <row r="756" spans="1:12" x14ac:dyDescent="0.3">
      <c r="A756" s="1">
        <v>45837</v>
      </c>
      <c r="B756" t="s">
        <v>19</v>
      </c>
      <c r="C756" t="s">
        <v>16</v>
      </c>
      <c r="D756" t="s">
        <v>17</v>
      </c>
      <c r="E756">
        <v>274080</v>
      </c>
      <c r="F756">
        <v>99335</v>
      </c>
      <c r="G756">
        <v>299698</v>
      </c>
      <c r="H756">
        <v>4.2</v>
      </c>
      <c r="I756">
        <v>0</v>
      </c>
      <c r="J756">
        <f t="shared" si="33"/>
        <v>174745</v>
      </c>
      <c r="K756" s="2">
        <f t="shared" si="34"/>
        <v>0.91452061742153767</v>
      </c>
      <c r="L756" s="2">
        <f t="shared" si="35"/>
        <v>0.63756932282545242</v>
      </c>
    </row>
    <row r="757" spans="1:12" x14ac:dyDescent="0.3">
      <c r="A757" s="1">
        <v>45807</v>
      </c>
      <c r="B757" t="s">
        <v>15</v>
      </c>
      <c r="C757" t="s">
        <v>10</v>
      </c>
      <c r="D757" t="s">
        <v>17</v>
      </c>
      <c r="E757">
        <v>434041</v>
      </c>
      <c r="F757">
        <v>141086</v>
      </c>
      <c r="G757">
        <v>463681</v>
      </c>
      <c r="H757">
        <v>4.9000000000000004</v>
      </c>
      <c r="I757">
        <v>8</v>
      </c>
      <c r="J757">
        <f t="shared" si="33"/>
        <v>292955</v>
      </c>
      <c r="K757" s="2">
        <f t="shared" si="34"/>
        <v>0.93607674241558314</v>
      </c>
      <c r="L757" s="2">
        <f t="shared" si="35"/>
        <v>0.67494775839148835</v>
      </c>
    </row>
    <row r="758" spans="1:12" x14ac:dyDescent="0.3">
      <c r="A758" s="1">
        <v>45372</v>
      </c>
      <c r="B758" t="s">
        <v>15</v>
      </c>
      <c r="C758" t="s">
        <v>16</v>
      </c>
      <c r="D758" t="s">
        <v>17</v>
      </c>
      <c r="E758">
        <v>39063</v>
      </c>
      <c r="F758">
        <v>16913</v>
      </c>
      <c r="G758">
        <v>40263</v>
      </c>
      <c r="H758">
        <v>4.2</v>
      </c>
      <c r="I758">
        <v>10</v>
      </c>
      <c r="J758">
        <f t="shared" si="33"/>
        <v>22150</v>
      </c>
      <c r="K758" s="2">
        <f t="shared" si="34"/>
        <v>0.97019596155279042</v>
      </c>
      <c r="L758" s="2">
        <f t="shared" si="35"/>
        <v>0.5670327419809027</v>
      </c>
    </row>
    <row r="759" spans="1:12" x14ac:dyDescent="0.3">
      <c r="A759" s="1">
        <v>45811</v>
      </c>
      <c r="B759" t="s">
        <v>15</v>
      </c>
      <c r="C759" t="s">
        <v>18</v>
      </c>
      <c r="D759" t="s">
        <v>14</v>
      </c>
      <c r="E759">
        <v>469491</v>
      </c>
      <c r="F759">
        <v>248246</v>
      </c>
      <c r="G759">
        <v>508142</v>
      </c>
      <c r="H759">
        <v>4.0999999999999996</v>
      </c>
      <c r="I759">
        <v>3</v>
      </c>
      <c r="J759">
        <f t="shared" si="33"/>
        <v>221245</v>
      </c>
      <c r="K759" s="2">
        <f t="shared" si="34"/>
        <v>0.9239366161427317</v>
      </c>
      <c r="L759" s="2">
        <f t="shared" si="35"/>
        <v>0.4712443902013031</v>
      </c>
    </row>
    <row r="760" spans="1:12" x14ac:dyDescent="0.3">
      <c r="A760" s="1">
        <v>45544</v>
      </c>
      <c r="B760" t="s">
        <v>15</v>
      </c>
      <c r="C760" t="s">
        <v>13</v>
      </c>
      <c r="D760" t="s">
        <v>17</v>
      </c>
      <c r="E760">
        <v>335361</v>
      </c>
      <c r="F760">
        <v>190131</v>
      </c>
      <c r="G760">
        <v>292071</v>
      </c>
      <c r="H760">
        <v>4.8</v>
      </c>
      <c r="I760">
        <v>4</v>
      </c>
      <c r="J760">
        <f t="shared" si="33"/>
        <v>145230</v>
      </c>
      <c r="K760" s="2">
        <f t="shared" si="34"/>
        <v>1.1482173854987314</v>
      </c>
      <c r="L760" s="2">
        <f t="shared" si="35"/>
        <v>0.43305572204281356</v>
      </c>
    </row>
    <row r="761" spans="1:12" x14ac:dyDescent="0.3">
      <c r="A761" s="1">
        <v>45426</v>
      </c>
      <c r="B761" t="s">
        <v>19</v>
      </c>
      <c r="C761" t="s">
        <v>10</v>
      </c>
      <c r="D761" t="s">
        <v>17</v>
      </c>
      <c r="E761">
        <v>318645</v>
      </c>
      <c r="F761">
        <v>190863</v>
      </c>
      <c r="G761">
        <v>316233</v>
      </c>
      <c r="H761">
        <v>4</v>
      </c>
      <c r="I761">
        <v>5</v>
      </c>
      <c r="J761">
        <f t="shared" si="33"/>
        <v>127782</v>
      </c>
      <c r="K761" s="2">
        <f t="shared" si="34"/>
        <v>1.0076272874747416</v>
      </c>
      <c r="L761" s="2">
        <f t="shared" si="35"/>
        <v>0.40101680553594127</v>
      </c>
    </row>
    <row r="762" spans="1:12" x14ac:dyDescent="0.3">
      <c r="A762" s="1">
        <v>45666</v>
      </c>
      <c r="B762" t="s">
        <v>15</v>
      </c>
      <c r="C762" t="s">
        <v>16</v>
      </c>
      <c r="D762" t="s">
        <v>17</v>
      </c>
      <c r="E762">
        <v>355744</v>
      </c>
      <c r="F762">
        <v>165241</v>
      </c>
      <c r="G762">
        <v>311496</v>
      </c>
      <c r="H762">
        <v>5</v>
      </c>
      <c r="I762">
        <v>5</v>
      </c>
      <c r="J762">
        <f t="shared" si="33"/>
        <v>190503</v>
      </c>
      <c r="K762" s="2">
        <f t="shared" si="34"/>
        <v>1.1420499781698641</v>
      </c>
      <c r="L762" s="2">
        <f t="shared" si="35"/>
        <v>0.53550586938922373</v>
      </c>
    </row>
    <row r="763" spans="1:12" x14ac:dyDescent="0.3">
      <c r="A763" s="1">
        <v>45539</v>
      </c>
      <c r="B763" t="s">
        <v>15</v>
      </c>
      <c r="C763" t="s">
        <v>10</v>
      </c>
      <c r="D763" t="s">
        <v>14</v>
      </c>
      <c r="E763">
        <v>171149</v>
      </c>
      <c r="F763">
        <v>80654</v>
      </c>
      <c r="G763">
        <v>149322</v>
      </c>
      <c r="H763">
        <v>3.7</v>
      </c>
      <c r="I763">
        <v>0</v>
      </c>
      <c r="J763">
        <f t="shared" si="33"/>
        <v>90495</v>
      </c>
      <c r="K763" s="2">
        <f t="shared" si="34"/>
        <v>1.1461740399941067</v>
      </c>
      <c r="L763" s="2">
        <f t="shared" si="35"/>
        <v>0.52874980280340522</v>
      </c>
    </row>
    <row r="764" spans="1:12" x14ac:dyDescent="0.3">
      <c r="A764" s="1">
        <v>45643</v>
      </c>
      <c r="B764" t="s">
        <v>9</v>
      </c>
      <c r="C764" t="s">
        <v>13</v>
      </c>
      <c r="D764" t="s">
        <v>17</v>
      </c>
      <c r="E764">
        <v>73778</v>
      </c>
      <c r="F764">
        <v>34419</v>
      </c>
      <c r="G764">
        <v>79726</v>
      </c>
      <c r="H764">
        <v>3.6</v>
      </c>
      <c r="I764">
        <v>9</v>
      </c>
      <c r="J764">
        <f t="shared" si="33"/>
        <v>39359</v>
      </c>
      <c r="K764" s="2">
        <f t="shared" si="34"/>
        <v>0.92539447608057601</v>
      </c>
      <c r="L764" s="2">
        <f t="shared" si="35"/>
        <v>0.53347881482284687</v>
      </c>
    </row>
    <row r="765" spans="1:12" x14ac:dyDescent="0.3">
      <c r="A765" s="1">
        <v>45316</v>
      </c>
      <c r="B765" t="s">
        <v>12</v>
      </c>
      <c r="C765" t="s">
        <v>18</v>
      </c>
      <c r="D765" t="s">
        <v>17</v>
      </c>
      <c r="E765">
        <v>376648</v>
      </c>
      <c r="F765">
        <v>180231</v>
      </c>
      <c r="G765">
        <v>363414</v>
      </c>
      <c r="H765">
        <v>4.5999999999999996</v>
      </c>
      <c r="I765">
        <v>3</v>
      </c>
      <c r="J765">
        <f t="shared" si="33"/>
        <v>196417</v>
      </c>
      <c r="K765" s="2">
        <f t="shared" si="34"/>
        <v>1.0364157682422801</v>
      </c>
      <c r="L765" s="2">
        <f t="shared" si="35"/>
        <v>0.5214869055457616</v>
      </c>
    </row>
    <row r="766" spans="1:12" x14ac:dyDescent="0.3">
      <c r="A766" s="1">
        <v>45746</v>
      </c>
      <c r="B766" t="s">
        <v>9</v>
      </c>
      <c r="C766" t="s">
        <v>10</v>
      </c>
      <c r="D766" t="s">
        <v>14</v>
      </c>
      <c r="E766">
        <v>163857</v>
      </c>
      <c r="F766">
        <v>93698</v>
      </c>
      <c r="G766">
        <v>158610</v>
      </c>
      <c r="H766">
        <v>4.4000000000000004</v>
      </c>
      <c r="I766">
        <v>1</v>
      </c>
      <c r="J766">
        <f t="shared" si="33"/>
        <v>70159</v>
      </c>
      <c r="K766" s="2">
        <f t="shared" si="34"/>
        <v>1.0330811424248156</v>
      </c>
      <c r="L766" s="2">
        <f t="shared" si="35"/>
        <v>0.42817212569496571</v>
      </c>
    </row>
    <row r="767" spans="1:12" x14ac:dyDescent="0.3">
      <c r="A767" s="1">
        <v>45726</v>
      </c>
      <c r="B767" t="s">
        <v>15</v>
      </c>
      <c r="C767" t="s">
        <v>10</v>
      </c>
      <c r="D767" t="s">
        <v>17</v>
      </c>
      <c r="E767">
        <v>440481</v>
      </c>
      <c r="F767">
        <v>188893</v>
      </c>
      <c r="G767">
        <v>491331</v>
      </c>
      <c r="H767">
        <v>3.8</v>
      </c>
      <c r="I767">
        <v>7</v>
      </c>
      <c r="J767">
        <f t="shared" si="33"/>
        <v>251588</v>
      </c>
      <c r="K767" s="2">
        <f t="shared" si="34"/>
        <v>0.89650561434145215</v>
      </c>
      <c r="L767" s="2">
        <f t="shared" si="35"/>
        <v>0.57116652023583314</v>
      </c>
    </row>
    <row r="768" spans="1:12" x14ac:dyDescent="0.3">
      <c r="A768" s="1">
        <v>45634</v>
      </c>
      <c r="B768" t="s">
        <v>9</v>
      </c>
      <c r="C768" t="s">
        <v>10</v>
      </c>
      <c r="D768" t="s">
        <v>11</v>
      </c>
      <c r="E768">
        <v>149857</v>
      </c>
      <c r="F768">
        <v>67227</v>
      </c>
      <c r="G768">
        <v>150604</v>
      </c>
      <c r="H768">
        <v>3.9</v>
      </c>
      <c r="I768">
        <v>9</v>
      </c>
      <c r="J768">
        <f t="shared" si="33"/>
        <v>82630</v>
      </c>
      <c r="K768" s="2">
        <f t="shared" si="34"/>
        <v>0.99503997237789166</v>
      </c>
      <c r="L768" s="2">
        <f t="shared" si="35"/>
        <v>0.55139232735207566</v>
      </c>
    </row>
    <row r="769" spans="1:12" x14ac:dyDescent="0.3">
      <c r="A769" s="1">
        <v>45892</v>
      </c>
      <c r="B769" t="s">
        <v>9</v>
      </c>
      <c r="C769" t="s">
        <v>16</v>
      </c>
      <c r="D769" t="s">
        <v>11</v>
      </c>
      <c r="E769">
        <v>367092</v>
      </c>
      <c r="F769">
        <v>176716</v>
      </c>
      <c r="G769">
        <v>395480</v>
      </c>
      <c r="H769">
        <v>3.9</v>
      </c>
      <c r="I769">
        <v>13</v>
      </c>
      <c r="J769">
        <f t="shared" si="33"/>
        <v>190376</v>
      </c>
      <c r="K769" s="2">
        <f t="shared" si="34"/>
        <v>0.92821887326792762</v>
      </c>
      <c r="L769" s="2">
        <f t="shared" si="35"/>
        <v>0.51860569012672575</v>
      </c>
    </row>
    <row r="770" spans="1:12" x14ac:dyDescent="0.3">
      <c r="A770" s="1">
        <v>45431</v>
      </c>
      <c r="B770" t="s">
        <v>9</v>
      </c>
      <c r="C770" t="s">
        <v>16</v>
      </c>
      <c r="D770" t="s">
        <v>14</v>
      </c>
      <c r="E770">
        <v>88840</v>
      </c>
      <c r="F770">
        <v>49965</v>
      </c>
      <c r="G770">
        <v>90101</v>
      </c>
      <c r="H770">
        <v>3.7</v>
      </c>
      <c r="I770">
        <v>7</v>
      </c>
      <c r="J770">
        <f t="shared" si="33"/>
        <v>38875</v>
      </c>
      <c r="K770" s="2">
        <f t="shared" si="34"/>
        <v>0.9860045948435644</v>
      </c>
      <c r="L770" s="2">
        <f t="shared" si="35"/>
        <v>0.4375844214317875</v>
      </c>
    </row>
    <row r="771" spans="1:12" x14ac:dyDescent="0.3">
      <c r="A771" s="1">
        <v>45473</v>
      </c>
      <c r="B771" t="s">
        <v>19</v>
      </c>
      <c r="C771" t="s">
        <v>18</v>
      </c>
      <c r="D771" t="s">
        <v>14</v>
      </c>
      <c r="E771">
        <v>457746</v>
      </c>
      <c r="F771">
        <v>212123</v>
      </c>
      <c r="G771">
        <v>403141</v>
      </c>
      <c r="H771">
        <v>4.5999999999999996</v>
      </c>
      <c r="I771">
        <v>9</v>
      </c>
      <c r="J771">
        <f t="shared" ref="J771:J834" si="36">E771-F771</f>
        <v>245623</v>
      </c>
      <c r="K771" s="2">
        <f t="shared" ref="K771:K834" si="37">E771/G771</f>
        <v>1.1354488876100421</v>
      </c>
      <c r="L771" s="2">
        <f t="shared" ref="L771:L834" si="38">J771/E771</f>
        <v>0.53659234597353123</v>
      </c>
    </row>
    <row r="772" spans="1:12" x14ac:dyDescent="0.3">
      <c r="A772" s="1">
        <v>45399</v>
      </c>
      <c r="B772" t="s">
        <v>9</v>
      </c>
      <c r="C772" t="s">
        <v>16</v>
      </c>
      <c r="D772" t="s">
        <v>14</v>
      </c>
      <c r="E772">
        <v>319732</v>
      </c>
      <c r="F772">
        <v>128380</v>
      </c>
      <c r="G772">
        <v>272784</v>
      </c>
      <c r="H772">
        <v>4.0999999999999996</v>
      </c>
      <c r="I772">
        <v>5</v>
      </c>
      <c r="J772">
        <f t="shared" si="36"/>
        <v>191352</v>
      </c>
      <c r="K772" s="2">
        <f t="shared" si="37"/>
        <v>1.1721068684380316</v>
      </c>
      <c r="L772" s="2">
        <f t="shared" si="38"/>
        <v>0.59847622383746391</v>
      </c>
    </row>
    <row r="773" spans="1:12" x14ac:dyDescent="0.3">
      <c r="A773" s="1">
        <v>45379</v>
      </c>
      <c r="B773" t="s">
        <v>9</v>
      </c>
      <c r="C773" t="s">
        <v>13</v>
      </c>
      <c r="D773" t="s">
        <v>11</v>
      </c>
      <c r="E773">
        <v>252599</v>
      </c>
      <c r="F773">
        <v>100053</v>
      </c>
      <c r="G773">
        <v>245507</v>
      </c>
      <c r="H773">
        <v>4.8</v>
      </c>
      <c r="I773">
        <v>13</v>
      </c>
      <c r="J773">
        <f t="shared" si="36"/>
        <v>152546</v>
      </c>
      <c r="K773" s="2">
        <f t="shared" si="37"/>
        <v>1.0288871600402432</v>
      </c>
      <c r="L773" s="2">
        <f t="shared" si="38"/>
        <v>0.60390579535152555</v>
      </c>
    </row>
    <row r="774" spans="1:12" x14ac:dyDescent="0.3">
      <c r="A774" s="1">
        <v>45808</v>
      </c>
      <c r="B774" t="s">
        <v>12</v>
      </c>
      <c r="C774" t="s">
        <v>16</v>
      </c>
      <c r="D774" t="s">
        <v>14</v>
      </c>
      <c r="E774">
        <v>293816</v>
      </c>
      <c r="F774">
        <v>150767</v>
      </c>
      <c r="G774">
        <v>324223</v>
      </c>
      <c r="H774">
        <v>4.2</v>
      </c>
      <c r="I774">
        <v>4</v>
      </c>
      <c r="J774">
        <f t="shared" si="36"/>
        <v>143049</v>
      </c>
      <c r="K774" s="2">
        <f t="shared" si="37"/>
        <v>0.90621578358105381</v>
      </c>
      <c r="L774" s="2">
        <f t="shared" si="38"/>
        <v>0.48686592969749776</v>
      </c>
    </row>
    <row r="775" spans="1:12" x14ac:dyDescent="0.3">
      <c r="A775" s="1">
        <v>45331</v>
      </c>
      <c r="B775" t="s">
        <v>9</v>
      </c>
      <c r="C775" t="s">
        <v>13</v>
      </c>
      <c r="D775" t="s">
        <v>11</v>
      </c>
      <c r="E775">
        <v>280590</v>
      </c>
      <c r="F775">
        <v>160718</v>
      </c>
      <c r="G775">
        <v>302177</v>
      </c>
      <c r="H775">
        <v>4.2</v>
      </c>
      <c r="I775">
        <v>14</v>
      </c>
      <c r="J775">
        <f t="shared" si="36"/>
        <v>119872</v>
      </c>
      <c r="K775" s="2">
        <f t="shared" si="37"/>
        <v>0.92856173699520483</v>
      </c>
      <c r="L775" s="2">
        <f t="shared" si="38"/>
        <v>0.42721408460743432</v>
      </c>
    </row>
    <row r="776" spans="1:12" x14ac:dyDescent="0.3">
      <c r="A776" s="1">
        <v>45302</v>
      </c>
      <c r="B776" t="s">
        <v>9</v>
      </c>
      <c r="C776" t="s">
        <v>16</v>
      </c>
      <c r="D776" t="s">
        <v>14</v>
      </c>
      <c r="E776">
        <v>227508</v>
      </c>
      <c r="F776">
        <v>116972</v>
      </c>
      <c r="G776">
        <v>225361</v>
      </c>
      <c r="H776">
        <v>3.7</v>
      </c>
      <c r="I776">
        <v>6</v>
      </c>
      <c r="J776">
        <f t="shared" si="36"/>
        <v>110536</v>
      </c>
      <c r="K776" s="2">
        <f t="shared" si="37"/>
        <v>1.0095269367814306</v>
      </c>
      <c r="L776" s="2">
        <f t="shared" si="38"/>
        <v>0.48585544244597995</v>
      </c>
    </row>
    <row r="777" spans="1:12" x14ac:dyDescent="0.3">
      <c r="A777" s="1">
        <v>45510</v>
      </c>
      <c r="B777" t="s">
        <v>12</v>
      </c>
      <c r="C777" t="s">
        <v>13</v>
      </c>
      <c r="D777" t="s">
        <v>14</v>
      </c>
      <c r="E777">
        <v>457126</v>
      </c>
      <c r="F777">
        <v>255505</v>
      </c>
      <c r="G777">
        <v>494024</v>
      </c>
      <c r="H777">
        <v>4.0999999999999996</v>
      </c>
      <c r="I777">
        <v>10</v>
      </c>
      <c r="J777">
        <f t="shared" si="36"/>
        <v>201621</v>
      </c>
      <c r="K777" s="2">
        <f t="shared" si="37"/>
        <v>0.92531132090748625</v>
      </c>
      <c r="L777" s="2">
        <f t="shared" si="38"/>
        <v>0.44106220166868654</v>
      </c>
    </row>
    <row r="778" spans="1:12" x14ac:dyDescent="0.3">
      <c r="A778" s="1">
        <v>45627</v>
      </c>
      <c r="B778" t="s">
        <v>12</v>
      </c>
      <c r="C778" t="s">
        <v>10</v>
      </c>
      <c r="D778" t="s">
        <v>17</v>
      </c>
      <c r="E778">
        <v>50582</v>
      </c>
      <c r="F778">
        <v>24696</v>
      </c>
      <c r="G778">
        <v>55387</v>
      </c>
      <c r="H778">
        <v>4.8</v>
      </c>
      <c r="I778">
        <v>11</v>
      </c>
      <c r="J778">
        <f t="shared" si="36"/>
        <v>25886</v>
      </c>
      <c r="K778" s="2">
        <f t="shared" si="37"/>
        <v>0.9132467907631755</v>
      </c>
      <c r="L778" s="2">
        <f t="shared" si="38"/>
        <v>0.51176307777470242</v>
      </c>
    </row>
    <row r="779" spans="1:12" x14ac:dyDescent="0.3">
      <c r="A779" s="1">
        <v>45812</v>
      </c>
      <c r="B779" t="s">
        <v>9</v>
      </c>
      <c r="C779" t="s">
        <v>10</v>
      </c>
      <c r="D779" t="s">
        <v>17</v>
      </c>
      <c r="E779">
        <v>160259</v>
      </c>
      <c r="F779">
        <v>67892</v>
      </c>
      <c r="G779">
        <v>142025</v>
      </c>
      <c r="H779">
        <v>5</v>
      </c>
      <c r="I779">
        <v>5</v>
      </c>
      <c r="J779">
        <f t="shared" si="36"/>
        <v>92367</v>
      </c>
      <c r="K779" s="2">
        <f t="shared" si="37"/>
        <v>1.128385847562049</v>
      </c>
      <c r="L779" s="2">
        <f t="shared" si="38"/>
        <v>0.57636076601002129</v>
      </c>
    </row>
    <row r="780" spans="1:12" x14ac:dyDescent="0.3">
      <c r="A780" s="1">
        <v>45517</v>
      </c>
      <c r="B780" t="s">
        <v>19</v>
      </c>
      <c r="C780" t="s">
        <v>18</v>
      </c>
      <c r="D780" t="s">
        <v>17</v>
      </c>
      <c r="E780">
        <v>355452</v>
      </c>
      <c r="F780">
        <v>137233</v>
      </c>
      <c r="G780">
        <v>312715</v>
      </c>
      <c r="H780">
        <v>4.0999999999999996</v>
      </c>
      <c r="I780">
        <v>15</v>
      </c>
      <c r="J780">
        <f t="shared" si="36"/>
        <v>218219</v>
      </c>
      <c r="K780" s="2">
        <f t="shared" si="37"/>
        <v>1.1366643749100618</v>
      </c>
      <c r="L780" s="2">
        <f t="shared" si="38"/>
        <v>0.61391974162474816</v>
      </c>
    </row>
    <row r="781" spans="1:12" x14ac:dyDescent="0.3">
      <c r="A781" s="1">
        <v>45472</v>
      </c>
      <c r="B781" t="s">
        <v>19</v>
      </c>
      <c r="C781" t="s">
        <v>18</v>
      </c>
      <c r="D781" t="s">
        <v>14</v>
      </c>
      <c r="E781">
        <v>256983</v>
      </c>
      <c r="F781">
        <v>84593</v>
      </c>
      <c r="G781">
        <v>234224</v>
      </c>
      <c r="H781">
        <v>4.7</v>
      </c>
      <c r="I781">
        <v>4</v>
      </c>
      <c r="J781">
        <f t="shared" si="36"/>
        <v>172390</v>
      </c>
      <c r="K781" s="2">
        <f t="shared" si="37"/>
        <v>1.0971676685565954</v>
      </c>
      <c r="L781" s="2">
        <f t="shared" si="38"/>
        <v>0.67082258359502378</v>
      </c>
    </row>
    <row r="782" spans="1:12" x14ac:dyDescent="0.3">
      <c r="A782" s="1">
        <v>45969</v>
      </c>
      <c r="B782" t="s">
        <v>12</v>
      </c>
      <c r="C782" t="s">
        <v>10</v>
      </c>
      <c r="D782" t="s">
        <v>14</v>
      </c>
      <c r="E782">
        <v>79202</v>
      </c>
      <c r="F782">
        <v>41594</v>
      </c>
      <c r="G782">
        <v>74556</v>
      </c>
      <c r="H782">
        <v>5</v>
      </c>
      <c r="I782">
        <v>5</v>
      </c>
      <c r="J782">
        <f t="shared" si="36"/>
        <v>37608</v>
      </c>
      <c r="K782" s="2">
        <f t="shared" si="37"/>
        <v>1.0623155748698965</v>
      </c>
      <c r="L782" s="2">
        <f t="shared" si="38"/>
        <v>0.4748364940279286</v>
      </c>
    </row>
    <row r="783" spans="1:12" x14ac:dyDescent="0.3">
      <c r="A783" s="1">
        <v>45572</v>
      </c>
      <c r="B783" t="s">
        <v>12</v>
      </c>
      <c r="C783" t="s">
        <v>13</v>
      </c>
      <c r="D783" t="s">
        <v>17</v>
      </c>
      <c r="E783">
        <v>363699</v>
      </c>
      <c r="F783">
        <v>173717</v>
      </c>
      <c r="G783">
        <v>404018</v>
      </c>
      <c r="H783">
        <v>3.8</v>
      </c>
      <c r="I783">
        <v>4</v>
      </c>
      <c r="J783">
        <f t="shared" si="36"/>
        <v>189982</v>
      </c>
      <c r="K783" s="2">
        <f t="shared" si="37"/>
        <v>0.90020494136399865</v>
      </c>
      <c r="L783" s="2">
        <f t="shared" si="38"/>
        <v>0.5223605233998444</v>
      </c>
    </row>
    <row r="784" spans="1:12" x14ac:dyDescent="0.3">
      <c r="A784" s="1">
        <v>45801</v>
      </c>
      <c r="B784" t="s">
        <v>12</v>
      </c>
      <c r="C784" t="s">
        <v>10</v>
      </c>
      <c r="D784" t="s">
        <v>11</v>
      </c>
      <c r="E784">
        <v>280561</v>
      </c>
      <c r="F784">
        <v>122909</v>
      </c>
      <c r="G784">
        <v>279654</v>
      </c>
      <c r="H784">
        <v>3.7</v>
      </c>
      <c r="I784">
        <v>8</v>
      </c>
      <c r="J784">
        <f t="shared" si="36"/>
        <v>157652</v>
      </c>
      <c r="K784" s="2">
        <f t="shared" si="37"/>
        <v>1.0032432934983944</v>
      </c>
      <c r="L784" s="2">
        <f t="shared" si="38"/>
        <v>0.56191701626384283</v>
      </c>
    </row>
    <row r="785" spans="1:12" x14ac:dyDescent="0.3">
      <c r="A785" s="1">
        <v>45725</v>
      </c>
      <c r="B785" t="s">
        <v>12</v>
      </c>
      <c r="C785" t="s">
        <v>13</v>
      </c>
      <c r="D785" t="s">
        <v>17</v>
      </c>
      <c r="E785">
        <v>475483</v>
      </c>
      <c r="F785">
        <v>245359</v>
      </c>
      <c r="G785">
        <v>471818</v>
      </c>
      <c r="H785">
        <v>3.8</v>
      </c>
      <c r="I785">
        <v>3</v>
      </c>
      <c r="J785">
        <f t="shared" si="36"/>
        <v>230124</v>
      </c>
      <c r="K785" s="2">
        <f t="shared" si="37"/>
        <v>1.0077678257294127</v>
      </c>
      <c r="L785" s="2">
        <f t="shared" si="38"/>
        <v>0.48397944826628925</v>
      </c>
    </row>
    <row r="786" spans="1:12" x14ac:dyDescent="0.3">
      <c r="A786" s="1">
        <v>46021</v>
      </c>
      <c r="B786" t="s">
        <v>19</v>
      </c>
      <c r="C786" t="s">
        <v>13</v>
      </c>
      <c r="D786" t="s">
        <v>11</v>
      </c>
      <c r="E786">
        <v>108876</v>
      </c>
      <c r="F786">
        <v>47797</v>
      </c>
      <c r="G786">
        <v>121429</v>
      </c>
      <c r="H786">
        <v>3.7</v>
      </c>
      <c r="I786">
        <v>7</v>
      </c>
      <c r="J786">
        <f t="shared" si="36"/>
        <v>61079</v>
      </c>
      <c r="K786" s="2">
        <f t="shared" si="37"/>
        <v>0.89662271780217251</v>
      </c>
      <c r="L786" s="2">
        <f t="shared" si="38"/>
        <v>0.56099599544435874</v>
      </c>
    </row>
    <row r="787" spans="1:12" x14ac:dyDescent="0.3">
      <c r="A787" s="1">
        <v>45852</v>
      </c>
      <c r="B787" t="s">
        <v>15</v>
      </c>
      <c r="C787" t="s">
        <v>16</v>
      </c>
      <c r="D787" t="s">
        <v>11</v>
      </c>
      <c r="E787">
        <v>109477</v>
      </c>
      <c r="F787">
        <v>54386</v>
      </c>
      <c r="G787">
        <v>109629</v>
      </c>
      <c r="H787">
        <v>3.5</v>
      </c>
      <c r="I787">
        <v>10</v>
      </c>
      <c r="J787">
        <f t="shared" si="36"/>
        <v>55091</v>
      </c>
      <c r="K787" s="2">
        <f t="shared" si="37"/>
        <v>0.99861350555053863</v>
      </c>
      <c r="L787" s="2">
        <f t="shared" si="38"/>
        <v>0.50321985439864081</v>
      </c>
    </row>
    <row r="788" spans="1:12" x14ac:dyDescent="0.3">
      <c r="A788" s="1">
        <v>45763</v>
      </c>
      <c r="B788" t="s">
        <v>9</v>
      </c>
      <c r="C788" t="s">
        <v>18</v>
      </c>
      <c r="D788" t="s">
        <v>17</v>
      </c>
      <c r="E788">
        <v>314094</v>
      </c>
      <c r="F788">
        <v>162551</v>
      </c>
      <c r="G788">
        <v>359232</v>
      </c>
      <c r="H788">
        <v>4.0999999999999996</v>
      </c>
      <c r="I788">
        <v>14</v>
      </c>
      <c r="J788">
        <f t="shared" si="36"/>
        <v>151543</v>
      </c>
      <c r="K788" s="2">
        <f t="shared" si="37"/>
        <v>0.87434861036878675</v>
      </c>
      <c r="L788" s="2">
        <f t="shared" si="38"/>
        <v>0.48247658344317307</v>
      </c>
    </row>
    <row r="789" spans="1:12" x14ac:dyDescent="0.3">
      <c r="A789" s="1">
        <v>45901</v>
      </c>
      <c r="B789" t="s">
        <v>12</v>
      </c>
      <c r="C789" t="s">
        <v>13</v>
      </c>
      <c r="D789" t="s">
        <v>14</v>
      </c>
      <c r="E789">
        <v>434315</v>
      </c>
      <c r="F789">
        <v>192566</v>
      </c>
      <c r="G789">
        <v>473117</v>
      </c>
      <c r="H789">
        <v>4.8</v>
      </c>
      <c r="I789">
        <v>9</v>
      </c>
      <c r="J789">
        <f t="shared" si="36"/>
        <v>241749</v>
      </c>
      <c r="K789" s="2">
        <f t="shared" si="37"/>
        <v>0.91798646000883499</v>
      </c>
      <c r="L789" s="2">
        <f t="shared" si="38"/>
        <v>0.55662134625790038</v>
      </c>
    </row>
    <row r="790" spans="1:12" x14ac:dyDescent="0.3">
      <c r="A790" s="1">
        <v>45743</v>
      </c>
      <c r="B790" t="s">
        <v>9</v>
      </c>
      <c r="C790" t="s">
        <v>13</v>
      </c>
      <c r="D790" t="s">
        <v>17</v>
      </c>
      <c r="E790">
        <v>287483</v>
      </c>
      <c r="F790">
        <v>96590</v>
      </c>
      <c r="G790">
        <v>304487</v>
      </c>
      <c r="H790">
        <v>3.6</v>
      </c>
      <c r="I790">
        <v>13</v>
      </c>
      <c r="J790">
        <f t="shared" si="36"/>
        <v>190893</v>
      </c>
      <c r="K790" s="2">
        <f t="shared" si="37"/>
        <v>0.94415525129151656</v>
      </c>
      <c r="L790" s="2">
        <f t="shared" si="38"/>
        <v>0.66401491566457838</v>
      </c>
    </row>
    <row r="791" spans="1:12" x14ac:dyDescent="0.3">
      <c r="A791" s="1">
        <v>45794</v>
      </c>
      <c r="B791" t="s">
        <v>9</v>
      </c>
      <c r="C791" t="s">
        <v>10</v>
      </c>
      <c r="D791" t="s">
        <v>11</v>
      </c>
      <c r="E791">
        <v>97508</v>
      </c>
      <c r="F791">
        <v>38607</v>
      </c>
      <c r="G791">
        <v>108448</v>
      </c>
      <c r="H791">
        <v>3.8</v>
      </c>
      <c r="I791">
        <v>7</v>
      </c>
      <c r="J791">
        <f t="shared" si="36"/>
        <v>58901</v>
      </c>
      <c r="K791" s="2">
        <f t="shared" si="37"/>
        <v>0.89912215992918265</v>
      </c>
      <c r="L791" s="2">
        <f t="shared" si="38"/>
        <v>0.60406325634819702</v>
      </c>
    </row>
    <row r="792" spans="1:12" x14ac:dyDescent="0.3">
      <c r="A792" s="1">
        <v>45537</v>
      </c>
      <c r="B792" t="s">
        <v>19</v>
      </c>
      <c r="C792" t="s">
        <v>13</v>
      </c>
      <c r="D792" t="s">
        <v>11</v>
      </c>
      <c r="E792">
        <v>315302</v>
      </c>
      <c r="F792">
        <v>166664</v>
      </c>
      <c r="G792">
        <v>306003</v>
      </c>
      <c r="H792">
        <v>4.3</v>
      </c>
      <c r="I792">
        <v>11</v>
      </c>
      <c r="J792">
        <f t="shared" si="36"/>
        <v>148638</v>
      </c>
      <c r="K792" s="2">
        <f t="shared" si="37"/>
        <v>1.0303885909615265</v>
      </c>
      <c r="L792" s="2">
        <f t="shared" si="38"/>
        <v>0.47141470716963418</v>
      </c>
    </row>
    <row r="793" spans="1:12" x14ac:dyDescent="0.3">
      <c r="A793" s="1">
        <v>45328</v>
      </c>
      <c r="B793" t="s">
        <v>19</v>
      </c>
      <c r="C793" t="s">
        <v>18</v>
      </c>
      <c r="D793" t="s">
        <v>17</v>
      </c>
      <c r="E793">
        <v>329532</v>
      </c>
      <c r="F793">
        <v>181011</v>
      </c>
      <c r="G793">
        <v>330835</v>
      </c>
      <c r="H793">
        <v>4.5999999999999996</v>
      </c>
      <c r="I793">
        <v>1</v>
      </c>
      <c r="J793">
        <f t="shared" si="36"/>
        <v>148521</v>
      </c>
      <c r="K793" s="2">
        <f t="shared" si="37"/>
        <v>0.99606148079858536</v>
      </c>
      <c r="L793" s="2">
        <f t="shared" si="38"/>
        <v>0.45070281490113251</v>
      </c>
    </row>
    <row r="794" spans="1:12" x14ac:dyDescent="0.3">
      <c r="A794" s="1">
        <v>45310</v>
      </c>
      <c r="B794" t="s">
        <v>19</v>
      </c>
      <c r="C794" t="s">
        <v>13</v>
      </c>
      <c r="D794" t="s">
        <v>11</v>
      </c>
      <c r="E794">
        <v>103944</v>
      </c>
      <c r="F794">
        <v>62305</v>
      </c>
      <c r="G794">
        <v>100072</v>
      </c>
      <c r="H794">
        <v>4.7</v>
      </c>
      <c r="I794">
        <v>11</v>
      </c>
      <c r="J794">
        <f t="shared" si="36"/>
        <v>41639</v>
      </c>
      <c r="K794" s="2">
        <f t="shared" si="37"/>
        <v>1.0386921416580062</v>
      </c>
      <c r="L794" s="2">
        <f t="shared" si="38"/>
        <v>0.40059070268606173</v>
      </c>
    </row>
    <row r="795" spans="1:12" x14ac:dyDescent="0.3">
      <c r="A795" s="1">
        <v>45346</v>
      </c>
      <c r="B795" t="s">
        <v>15</v>
      </c>
      <c r="C795" t="s">
        <v>13</v>
      </c>
      <c r="D795" t="s">
        <v>17</v>
      </c>
      <c r="E795">
        <v>39992</v>
      </c>
      <c r="F795">
        <v>18913</v>
      </c>
      <c r="G795">
        <v>37049</v>
      </c>
      <c r="H795">
        <v>4</v>
      </c>
      <c r="I795">
        <v>4</v>
      </c>
      <c r="J795">
        <f t="shared" si="36"/>
        <v>21079</v>
      </c>
      <c r="K795" s="2">
        <f t="shared" si="37"/>
        <v>1.0794353423844099</v>
      </c>
      <c r="L795" s="2">
        <f t="shared" si="38"/>
        <v>0.52708041608321665</v>
      </c>
    </row>
    <row r="796" spans="1:12" x14ac:dyDescent="0.3">
      <c r="A796" s="1">
        <v>45419</v>
      </c>
      <c r="B796" t="s">
        <v>12</v>
      </c>
      <c r="C796" t="s">
        <v>10</v>
      </c>
      <c r="D796" t="s">
        <v>14</v>
      </c>
      <c r="E796">
        <v>486016</v>
      </c>
      <c r="F796">
        <v>204722</v>
      </c>
      <c r="G796">
        <v>524780</v>
      </c>
      <c r="H796">
        <v>3.6</v>
      </c>
      <c r="I796">
        <v>6</v>
      </c>
      <c r="J796">
        <f t="shared" si="36"/>
        <v>281294</v>
      </c>
      <c r="K796" s="2">
        <f t="shared" si="37"/>
        <v>0.92613285567285342</v>
      </c>
      <c r="L796" s="2">
        <f t="shared" si="38"/>
        <v>0.57877518435607056</v>
      </c>
    </row>
    <row r="797" spans="1:12" x14ac:dyDescent="0.3">
      <c r="A797" s="1">
        <v>45436</v>
      </c>
      <c r="B797" t="s">
        <v>19</v>
      </c>
      <c r="C797" t="s">
        <v>16</v>
      </c>
      <c r="D797" t="s">
        <v>14</v>
      </c>
      <c r="E797">
        <v>324941</v>
      </c>
      <c r="F797">
        <v>163665</v>
      </c>
      <c r="G797">
        <v>367426</v>
      </c>
      <c r="H797">
        <v>4.2</v>
      </c>
      <c r="I797">
        <v>14</v>
      </c>
      <c r="J797">
        <f t="shared" si="36"/>
        <v>161276</v>
      </c>
      <c r="K797" s="2">
        <f t="shared" si="37"/>
        <v>0.8843712747600877</v>
      </c>
      <c r="L797" s="2">
        <f t="shared" si="38"/>
        <v>0.49632394803979801</v>
      </c>
    </row>
    <row r="798" spans="1:12" x14ac:dyDescent="0.3">
      <c r="A798" s="1">
        <v>45438</v>
      </c>
      <c r="B798" t="s">
        <v>9</v>
      </c>
      <c r="C798" t="s">
        <v>16</v>
      </c>
      <c r="D798" t="s">
        <v>14</v>
      </c>
      <c r="E798">
        <v>220765</v>
      </c>
      <c r="F798">
        <v>76386</v>
      </c>
      <c r="G798">
        <v>216317</v>
      </c>
      <c r="H798">
        <v>4.3</v>
      </c>
      <c r="I798">
        <v>7</v>
      </c>
      <c r="J798">
        <f t="shared" si="36"/>
        <v>144379</v>
      </c>
      <c r="K798" s="2">
        <f t="shared" si="37"/>
        <v>1.0205624153441477</v>
      </c>
      <c r="L798" s="2">
        <f t="shared" si="38"/>
        <v>0.65399406608837451</v>
      </c>
    </row>
    <row r="799" spans="1:12" x14ac:dyDescent="0.3">
      <c r="A799" s="1">
        <v>45669</v>
      </c>
      <c r="B799" t="s">
        <v>9</v>
      </c>
      <c r="C799" t="s">
        <v>16</v>
      </c>
      <c r="D799" t="s">
        <v>11</v>
      </c>
      <c r="E799">
        <v>419861</v>
      </c>
      <c r="F799">
        <v>146036</v>
      </c>
      <c r="G799">
        <v>399180</v>
      </c>
      <c r="H799">
        <v>4.4000000000000004</v>
      </c>
      <c r="I799">
        <v>8</v>
      </c>
      <c r="J799">
        <f t="shared" si="36"/>
        <v>273825</v>
      </c>
      <c r="K799" s="2">
        <f t="shared" si="37"/>
        <v>1.0518087078510947</v>
      </c>
      <c r="L799" s="2">
        <f t="shared" si="38"/>
        <v>0.65218012627988786</v>
      </c>
    </row>
    <row r="800" spans="1:12" x14ac:dyDescent="0.3">
      <c r="A800" s="1">
        <v>45418</v>
      </c>
      <c r="B800" t="s">
        <v>9</v>
      </c>
      <c r="C800" t="s">
        <v>13</v>
      </c>
      <c r="D800" t="s">
        <v>17</v>
      </c>
      <c r="E800">
        <v>215782</v>
      </c>
      <c r="F800">
        <v>101450</v>
      </c>
      <c r="G800">
        <v>201455</v>
      </c>
      <c r="H800">
        <v>4.9000000000000004</v>
      </c>
      <c r="I800">
        <v>3</v>
      </c>
      <c r="J800">
        <f t="shared" si="36"/>
        <v>114332</v>
      </c>
      <c r="K800" s="2">
        <f t="shared" si="37"/>
        <v>1.0711176193194509</v>
      </c>
      <c r="L800" s="2">
        <f t="shared" si="38"/>
        <v>0.52984957039975533</v>
      </c>
    </row>
    <row r="801" spans="1:12" x14ac:dyDescent="0.3">
      <c r="A801" s="1">
        <v>45923</v>
      </c>
      <c r="B801" t="s">
        <v>19</v>
      </c>
      <c r="C801" t="s">
        <v>16</v>
      </c>
      <c r="D801" t="s">
        <v>11</v>
      </c>
      <c r="E801">
        <v>351701</v>
      </c>
      <c r="F801">
        <v>187209</v>
      </c>
      <c r="G801">
        <v>341674</v>
      </c>
      <c r="H801">
        <v>5</v>
      </c>
      <c r="I801">
        <v>8</v>
      </c>
      <c r="J801">
        <f t="shared" si="36"/>
        <v>164492</v>
      </c>
      <c r="K801" s="2">
        <f t="shared" si="37"/>
        <v>1.0293466871930554</v>
      </c>
      <c r="L801" s="2">
        <f t="shared" si="38"/>
        <v>0.46770410092663939</v>
      </c>
    </row>
    <row r="802" spans="1:12" x14ac:dyDescent="0.3">
      <c r="A802" s="1">
        <v>45678</v>
      </c>
      <c r="B802" t="s">
        <v>15</v>
      </c>
      <c r="C802" t="s">
        <v>10</v>
      </c>
      <c r="D802" t="s">
        <v>11</v>
      </c>
      <c r="E802">
        <v>236024</v>
      </c>
      <c r="F802">
        <v>114266</v>
      </c>
      <c r="G802">
        <v>236764</v>
      </c>
      <c r="H802">
        <v>3.9</v>
      </c>
      <c r="I802">
        <v>8</v>
      </c>
      <c r="J802">
        <f t="shared" si="36"/>
        <v>121758</v>
      </c>
      <c r="K802" s="2">
        <f t="shared" si="37"/>
        <v>0.99687452484330386</v>
      </c>
      <c r="L802" s="2">
        <f t="shared" si="38"/>
        <v>0.51587126732874622</v>
      </c>
    </row>
    <row r="803" spans="1:12" x14ac:dyDescent="0.3">
      <c r="A803" s="1">
        <v>45727</v>
      </c>
      <c r="B803" t="s">
        <v>9</v>
      </c>
      <c r="C803" t="s">
        <v>10</v>
      </c>
      <c r="D803" t="s">
        <v>17</v>
      </c>
      <c r="E803">
        <v>261063</v>
      </c>
      <c r="F803">
        <v>103938</v>
      </c>
      <c r="G803">
        <v>252675</v>
      </c>
      <c r="H803">
        <v>3.9</v>
      </c>
      <c r="I803">
        <v>6</v>
      </c>
      <c r="J803">
        <f t="shared" si="36"/>
        <v>157125</v>
      </c>
      <c r="K803" s="2">
        <f t="shared" si="37"/>
        <v>1.0331967943009794</v>
      </c>
      <c r="L803" s="2">
        <f t="shared" si="38"/>
        <v>0.60186621620068714</v>
      </c>
    </row>
    <row r="804" spans="1:12" x14ac:dyDescent="0.3">
      <c r="A804" s="1">
        <v>45788</v>
      </c>
      <c r="B804" t="s">
        <v>12</v>
      </c>
      <c r="C804" t="s">
        <v>10</v>
      </c>
      <c r="D804" t="s">
        <v>14</v>
      </c>
      <c r="E804">
        <v>413964</v>
      </c>
      <c r="F804">
        <v>132761</v>
      </c>
      <c r="G804">
        <v>436281</v>
      </c>
      <c r="H804">
        <v>4.4000000000000004</v>
      </c>
      <c r="I804">
        <v>1</v>
      </c>
      <c r="J804">
        <f t="shared" si="36"/>
        <v>281203</v>
      </c>
      <c r="K804" s="2">
        <f t="shared" si="37"/>
        <v>0.94884718793621547</v>
      </c>
      <c r="L804" s="2">
        <f t="shared" si="38"/>
        <v>0.67929336850547395</v>
      </c>
    </row>
    <row r="805" spans="1:12" x14ac:dyDescent="0.3">
      <c r="A805" s="1">
        <v>45845</v>
      </c>
      <c r="B805" t="s">
        <v>15</v>
      </c>
      <c r="C805" t="s">
        <v>18</v>
      </c>
      <c r="D805" t="s">
        <v>14</v>
      </c>
      <c r="E805">
        <v>490369</v>
      </c>
      <c r="F805">
        <v>206689</v>
      </c>
      <c r="G805">
        <v>526955</v>
      </c>
      <c r="H805">
        <v>3.8</v>
      </c>
      <c r="I805">
        <v>14</v>
      </c>
      <c r="J805">
        <f t="shared" si="36"/>
        <v>283680</v>
      </c>
      <c r="K805" s="2">
        <f t="shared" si="37"/>
        <v>0.93057092161569777</v>
      </c>
      <c r="L805" s="2">
        <f t="shared" si="38"/>
        <v>0.57850312723683595</v>
      </c>
    </row>
    <row r="806" spans="1:12" x14ac:dyDescent="0.3">
      <c r="A806" s="1">
        <v>45757</v>
      </c>
      <c r="B806" t="s">
        <v>19</v>
      </c>
      <c r="C806" t="s">
        <v>16</v>
      </c>
      <c r="D806" t="s">
        <v>11</v>
      </c>
      <c r="E806">
        <v>100054</v>
      </c>
      <c r="F806">
        <v>33539</v>
      </c>
      <c r="G806">
        <v>87956</v>
      </c>
      <c r="H806">
        <v>3.6</v>
      </c>
      <c r="I806">
        <v>0</v>
      </c>
      <c r="J806">
        <f t="shared" si="36"/>
        <v>66515</v>
      </c>
      <c r="K806" s="2">
        <f t="shared" si="37"/>
        <v>1.1375460457501478</v>
      </c>
      <c r="L806" s="2">
        <f t="shared" si="38"/>
        <v>0.6647910128530593</v>
      </c>
    </row>
    <row r="807" spans="1:12" x14ac:dyDescent="0.3">
      <c r="A807" s="1">
        <v>46000</v>
      </c>
      <c r="B807" t="s">
        <v>15</v>
      </c>
      <c r="C807" t="s">
        <v>13</v>
      </c>
      <c r="D807" t="s">
        <v>14</v>
      </c>
      <c r="E807">
        <v>466588</v>
      </c>
      <c r="F807">
        <v>189205</v>
      </c>
      <c r="G807">
        <v>468711</v>
      </c>
      <c r="H807">
        <v>5</v>
      </c>
      <c r="I807">
        <v>7</v>
      </c>
      <c r="J807">
        <f t="shared" si="36"/>
        <v>277383</v>
      </c>
      <c r="K807" s="2">
        <f t="shared" si="37"/>
        <v>0.99547055648363281</v>
      </c>
      <c r="L807" s="2">
        <f t="shared" si="38"/>
        <v>0.59449235728308492</v>
      </c>
    </row>
    <row r="808" spans="1:12" x14ac:dyDescent="0.3">
      <c r="A808" s="1">
        <v>45501</v>
      </c>
      <c r="B808" t="s">
        <v>19</v>
      </c>
      <c r="C808" t="s">
        <v>16</v>
      </c>
      <c r="D808" t="s">
        <v>11</v>
      </c>
      <c r="E808">
        <v>234866</v>
      </c>
      <c r="F808">
        <v>116645</v>
      </c>
      <c r="G808">
        <v>224082</v>
      </c>
      <c r="H808">
        <v>4.0999999999999996</v>
      </c>
      <c r="I808">
        <v>6</v>
      </c>
      <c r="J808">
        <f t="shared" si="36"/>
        <v>118221</v>
      </c>
      <c r="K808" s="2">
        <f t="shared" si="37"/>
        <v>1.0481252398675485</v>
      </c>
      <c r="L808" s="2">
        <f t="shared" si="38"/>
        <v>0.50335510461284305</v>
      </c>
    </row>
    <row r="809" spans="1:12" x14ac:dyDescent="0.3">
      <c r="A809" s="1">
        <v>45562</v>
      </c>
      <c r="B809" t="s">
        <v>9</v>
      </c>
      <c r="C809" t="s">
        <v>13</v>
      </c>
      <c r="D809" t="s">
        <v>14</v>
      </c>
      <c r="E809">
        <v>321714</v>
      </c>
      <c r="F809">
        <v>119357</v>
      </c>
      <c r="G809">
        <v>306076</v>
      </c>
      <c r="H809">
        <v>4.5999999999999996</v>
      </c>
      <c r="I809">
        <v>5</v>
      </c>
      <c r="J809">
        <f t="shared" si="36"/>
        <v>202357</v>
      </c>
      <c r="K809" s="2">
        <f t="shared" si="37"/>
        <v>1.0510918856754532</v>
      </c>
      <c r="L809" s="2">
        <f t="shared" si="38"/>
        <v>0.62899656216390953</v>
      </c>
    </row>
    <row r="810" spans="1:12" x14ac:dyDescent="0.3">
      <c r="A810" s="1">
        <v>46016</v>
      </c>
      <c r="B810" t="s">
        <v>19</v>
      </c>
      <c r="C810" t="s">
        <v>10</v>
      </c>
      <c r="D810" t="s">
        <v>14</v>
      </c>
      <c r="E810">
        <v>190801</v>
      </c>
      <c r="F810">
        <v>111606</v>
      </c>
      <c r="G810">
        <v>172793</v>
      </c>
      <c r="H810">
        <v>3.8</v>
      </c>
      <c r="I810">
        <v>14</v>
      </c>
      <c r="J810">
        <f t="shared" si="36"/>
        <v>79195</v>
      </c>
      <c r="K810" s="2">
        <f t="shared" si="37"/>
        <v>1.1042171847239182</v>
      </c>
      <c r="L810" s="2">
        <f t="shared" si="38"/>
        <v>0.41506595877380098</v>
      </c>
    </row>
    <row r="811" spans="1:12" x14ac:dyDescent="0.3">
      <c r="A811" s="1">
        <v>45437</v>
      </c>
      <c r="B811" t="s">
        <v>9</v>
      </c>
      <c r="C811" t="s">
        <v>16</v>
      </c>
      <c r="D811" t="s">
        <v>11</v>
      </c>
      <c r="E811">
        <v>212459</v>
      </c>
      <c r="F811">
        <v>86193</v>
      </c>
      <c r="G811">
        <v>236202</v>
      </c>
      <c r="H811">
        <v>3.9</v>
      </c>
      <c r="I811">
        <v>1</v>
      </c>
      <c r="J811">
        <f t="shared" si="36"/>
        <v>126266</v>
      </c>
      <c r="K811" s="2">
        <f t="shared" si="37"/>
        <v>0.89948010601095674</v>
      </c>
      <c r="L811" s="2">
        <f t="shared" si="38"/>
        <v>0.59430760758546353</v>
      </c>
    </row>
    <row r="812" spans="1:12" x14ac:dyDescent="0.3">
      <c r="A812" s="1">
        <v>45875</v>
      </c>
      <c r="B812" t="s">
        <v>15</v>
      </c>
      <c r="C812" t="s">
        <v>18</v>
      </c>
      <c r="D812" t="s">
        <v>17</v>
      </c>
      <c r="E812">
        <v>359345</v>
      </c>
      <c r="F812">
        <v>202158</v>
      </c>
      <c r="G812">
        <v>333740</v>
      </c>
      <c r="H812">
        <v>4.4000000000000004</v>
      </c>
      <c r="I812">
        <v>1</v>
      </c>
      <c r="J812">
        <f t="shared" si="36"/>
        <v>157187</v>
      </c>
      <c r="K812" s="2">
        <f t="shared" si="37"/>
        <v>1.0767213998921317</v>
      </c>
      <c r="L812" s="2">
        <f t="shared" si="38"/>
        <v>0.43742642864099962</v>
      </c>
    </row>
    <row r="813" spans="1:12" x14ac:dyDescent="0.3">
      <c r="A813" s="1">
        <v>46004</v>
      </c>
      <c r="B813" t="s">
        <v>15</v>
      </c>
      <c r="C813" t="s">
        <v>13</v>
      </c>
      <c r="D813" t="s">
        <v>11</v>
      </c>
      <c r="E813">
        <v>578690</v>
      </c>
      <c r="F813">
        <v>262617</v>
      </c>
      <c r="G813">
        <v>611696</v>
      </c>
      <c r="H813">
        <v>4.8</v>
      </c>
      <c r="I813">
        <v>4</v>
      </c>
      <c r="J813">
        <f t="shared" si="36"/>
        <v>316073</v>
      </c>
      <c r="K813" s="2">
        <f t="shared" si="37"/>
        <v>0.94604182469723519</v>
      </c>
      <c r="L813" s="2">
        <f t="shared" si="38"/>
        <v>0.54618707771000019</v>
      </c>
    </row>
    <row r="814" spans="1:12" x14ac:dyDescent="0.3">
      <c r="A814" s="1">
        <v>45700</v>
      </c>
      <c r="B814" t="s">
        <v>9</v>
      </c>
      <c r="C814" t="s">
        <v>13</v>
      </c>
      <c r="D814" t="s">
        <v>17</v>
      </c>
      <c r="E814">
        <v>409594</v>
      </c>
      <c r="F814">
        <v>171894</v>
      </c>
      <c r="G814">
        <v>381758</v>
      </c>
      <c r="H814">
        <v>4.5999999999999996</v>
      </c>
      <c r="I814">
        <v>13</v>
      </c>
      <c r="J814">
        <f t="shared" si="36"/>
        <v>237700</v>
      </c>
      <c r="K814" s="2">
        <f t="shared" si="37"/>
        <v>1.072915302364325</v>
      </c>
      <c r="L814" s="2">
        <f t="shared" si="38"/>
        <v>0.58033076656396332</v>
      </c>
    </row>
    <row r="815" spans="1:12" x14ac:dyDescent="0.3">
      <c r="A815" s="1">
        <v>45969</v>
      </c>
      <c r="B815" t="s">
        <v>12</v>
      </c>
      <c r="C815" t="s">
        <v>13</v>
      </c>
      <c r="D815" t="s">
        <v>11</v>
      </c>
      <c r="E815">
        <v>255847</v>
      </c>
      <c r="F815">
        <v>130471</v>
      </c>
      <c r="G815">
        <v>241696</v>
      </c>
      <c r="H815">
        <v>4.2</v>
      </c>
      <c r="I815">
        <v>8</v>
      </c>
      <c r="J815">
        <f t="shared" si="36"/>
        <v>125376</v>
      </c>
      <c r="K815" s="2">
        <f t="shared" si="37"/>
        <v>1.0585487554614061</v>
      </c>
      <c r="L815" s="2">
        <f t="shared" si="38"/>
        <v>0.49004287718831957</v>
      </c>
    </row>
    <row r="816" spans="1:12" x14ac:dyDescent="0.3">
      <c r="A816" s="1">
        <v>45424</v>
      </c>
      <c r="B816" t="s">
        <v>9</v>
      </c>
      <c r="C816" t="s">
        <v>16</v>
      </c>
      <c r="D816" t="s">
        <v>17</v>
      </c>
      <c r="E816">
        <v>101493</v>
      </c>
      <c r="F816">
        <v>33444</v>
      </c>
      <c r="G816">
        <v>98786</v>
      </c>
      <c r="H816">
        <v>4.2</v>
      </c>
      <c r="I816">
        <v>11</v>
      </c>
      <c r="J816">
        <f t="shared" si="36"/>
        <v>68049</v>
      </c>
      <c r="K816" s="2">
        <f t="shared" si="37"/>
        <v>1.0274026683943069</v>
      </c>
      <c r="L816" s="2">
        <f t="shared" si="38"/>
        <v>0.67047973751884371</v>
      </c>
    </row>
    <row r="817" spans="1:12" x14ac:dyDescent="0.3">
      <c r="A817" s="1">
        <v>45399</v>
      </c>
      <c r="B817" t="s">
        <v>15</v>
      </c>
      <c r="C817" t="s">
        <v>10</v>
      </c>
      <c r="D817" t="s">
        <v>11</v>
      </c>
      <c r="E817">
        <v>537202</v>
      </c>
      <c r="F817">
        <v>272755</v>
      </c>
      <c r="G817">
        <v>536564</v>
      </c>
      <c r="H817">
        <v>3.5</v>
      </c>
      <c r="I817">
        <v>11</v>
      </c>
      <c r="J817">
        <f t="shared" si="36"/>
        <v>264447</v>
      </c>
      <c r="K817" s="2">
        <f t="shared" si="37"/>
        <v>1.0011890473457035</v>
      </c>
      <c r="L817" s="2">
        <f t="shared" si="38"/>
        <v>0.49226734077683998</v>
      </c>
    </row>
    <row r="818" spans="1:12" x14ac:dyDescent="0.3">
      <c r="A818" s="1">
        <v>45789</v>
      </c>
      <c r="B818" t="s">
        <v>15</v>
      </c>
      <c r="C818" t="s">
        <v>10</v>
      </c>
      <c r="D818" t="s">
        <v>17</v>
      </c>
      <c r="E818">
        <v>308162</v>
      </c>
      <c r="F818">
        <v>128147</v>
      </c>
      <c r="G818">
        <v>337264</v>
      </c>
      <c r="H818">
        <v>4.0999999999999996</v>
      </c>
      <c r="I818">
        <v>11</v>
      </c>
      <c r="J818">
        <f t="shared" si="36"/>
        <v>180015</v>
      </c>
      <c r="K818" s="2">
        <f t="shared" si="37"/>
        <v>0.91371151382892923</v>
      </c>
      <c r="L818" s="2">
        <f t="shared" si="38"/>
        <v>0.5841570342871607</v>
      </c>
    </row>
    <row r="819" spans="1:12" x14ac:dyDescent="0.3">
      <c r="A819" s="1">
        <v>45707</v>
      </c>
      <c r="B819" t="s">
        <v>12</v>
      </c>
      <c r="C819" t="s">
        <v>18</v>
      </c>
      <c r="D819" t="s">
        <v>17</v>
      </c>
      <c r="E819">
        <v>99941</v>
      </c>
      <c r="F819">
        <v>58195</v>
      </c>
      <c r="G819">
        <v>87016</v>
      </c>
      <c r="H819">
        <v>4.2</v>
      </c>
      <c r="I819">
        <v>9</v>
      </c>
      <c r="J819">
        <f t="shared" si="36"/>
        <v>41746</v>
      </c>
      <c r="K819" s="2">
        <f t="shared" si="37"/>
        <v>1.1485359014434127</v>
      </c>
      <c r="L819" s="2">
        <f t="shared" si="38"/>
        <v>0.41770644680361413</v>
      </c>
    </row>
    <row r="820" spans="1:12" x14ac:dyDescent="0.3">
      <c r="A820" s="1">
        <v>45948</v>
      </c>
      <c r="B820" t="s">
        <v>12</v>
      </c>
      <c r="C820" t="s">
        <v>10</v>
      </c>
      <c r="D820" t="s">
        <v>17</v>
      </c>
      <c r="E820">
        <v>152339</v>
      </c>
      <c r="F820">
        <v>80904</v>
      </c>
      <c r="G820">
        <v>140399</v>
      </c>
      <c r="H820">
        <v>3.8</v>
      </c>
      <c r="I820">
        <v>9</v>
      </c>
      <c r="J820">
        <f t="shared" si="36"/>
        <v>71435</v>
      </c>
      <c r="K820" s="2">
        <f t="shared" si="37"/>
        <v>1.0850433407645355</v>
      </c>
      <c r="L820" s="2">
        <f t="shared" si="38"/>
        <v>0.46892128739193512</v>
      </c>
    </row>
    <row r="821" spans="1:12" x14ac:dyDescent="0.3">
      <c r="A821" s="1">
        <v>45616</v>
      </c>
      <c r="B821" t="s">
        <v>9</v>
      </c>
      <c r="C821" t="s">
        <v>16</v>
      </c>
      <c r="D821" t="s">
        <v>14</v>
      </c>
      <c r="E821">
        <v>206314</v>
      </c>
      <c r="F821">
        <v>106044</v>
      </c>
      <c r="G821">
        <v>199562</v>
      </c>
      <c r="H821">
        <v>5</v>
      </c>
      <c r="I821">
        <v>12</v>
      </c>
      <c r="J821">
        <f t="shared" si="36"/>
        <v>100270</v>
      </c>
      <c r="K821" s="2">
        <f t="shared" si="37"/>
        <v>1.033834096671711</v>
      </c>
      <c r="L821" s="2">
        <f t="shared" si="38"/>
        <v>0.48600676638521867</v>
      </c>
    </row>
    <row r="822" spans="1:12" x14ac:dyDescent="0.3">
      <c r="A822" s="1">
        <v>45774</v>
      </c>
      <c r="B822" t="s">
        <v>12</v>
      </c>
      <c r="C822" t="s">
        <v>13</v>
      </c>
      <c r="D822" t="s">
        <v>14</v>
      </c>
      <c r="E822">
        <v>268916</v>
      </c>
      <c r="F822">
        <v>107302</v>
      </c>
      <c r="G822">
        <v>257513</v>
      </c>
      <c r="H822">
        <v>3.9</v>
      </c>
      <c r="I822">
        <v>7</v>
      </c>
      <c r="J822">
        <f t="shared" si="36"/>
        <v>161614</v>
      </c>
      <c r="K822" s="2">
        <f t="shared" si="37"/>
        <v>1.0442812595868947</v>
      </c>
      <c r="L822" s="2">
        <f t="shared" si="38"/>
        <v>0.60098320665189131</v>
      </c>
    </row>
    <row r="823" spans="1:12" x14ac:dyDescent="0.3">
      <c r="A823" s="1">
        <v>45764</v>
      </c>
      <c r="B823" t="s">
        <v>9</v>
      </c>
      <c r="C823" t="s">
        <v>10</v>
      </c>
      <c r="D823" t="s">
        <v>17</v>
      </c>
      <c r="E823">
        <v>76381</v>
      </c>
      <c r="F823">
        <v>39420</v>
      </c>
      <c r="G823">
        <v>80671</v>
      </c>
      <c r="H823">
        <v>4</v>
      </c>
      <c r="I823">
        <v>12</v>
      </c>
      <c r="J823">
        <f t="shared" si="36"/>
        <v>36961</v>
      </c>
      <c r="K823" s="2">
        <f t="shared" si="37"/>
        <v>0.94682103853925204</v>
      </c>
      <c r="L823" s="2">
        <f t="shared" si="38"/>
        <v>0.48390306489833862</v>
      </c>
    </row>
    <row r="824" spans="1:12" x14ac:dyDescent="0.3">
      <c r="A824" s="1">
        <v>45646</v>
      </c>
      <c r="B824" t="s">
        <v>19</v>
      </c>
      <c r="C824" t="s">
        <v>10</v>
      </c>
      <c r="D824" t="s">
        <v>17</v>
      </c>
      <c r="E824">
        <v>331171</v>
      </c>
      <c r="F824">
        <v>165997</v>
      </c>
      <c r="G824">
        <v>314219</v>
      </c>
      <c r="H824">
        <v>4.5</v>
      </c>
      <c r="I824">
        <v>12</v>
      </c>
      <c r="J824">
        <f t="shared" si="36"/>
        <v>165174</v>
      </c>
      <c r="K824" s="2">
        <f t="shared" si="37"/>
        <v>1.0539496338540955</v>
      </c>
      <c r="L824" s="2">
        <f t="shared" si="38"/>
        <v>0.49875743951010204</v>
      </c>
    </row>
    <row r="825" spans="1:12" x14ac:dyDescent="0.3">
      <c r="A825" s="1">
        <v>45765</v>
      </c>
      <c r="B825" t="s">
        <v>15</v>
      </c>
      <c r="C825" t="s">
        <v>18</v>
      </c>
      <c r="D825" t="s">
        <v>11</v>
      </c>
      <c r="E825">
        <v>454854</v>
      </c>
      <c r="F825">
        <v>222015</v>
      </c>
      <c r="G825">
        <v>485832</v>
      </c>
      <c r="H825">
        <v>4.5</v>
      </c>
      <c r="I825">
        <v>11</v>
      </c>
      <c r="J825">
        <f t="shared" si="36"/>
        <v>232839</v>
      </c>
      <c r="K825" s="2">
        <f t="shared" si="37"/>
        <v>0.93623721780368518</v>
      </c>
      <c r="L825" s="2">
        <f t="shared" si="38"/>
        <v>0.51189832341806385</v>
      </c>
    </row>
    <row r="826" spans="1:12" x14ac:dyDescent="0.3">
      <c r="A826" s="1">
        <v>45842</v>
      </c>
      <c r="B826" t="s">
        <v>19</v>
      </c>
      <c r="C826" t="s">
        <v>10</v>
      </c>
      <c r="D826" t="s">
        <v>14</v>
      </c>
      <c r="E826">
        <v>381380</v>
      </c>
      <c r="F826">
        <v>168224</v>
      </c>
      <c r="G826">
        <v>428873</v>
      </c>
      <c r="H826">
        <v>3.7</v>
      </c>
      <c r="I826">
        <v>12</v>
      </c>
      <c r="J826">
        <f t="shared" si="36"/>
        <v>213156</v>
      </c>
      <c r="K826" s="2">
        <f t="shared" si="37"/>
        <v>0.88926092339690299</v>
      </c>
      <c r="L826" s="2">
        <f t="shared" si="38"/>
        <v>0.55890712675022292</v>
      </c>
    </row>
    <row r="827" spans="1:12" x14ac:dyDescent="0.3">
      <c r="A827" s="1">
        <v>45331</v>
      </c>
      <c r="B827" t="s">
        <v>15</v>
      </c>
      <c r="C827" t="s">
        <v>13</v>
      </c>
      <c r="D827" t="s">
        <v>14</v>
      </c>
      <c r="E827">
        <v>15666</v>
      </c>
      <c r="F827">
        <v>7089</v>
      </c>
      <c r="G827">
        <v>16710</v>
      </c>
      <c r="H827">
        <v>3.8</v>
      </c>
      <c r="I827">
        <v>4</v>
      </c>
      <c r="J827">
        <f t="shared" si="36"/>
        <v>8577</v>
      </c>
      <c r="K827" s="2">
        <f t="shared" si="37"/>
        <v>0.93752244165170562</v>
      </c>
      <c r="L827" s="2">
        <f t="shared" si="38"/>
        <v>0.54749138261202601</v>
      </c>
    </row>
    <row r="828" spans="1:12" x14ac:dyDescent="0.3">
      <c r="A828" s="1">
        <v>45407</v>
      </c>
      <c r="B828" t="s">
        <v>15</v>
      </c>
      <c r="C828" t="s">
        <v>18</v>
      </c>
      <c r="D828" t="s">
        <v>11</v>
      </c>
      <c r="E828">
        <v>312666</v>
      </c>
      <c r="F828">
        <v>166003</v>
      </c>
      <c r="G828">
        <v>282815</v>
      </c>
      <c r="H828">
        <v>4.3</v>
      </c>
      <c r="I828">
        <v>12</v>
      </c>
      <c r="J828">
        <f t="shared" si="36"/>
        <v>146663</v>
      </c>
      <c r="K828" s="2">
        <f t="shared" si="37"/>
        <v>1.1055495642027473</v>
      </c>
      <c r="L828" s="2">
        <f t="shared" si="38"/>
        <v>0.4690724287258608</v>
      </c>
    </row>
    <row r="829" spans="1:12" x14ac:dyDescent="0.3">
      <c r="A829" s="1">
        <v>45732</v>
      </c>
      <c r="B829" t="s">
        <v>15</v>
      </c>
      <c r="C829" t="s">
        <v>16</v>
      </c>
      <c r="D829" t="s">
        <v>14</v>
      </c>
      <c r="E829">
        <v>114843</v>
      </c>
      <c r="F829">
        <v>53227</v>
      </c>
      <c r="G829">
        <v>103251</v>
      </c>
      <c r="H829">
        <v>4</v>
      </c>
      <c r="I829">
        <v>0</v>
      </c>
      <c r="J829">
        <f t="shared" si="36"/>
        <v>61616</v>
      </c>
      <c r="K829" s="2">
        <f t="shared" si="37"/>
        <v>1.1122700990789436</v>
      </c>
      <c r="L829" s="2">
        <f t="shared" si="38"/>
        <v>0.53652377593758438</v>
      </c>
    </row>
    <row r="830" spans="1:12" x14ac:dyDescent="0.3">
      <c r="A830" s="1">
        <v>45361</v>
      </c>
      <c r="B830" t="s">
        <v>15</v>
      </c>
      <c r="C830" t="s">
        <v>16</v>
      </c>
      <c r="D830" t="s">
        <v>17</v>
      </c>
      <c r="E830">
        <v>487011</v>
      </c>
      <c r="F830">
        <v>297258</v>
      </c>
      <c r="G830">
        <v>486945</v>
      </c>
      <c r="H830">
        <v>4.5999999999999996</v>
      </c>
      <c r="I830">
        <v>11</v>
      </c>
      <c r="J830">
        <f t="shared" si="36"/>
        <v>189753</v>
      </c>
      <c r="K830" s="2">
        <f t="shared" si="37"/>
        <v>1.0001355389212334</v>
      </c>
      <c r="L830" s="2">
        <f t="shared" si="38"/>
        <v>0.38962774968121872</v>
      </c>
    </row>
    <row r="831" spans="1:12" x14ac:dyDescent="0.3">
      <c r="A831" s="1">
        <v>45580</v>
      </c>
      <c r="B831" t="s">
        <v>15</v>
      </c>
      <c r="C831" t="s">
        <v>16</v>
      </c>
      <c r="D831" t="s">
        <v>11</v>
      </c>
      <c r="E831">
        <v>409589</v>
      </c>
      <c r="F831">
        <v>142596</v>
      </c>
      <c r="G831">
        <v>409489</v>
      </c>
      <c r="H831">
        <v>3.9</v>
      </c>
      <c r="I831">
        <v>4</v>
      </c>
      <c r="J831">
        <f t="shared" si="36"/>
        <v>266993</v>
      </c>
      <c r="K831" s="2">
        <f t="shared" si="37"/>
        <v>1.00024420680409</v>
      </c>
      <c r="L831" s="2">
        <f t="shared" si="38"/>
        <v>0.65185588480159384</v>
      </c>
    </row>
    <row r="832" spans="1:12" x14ac:dyDescent="0.3">
      <c r="A832" s="1">
        <v>45882</v>
      </c>
      <c r="B832" t="s">
        <v>15</v>
      </c>
      <c r="C832" t="s">
        <v>18</v>
      </c>
      <c r="D832" t="s">
        <v>17</v>
      </c>
      <c r="E832">
        <v>493414</v>
      </c>
      <c r="F832">
        <v>214383</v>
      </c>
      <c r="G832">
        <v>491718</v>
      </c>
      <c r="H832">
        <v>4.3</v>
      </c>
      <c r="I832">
        <v>5</v>
      </c>
      <c r="J832">
        <f t="shared" si="36"/>
        <v>279031</v>
      </c>
      <c r="K832" s="2">
        <f t="shared" si="37"/>
        <v>1.0034491314127203</v>
      </c>
      <c r="L832" s="2">
        <f t="shared" si="38"/>
        <v>0.56551090970260265</v>
      </c>
    </row>
    <row r="833" spans="1:12" x14ac:dyDescent="0.3">
      <c r="A833" s="1">
        <v>45972</v>
      </c>
      <c r="B833" t="s">
        <v>9</v>
      </c>
      <c r="C833" t="s">
        <v>18</v>
      </c>
      <c r="D833" t="s">
        <v>14</v>
      </c>
      <c r="E833">
        <v>95366</v>
      </c>
      <c r="F833">
        <v>34484</v>
      </c>
      <c r="G833">
        <v>104755</v>
      </c>
      <c r="H833">
        <v>4.4000000000000004</v>
      </c>
      <c r="I833">
        <v>11</v>
      </c>
      <c r="J833">
        <f t="shared" si="36"/>
        <v>60882</v>
      </c>
      <c r="K833" s="2">
        <f t="shared" si="37"/>
        <v>0.91037181996086103</v>
      </c>
      <c r="L833" s="2">
        <f t="shared" si="38"/>
        <v>0.63840362393305794</v>
      </c>
    </row>
    <row r="834" spans="1:12" x14ac:dyDescent="0.3">
      <c r="A834" s="1">
        <v>45605</v>
      </c>
      <c r="B834" t="s">
        <v>19</v>
      </c>
      <c r="C834" t="s">
        <v>18</v>
      </c>
      <c r="D834" t="s">
        <v>17</v>
      </c>
      <c r="E834">
        <v>151439</v>
      </c>
      <c r="F834">
        <v>86517</v>
      </c>
      <c r="G834">
        <v>140537</v>
      </c>
      <c r="H834">
        <v>4.0999999999999996</v>
      </c>
      <c r="I834">
        <v>6</v>
      </c>
      <c r="J834">
        <f t="shared" si="36"/>
        <v>64922</v>
      </c>
      <c r="K834" s="2">
        <f t="shared" si="37"/>
        <v>1.0775738773419099</v>
      </c>
      <c r="L834" s="2">
        <f t="shared" si="38"/>
        <v>0.428700664954206</v>
      </c>
    </row>
    <row r="835" spans="1:12" x14ac:dyDescent="0.3">
      <c r="A835" s="1">
        <v>45762</v>
      </c>
      <c r="B835" t="s">
        <v>9</v>
      </c>
      <c r="C835" t="s">
        <v>16</v>
      </c>
      <c r="D835" t="s">
        <v>14</v>
      </c>
      <c r="E835">
        <v>65182</v>
      </c>
      <c r="F835">
        <v>27174</v>
      </c>
      <c r="G835">
        <v>57604</v>
      </c>
      <c r="H835">
        <v>4.5999999999999996</v>
      </c>
      <c r="I835">
        <v>15</v>
      </c>
      <c r="J835">
        <f t="shared" ref="J835:J898" si="39">E835-F835</f>
        <v>38008</v>
      </c>
      <c r="K835" s="2">
        <f t="shared" ref="K835:K898" si="40">E835/G835</f>
        <v>1.131553364349698</v>
      </c>
      <c r="L835" s="2">
        <f t="shared" ref="L835:L898" si="41">J835/E835</f>
        <v>0.58310576539535453</v>
      </c>
    </row>
    <row r="836" spans="1:12" x14ac:dyDescent="0.3">
      <c r="A836" s="1">
        <v>45640</v>
      </c>
      <c r="B836" t="s">
        <v>15</v>
      </c>
      <c r="C836" t="s">
        <v>10</v>
      </c>
      <c r="D836" t="s">
        <v>17</v>
      </c>
      <c r="E836">
        <v>112975</v>
      </c>
      <c r="F836">
        <v>61789</v>
      </c>
      <c r="G836">
        <v>105489</v>
      </c>
      <c r="H836">
        <v>4.9000000000000004</v>
      </c>
      <c r="I836">
        <v>13</v>
      </c>
      <c r="J836">
        <f t="shared" si="39"/>
        <v>51186</v>
      </c>
      <c r="K836" s="2">
        <f t="shared" si="40"/>
        <v>1.0709647451393036</v>
      </c>
      <c r="L836" s="2">
        <f t="shared" si="41"/>
        <v>0.45307368886921884</v>
      </c>
    </row>
    <row r="837" spans="1:12" x14ac:dyDescent="0.3">
      <c r="A837" s="1">
        <v>45388</v>
      </c>
      <c r="B837" t="s">
        <v>15</v>
      </c>
      <c r="C837" t="s">
        <v>16</v>
      </c>
      <c r="D837" t="s">
        <v>11</v>
      </c>
      <c r="E837">
        <v>468138</v>
      </c>
      <c r="F837">
        <v>149648</v>
      </c>
      <c r="G837">
        <v>534932</v>
      </c>
      <c r="H837">
        <v>3.6</v>
      </c>
      <c r="I837">
        <v>6</v>
      </c>
      <c r="J837">
        <f t="shared" si="39"/>
        <v>318490</v>
      </c>
      <c r="K837" s="2">
        <f t="shared" si="40"/>
        <v>0.8751355312450928</v>
      </c>
      <c r="L837" s="2">
        <f t="shared" si="41"/>
        <v>0.68033357685127038</v>
      </c>
    </row>
    <row r="838" spans="1:12" x14ac:dyDescent="0.3">
      <c r="A838" s="1">
        <v>45402</v>
      </c>
      <c r="B838" t="s">
        <v>15</v>
      </c>
      <c r="C838" t="s">
        <v>18</v>
      </c>
      <c r="D838" t="s">
        <v>14</v>
      </c>
      <c r="E838">
        <v>297166</v>
      </c>
      <c r="F838">
        <v>163878</v>
      </c>
      <c r="G838">
        <v>321047</v>
      </c>
      <c r="H838">
        <v>4.5999999999999996</v>
      </c>
      <c r="I838">
        <v>14</v>
      </c>
      <c r="J838">
        <f t="shared" si="39"/>
        <v>133288</v>
      </c>
      <c r="K838" s="2">
        <f t="shared" si="40"/>
        <v>0.92561525259541433</v>
      </c>
      <c r="L838" s="2">
        <f t="shared" si="41"/>
        <v>0.44853045099372069</v>
      </c>
    </row>
    <row r="839" spans="1:12" x14ac:dyDescent="0.3">
      <c r="A839" s="1">
        <v>45887</v>
      </c>
      <c r="B839" t="s">
        <v>12</v>
      </c>
      <c r="C839" t="s">
        <v>18</v>
      </c>
      <c r="D839" t="s">
        <v>11</v>
      </c>
      <c r="E839">
        <v>415377</v>
      </c>
      <c r="F839">
        <v>242051</v>
      </c>
      <c r="G839">
        <v>426928</v>
      </c>
      <c r="H839">
        <v>4.7</v>
      </c>
      <c r="I839">
        <v>1</v>
      </c>
      <c r="J839">
        <f t="shared" si="39"/>
        <v>173326</v>
      </c>
      <c r="K839" s="2">
        <f t="shared" si="40"/>
        <v>0.97294391560169391</v>
      </c>
      <c r="L839" s="2">
        <f t="shared" si="41"/>
        <v>0.41727394631864545</v>
      </c>
    </row>
    <row r="840" spans="1:12" x14ac:dyDescent="0.3">
      <c r="A840" s="1">
        <v>45549</v>
      </c>
      <c r="B840" t="s">
        <v>15</v>
      </c>
      <c r="C840" t="s">
        <v>13</v>
      </c>
      <c r="D840" t="s">
        <v>17</v>
      </c>
      <c r="E840">
        <v>391116</v>
      </c>
      <c r="F840">
        <v>198884</v>
      </c>
      <c r="G840">
        <v>394086</v>
      </c>
      <c r="H840">
        <v>3.6</v>
      </c>
      <c r="I840">
        <v>1</v>
      </c>
      <c r="J840">
        <f t="shared" si="39"/>
        <v>192232</v>
      </c>
      <c r="K840" s="2">
        <f t="shared" si="40"/>
        <v>0.99246357394071349</v>
      </c>
      <c r="L840" s="2">
        <f t="shared" si="41"/>
        <v>0.49149612902565992</v>
      </c>
    </row>
    <row r="841" spans="1:12" x14ac:dyDescent="0.3">
      <c r="A841" s="1">
        <v>45980</v>
      </c>
      <c r="B841" t="s">
        <v>12</v>
      </c>
      <c r="C841" t="s">
        <v>16</v>
      </c>
      <c r="D841" t="s">
        <v>14</v>
      </c>
      <c r="E841">
        <v>264957</v>
      </c>
      <c r="F841">
        <v>109492</v>
      </c>
      <c r="G841">
        <v>277852</v>
      </c>
      <c r="H841">
        <v>4.5999999999999996</v>
      </c>
      <c r="I841">
        <v>9</v>
      </c>
      <c r="J841">
        <f t="shared" si="39"/>
        <v>155465</v>
      </c>
      <c r="K841" s="2">
        <f t="shared" si="40"/>
        <v>0.95359040064494771</v>
      </c>
      <c r="L841" s="2">
        <f t="shared" si="41"/>
        <v>0.58675558675558681</v>
      </c>
    </row>
    <row r="842" spans="1:12" x14ac:dyDescent="0.3">
      <c r="A842" s="1">
        <v>45527</v>
      </c>
      <c r="B842" t="s">
        <v>15</v>
      </c>
      <c r="C842" t="s">
        <v>13</v>
      </c>
      <c r="D842" t="s">
        <v>14</v>
      </c>
      <c r="E842">
        <v>40461</v>
      </c>
      <c r="F842">
        <v>25007</v>
      </c>
      <c r="G842">
        <v>41646</v>
      </c>
      <c r="H842">
        <v>4.8</v>
      </c>
      <c r="I842">
        <v>15</v>
      </c>
      <c r="J842">
        <f t="shared" si="39"/>
        <v>15454</v>
      </c>
      <c r="K842" s="2">
        <f t="shared" si="40"/>
        <v>0.97154588675983289</v>
      </c>
      <c r="L842" s="2">
        <f t="shared" si="41"/>
        <v>0.38194804873829119</v>
      </c>
    </row>
    <row r="843" spans="1:12" x14ac:dyDescent="0.3">
      <c r="A843" s="1">
        <v>45816</v>
      </c>
      <c r="B843" t="s">
        <v>9</v>
      </c>
      <c r="C843" t="s">
        <v>13</v>
      </c>
      <c r="D843" t="s">
        <v>11</v>
      </c>
      <c r="E843">
        <v>365050</v>
      </c>
      <c r="F843">
        <v>126743</v>
      </c>
      <c r="G843">
        <v>390986</v>
      </c>
      <c r="H843">
        <v>4.3</v>
      </c>
      <c r="I843">
        <v>4</v>
      </c>
      <c r="J843">
        <f t="shared" si="39"/>
        <v>238307</v>
      </c>
      <c r="K843" s="2">
        <f t="shared" si="40"/>
        <v>0.93366514402050205</v>
      </c>
      <c r="L843" s="2">
        <f t="shared" si="41"/>
        <v>0.65280646486782634</v>
      </c>
    </row>
    <row r="844" spans="1:12" x14ac:dyDescent="0.3">
      <c r="A844" s="1">
        <v>45649</v>
      </c>
      <c r="B844" t="s">
        <v>15</v>
      </c>
      <c r="C844" t="s">
        <v>10</v>
      </c>
      <c r="D844" t="s">
        <v>11</v>
      </c>
      <c r="E844">
        <v>17461</v>
      </c>
      <c r="F844">
        <v>7097</v>
      </c>
      <c r="G844">
        <v>16590</v>
      </c>
      <c r="H844">
        <v>3.9</v>
      </c>
      <c r="I844">
        <v>4</v>
      </c>
      <c r="J844">
        <f t="shared" si="39"/>
        <v>10364</v>
      </c>
      <c r="K844" s="2">
        <f t="shared" si="40"/>
        <v>1.0525015069318866</v>
      </c>
      <c r="L844" s="2">
        <f t="shared" si="41"/>
        <v>0.59355134299295575</v>
      </c>
    </row>
    <row r="845" spans="1:12" x14ac:dyDescent="0.3">
      <c r="A845" s="1">
        <v>45739</v>
      </c>
      <c r="B845" t="s">
        <v>9</v>
      </c>
      <c r="C845" t="s">
        <v>13</v>
      </c>
      <c r="D845" t="s">
        <v>17</v>
      </c>
      <c r="E845">
        <v>185405</v>
      </c>
      <c r="F845">
        <v>81288</v>
      </c>
      <c r="G845">
        <v>186909</v>
      </c>
      <c r="H845">
        <v>4.4000000000000004</v>
      </c>
      <c r="I845">
        <v>14</v>
      </c>
      <c r="J845">
        <f t="shared" si="39"/>
        <v>104117</v>
      </c>
      <c r="K845" s="2">
        <f t="shared" si="40"/>
        <v>0.99195330347923316</v>
      </c>
      <c r="L845" s="2">
        <f t="shared" si="41"/>
        <v>0.56156522208138937</v>
      </c>
    </row>
    <row r="846" spans="1:12" x14ac:dyDescent="0.3">
      <c r="A846" s="1">
        <v>45897</v>
      </c>
      <c r="B846" t="s">
        <v>15</v>
      </c>
      <c r="C846" t="s">
        <v>16</v>
      </c>
      <c r="D846" t="s">
        <v>14</v>
      </c>
      <c r="E846">
        <v>162053</v>
      </c>
      <c r="F846">
        <v>88994</v>
      </c>
      <c r="G846">
        <v>157247</v>
      </c>
      <c r="H846">
        <v>4.9000000000000004</v>
      </c>
      <c r="I846">
        <v>3</v>
      </c>
      <c r="J846">
        <f t="shared" si="39"/>
        <v>73059</v>
      </c>
      <c r="K846" s="2">
        <f t="shared" si="40"/>
        <v>1.0305633811773833</v>
      </c>
      <c r="L846" s="2">
        <f t="shared" si="41"/>
        <v>0.45083398641185291</v>
      </c>
    </row>
    <row r="847" spans="1:12" x14ac:dyDescent="0.3">
      <c r="A847" s="1">
        <v>45716</v>
      </c>
      <c r="B847" t="s">
        <v>9</v>
      </c>
      <c r="C847" t="s">
        <v>10</v>
      </c>
      <c r="D847" t="s">
        <v>17</v>
      </c>
      <c r="E847">
        <v>243883</v>
      </c>
      <c r="F847">
        <v>111739</v>
      </c>
      <c r="G847">
        <v>267258</v>
      </c>
      <c r="H847">
        <v>4</v>
      </c>
      <c r="I847">
        <v>15</v>
      </c>
      <c r="J847">
        <f t="shared" si="39"/>
        <v>132144</v>
      </c>
      <c r="K847" s="2">
        <f t="shared" si="40"/>
        <v>0.91253769765544901</v>
      </c>
      <c r="L847" s="2">
        <f t="shared" si="41"/>
        <v>0.54183358413665572</v>
      </c>
    </row>
    <row r="848" spans="1:12" x14ac:dyDescent="0.3">
      <c r="A848" s="1">
        <v>45364</v>
      </c>
      <c r="B848" t="s">
        <v>19</v>
      </c>
      <c r="C848" t="s">
        <v>18</v>
      </c>
      <c r="D848" t="s">
        <v>11</v>
      </c>
      <c r="E848">
        <v>194535</v>
      </c>
      <c r="F848">
        <v>119836</v>
      </c>
      <c r="G848">
        <v>208263</v>
      </c>
      <c r="H848">
        <v>4.4000000000000004</v>
      </c>
      <c r="I848">
        <v>12</v>
      </c>
      <c r="J848">
        <f t="shared" si="39"/>
        <v>74699</v>
      </c>
      <c r="K848" s="2">
        <f t="shared" si="40"/>
        <v>0.93408334653779113</v>
      </c>
      <c r="L848" s="2">
        <f t="shared" si="41"/>
        <v>0.38398745726990002</v>
      </c>
    </row>
    <row r="849" spans="1:12" x14ac:dyDescent="0.3">
      <c r="A849" s="1">
        <v>45511</v>
      </c>
      <c r="B849" t="s">
        <v>9</v>
      </c>
      <c r="C849" t="s">
        <v>18</v>
      </c>
      <c r="D849" t="s">
        <v>14</v>
      </c>
      <c r="E849">
        <v>267412</v>
      </c>
      <c r="F849">
        <v>148744</v>
      </c>
      <c r="G849">
        <v>255577</v>
      </c>
      <c r="H849">
        <v>3.7</v>
      </c>
      <c r="I849">
        <v>9</v>
      </c>
      <c r="J849">
        <f t="shared" si="39"/>
        <v>118668</v>
      </c>
      <c r="K849" s="2">
        <f t="shared" si="40"/>
        <v>1.0463069838052721</v>
      </c>
      <c r="L849" s="2">
        <f t="shared" si="41"/>
        <v>0.44376467772575651</v>
      </c>
    </row>
    <row r="850" spans="1:12" x14ac:dyDescent="0.3">
      <c r="A850" s="1">
        <v>45828</v>
      </c>
      <c r="B850" t="s">
        <v>19</v>
      </c>
      <c r="C850" t="s">
        <v>10</v>
      </c>
      <c r="D850" t="s">
        <v>11</v>
      </c>
      <c r="E850">
        <v>379792</v>
      </c>
      <c r="F850">
        <v>160840</v>
      </c>
      <c r="G850">
        <v>343799</v>
      </c>
      <c r="H850">
        <v>3.7</v>
      </c>
      <c r="I850">
        <v>6</v>
      </c>
      <c r="J850">
        <f t="shared" si="39"/>
        <v>218952</v>
      </c>
      <c r="K850" s="2">
        <f t="shared" si="40"/>
        <v>1.1046919857242168</v>
      </c>
      <c r="L850" s="2">
        <f t="shared" si="41"/>
        <v>0.57650503433458311</v>
      </c>
    </row>
    <row r="851" spans="1:12" x14ac:dyDescent="0.3">
      <c r="A851" s="1">
        <v>45358</v>
      </c>
      <c r="B851" t="s">
        <v>15</v>
      </c>
      <c r="C851" t="s">
        <v>10</v>
      </c>
      <c r="D851" t="s">
        <v>17</v>
      </c>
      <c r="E851">
        <v>174404</v>
      </c>
      <c r="F851">
        <v>73229</v>
      </c>
      <c r="G851">
        <v>190581</v>
      </c>
      <c r="H851">
        <v>4.5</v>
      </c>
      <c r="I851">
        <v>9</v>
      </c>
      <c r="J851">
        <f t="shared" si="39"/>
        <v>101175</v>
      </c>
      <c r="K851" s="2">
        <f t="shared" si="40"/>
        <v>0.91511745661949517</v>
      </c>
      <c r="L851" s="2">
        <f t="shared" si="41"/>
        <v>0.58011857526203525</v>
      </c>
    </row>
    <row r="852" spans="1:12" x14ac:dyDescent="0.3">
      <c r="A852" s="1">
        <v>45695</v>
      </c>
      <c r="B852" t="s">
        <v>12</v>
      </c>
      <c r="C852" t="s">
        <v>13</v>
      </c>
      <c r="D852" t="s">
        <v>14</v>
      </c>
      <c r="E852">
        <v>22224</v>
      </c>
      <c r="F852">
        <v>10454</v>
      </c>
      <c r="G852">
        <v>19110</v>
      </c>
      <c r="H852">
        <v>4.9000000000000004</v>
      </c>
      <c r="I852">
        <v>0</v>
      </c>
      <c r="J852">
        <f t="shared" si="39"/>
        <v>11770</v>
      </c>
      <c r="K852" s="2">
        <f t="shared" si="40"/>
        <v>1.1629513343799058</v>
      </c>
      <c r="L852" s="2">
        <f t="shared" si="41"/>
        <v>0.52960763138948885</v>
      </c>
    </row>
    <row r="853" spans="1:12" x14ac:dyDescent="0.3">
      <c r="A853" s="1">
        <v>45396</v>
      </c>
      <c r="B853" t="s">
        <v>12</v>
      </c>
      <c r="C853" t="s">
        <v>18</v>
      </c>
      <c r="D853" t="s">
        <v>17</v>
      </c>
      <c r="E853">
        <v>164422</v>
      </c>
      <c r="F853">
        <v>91201</v>
      </c>
      <c r="G853">
        <v>170401</v>
      </c>
      <c r="H853">
        <v>3.6</v>
      </c>
      <c r="I853">
        <v>10</v>
      </c>
      <c r="J853">
        <f t="shared" si="39"/>
        <v>73221</v>
      </c>
      <c r="K853" s="2">
        <f t="shared" si="40"/>
        <v>0.96491217774543581</v>
      </c>
      <c r="L853" s="2">
        <f t="shared" si="41"/>
        <v>0.44532361849387553</v>
      </c>
    </row>
    <row r="854" spans="1:12" x14ac:dyDescent="0.3">
      <c r="A854" s="1">
        <v>45740</v>
      </c>
      <c r="B854" t="s">
        <v>9</v>
      </c>
      <c r="C854" t="s">
        <v>18</v>
      </c>
      <c r="D854" t="s">
        <v>17</v>
      </c>
      <c r="E854">
        <v>292146</v>
      </c>
      <c r="F854">
        <v>135501</v>
      </c>
      <c r="G854">
        <v>328236</v>
      </c>
      <c r="H854">
        <v>3.7</v>
      </c>
      <c r="I854">
        <v>7</v>
      </c>
      <c r="J854">
        <f t="shared" si="39"/>
        <v>156645</v>
      </c>
      <c r="K854" s="2">
        <f t="shared" si="40"/>
        <v>0.89004862355134717</v>
      </c>
      <c r="L854" s="2">
        <f t="shared" si="41"/>
        <v>0.53618738575917524</v>
      </c>
    </row>
    <row r="855" spans="1:12" x14ac:dyDescent="0.3">
      <c r="A855" s="1">
        <v>45534</v>
      </c>
      <c r="B855" t="s">
        <v>15</v>
      </c>
      <c r="C855" t="s">
        <v>18</v>
      </c>
      <c r="D855" t="s">
        <v>11</v>
      </c>
      <c r="E855">
        <v>352776</v>
      </c>
      <c r="F855">
        <v>131780</v>
      </c>
      <c r="G855">
        <v>332610</v>
      </c>
      <c r="H855">
        <v>4.2</v>
      </c>
      <c r="I855">
        <v>0</v>
      </c>
      <c r="J855">
        <f t="shared" si="39"/>
        <v>220996</v>
      </c>
      <c r="K855" s="2">
        <f t="shared" si="40"/>
        <v>1.0606295661585641</v>
      </c>
      <c r="L855" s="2">
        <f t="shared" si="41"/>
        <v>0.62644851123659206</v>
      </c>
    </row>
    <row r="856" spans="1:12" x14ac:dyDescent="0.3">
      <c r="A856" s="1">
        <v>45774</v>
      </c>
      <c r="B856" t="s">
        <v>19</v>
      </c>
      <c r="C856" t="s">
        <v>16</v>
      </c>
      <c r="D856" t="s">
        <v>11</v>
      </c>
      <c r="E856">
        <v>64225</v>
      </c>
      <c r="F856">
        <v>32983</v>
      </c>
      <c r="G856">
        <v>61422</v>
      </c>
      <c r="H856">
        <v>4.3</v>
      </c>
      <c r="I856">
        <v>1</v>
      </c>
      <c r="J856">
        <f t="shared" si="39"/>
        <v>31242</v>
      </c>
      <c r="K856" s="2">
        <f t="shared" si="40"/>
        <v>1.0456351144541043</v>
      </c>
      <c r="L856" s="2">
        <f t="shared" si="41"/>
        <v>0.48644608797197353</v>
      </c>
    </row>
    <row r="857" spans="1:12" x14ac:dyDescent="0.3">
      <c r="A857" s="1">
        <v>45606</v>
      </c>
      <c r="B857" t="s">
        <v>12</v>
      </c>
      <c r="C857" t="s">
        <v>18</v>
      </c>
      <c r="D857" t="s">
        <v>11</v>
      </c>
      <c r="E857">
        <v>372544</v>
      </c>
      <c r="F857">
        <v>208252</v>
      </c>
      <c r="G857">
        <v>422535</v>
      </c>
      <c r="H857">
        <v>3.8</v>
      </c>
      <c r="I857">
        <v>9</v>
      </c>
      <c r="J857">
        <f t="shared" si="39"/>
        <v>164292</v>
      </c>
      <c r="K857" s="2">
        <f t="shared" si="40"/>
        <v>0.88168790751062043</v>
      </c>
      <c r="L857" s="2">
        <f t="shared" si="41"/>
        <v>0.44100025768768253</v>
      </c>
    </row>
    <row r="858" spans="1:12" x14ac:dyDescent="0.3">
      <c r="A858" s="1">
        <v>45746</v>
      </c>
      <c r="B858" t="s">
        <v>9</v>
      </c>
      <c r="C858" t="s">
        <v>13</v>
      </c>
      <c r="D858" t="s">
        <v>17</v>
      </c>
      <c r="E858">
        <v>75140</v>
      </c>
      <c r="F858">
        <v>41246</v>
      </c>
      <c r="G858">
        <v>75610</v>
      </c>
      <c r="H858">
        <v>4.2</v>
      </c>
      <c r="I858">
        <v>3</v>
      </c>
      <c r="J858">
        <f t="shared" si="39"/>
        <v>33894</v>
      </c>
      <c r="K858" s="2">
        <f t="shared" si="40"/>
        <v>0.99378389101970643</v>
      </c>
      <c r="L858" s="2">
        <f t="shared" si="41"/>
        <v>0.45107798775618846</v>
      </c>
    </row>
    <row r="859" spans="1:12" x14ac:dyDescent="0.3">
      <c r="A859" s="1">
        <v>45838</v>
      </c>
      <c r="B859" t="s">
        <v>9</v>
      </c>
      <c r="C859" t="s">
        <v>16</v>
      </c>
      <c r="D859" t="s">
        <v>17</v>
      </c>
      <c r="E859">
        <v>487219</v>
      </c>
      <c r="F859">
        <v>216142</v>
      </c>
      <c r="G859">
        <v>489379</v>
      </c>
      <c r="H859">
        <v>4.3</v>
      </c>
      <c r="I859">
        <v>8</v>
      </c>
      <c r="J859">
        <f t="shared" si="39"/>
        <v>271077</v>
      </c>
      <c r="K859" s="2">
        <f t="shared" si="40"/>
        <v>0.9955862429732375</v>
      </c>
      <c r="L859" s="2">
        <f t="shared" si="41"/>
        <v>0.55637608549748674</v>
      </c>
    </row>
    <row r="860" spans="1:12" x14ac:dyDescent="0.3">
      <c r="A860" s="1">
        <v>45616</v>
      </c>
      <c r="B860" t="s">
        <v>9</v>
      </c>
      <c r="C860" t="s">
        <v>18</v>
      </c>
      <c r="D860" t="s">
        <v>17</v>
      </c>
      <c r="E860">
        <v>423399</v>
      </c>
      <c r="F860">
        <v>169320</v>
      </c>
      <c r="G860">
        <v>466588</v>
      </c>
      <c r="H860">
        <v>4.3</v>
      </c>
      <c r="I860">
        <v>10</v>
      </c>
      <c r="J860">
        <f t="shared" si="39"/>
        <v>254079</v>
      </c>
      <c r="K860" s="2">
        <f t="shared" si="40"/>
        <v>0.90743653930233958</v>
      </c>
      <c r="L860" s="2">
        <f t="shared" si="41"/>
        <v>0.60009352879907607</v>
      </c>
    </row>
    <row r="861" spans="1:12" x14ac:dyDescent="0.3">
      <c r="A861" s="1">
        <v>45359</v>
      </c>
      <c r="B861" t="s">
        <v>9</v>
      </c>
      <c r="C861" t="s">
        <v>13</v>
      </c>
      <c r="D861" t="s">
        <v>14</v>
      </c>
      <c r="E861">
        <v>83169</v>
      </c>
      <c r="F861">
        <v>46958</v>
      </c>
      <c r="G861">
        <v>79823</v>
      </c>
      <c r="H861">
        <v>3.8</v>
      </c>
      <c r="I861">
        <v>1</v>
      </c>
      <c r="J861">
        <f t="shared" si="39"/>
        <v>36211</v>
      </c>
      <c r="K861" s="2">
        <f t="shared" si="40"/>
        <v>1.0419177430064017</v>
      </c>
      <c r="L861" s="2">
        <f t="shared" si="41"/>
        <v>0.4353905902439611</v>
      </c>
    </row>
    <row r="862" spans="1:12" x14ac:dyDescent="0.3">
      <c r="A862" s="1">
        <v>45903</v>
      </c>
      <c r="B862" t="s">
        <v>9</v>
      </c>
      <c r="C862" t="s">
        <v>13</v>
      </c>
      <c r="D862" t="s">
        <v>11</v>
      </c>
      <c r="E862">
        <v>404798</v>
      </c>
      <c r="F862">
        <v>235256</v>
      </c>
      <c r="G862">
        <v>364989</v>
      </c>
      <c r="H862">
        <v>4.0999999999999996</v>
      </c>
      <c r="I862">
        <v>6</v>
      </c>
      <c r="J862">
        <f t="shared" si="39"/>
        <v>169542</v>
      </c>
      <c r="K862" s="2">
        <f t="shared" si="40"/>
        <v>1.1090690404368351</v>
      </c>
      <c r="L862" s="2">
        <f t="shared" si="41"/>
        <v>0.41883112070711814</v>
      </c>
    </row>
    <row r="863" spans="1:12" x14ac:dyDescent="0.3">
      <c r="A863" s="1">
        <v>45479</v>
      </c>
      <c r="B863" t="s">
        <v>12</v>
      </c>
      <c r="C863" t="s">
        <v>18</v>
      </c>
      <c r="D863" t="s">
        <v>14</v>
      </c>
      <c r="E863">
        <v>442606</v>
      </c>
      <c r="F863">
        <v>231693</v>
      </c>
      <c r="G863">
        <v>400570</v>
      </c>
      <c r="H863">
        <v>3.5</v>
      </c>
      <c r="I863">
        <v>13</v>
      </c>
      <c r="J863">
        <f t="shared" si="39"/>
        <v>210913</v>
      </c>
      <c r="K863" s="2">
        <f t="shared" si="40"/>
        <v>1.1049404598447212</v>
      </c>
      <c r="L863" s="2">
        <f t="shared" si="41"/>
        <v>0.47652539730595611</v>
      </c>
    </row>
    <row r="864" spans="1:12" x14ac:dyDescent="0.3">
      <c r="A864" s="1">
        <v>45350</v>
      </c>
      <c r="B864" t="s">
        <v>19</v>
      </c>
      <c r="C864" t="s">
        <v>18</v>
      </c>
      <c r="D864" t="s">
        <v>17</v>
      </c>
      <c r="E864">
        <v>152182</v>
      </c>
      <c r="F864">
        <v>82926</v>
      </c>
      <c r="G864">
        <v>165812</v>
      </c>
      <c r="H864">
        <v>3.7</v>
      </c>
      <c r="I864">
        <v>9</v>
      </c>
      <c r="J864">
        <f t="shared" si="39"/>
        <v>69256</v>
      </c>
      <c r="K864" s="2">
        <f t="shared" si="40"/>
        <v>0.91779847055701635</v>
      </c>
      <c r="L864" s="2">
        <f t="shared" si="41"/>
        <v>0.45508667253683088</v>
      </c>
    </row>
    <row r="865" spans="1:12" x14ac:dyDescent="0.3">
      <c r="A865" s="1">
        <v>45502</v>
      </c>
      <c r="B865" t="s">
        <v>12</v>
      </c>
      <c r="C865" t="s">
        <v>10</v>
      </c>
      <c r="D865" t="s">
        <v>17</v>
      </c>
      <c r="E865">
        <v>99743</v>
      </c>
      <c r="F865">
        <v>41573</v>
      </c>
      <c r="G865">
        <v>97652</v>
      </c>
      <c r="H865">
        <v>4.2</v>
      </c>
      <c r="I865">
        <v>3</v>
      </c>
      <c r="J865">
        <f t="shared" si="39"/>
        <v>58170</v>
      </c>
      <c r="K865" s="2">
        <f t="shared" si="40"/>
        <v>1.0214127718838324</v>
      </c>
      <c r="L865" s="2">
        <f t="shared" si="41"/>
        <v>0.58319882096989262</v>
      </c>
    </row>
    <row r="866" spans="1:12" x14ac:dyDescent="0.3">
      <c r="A866" s="1">
        <v>45680</v>
      </c>
      <c r="B866" t="s">
        <v>19</v>
      </c>
      <c r="C866" t="s">
        <v>16</v>
      </c>
      <c r="D866" t="s">
        <v>17</v>
      </c>
      <c r="E866">
        <v>249647</v>
      </c>
      <c r="F866">
        <v>83844</v>
      </c>
      <c r="G866">
        <v>283561</v>
      </c>
      <c r="H866">
        <v>3.9</v>
      </c>
      <c r="I866">
        <v>9</v>
      </c>
      <c r="J866">
        <f t="shared" si="39"/>
        <v>165803</v>
      </c>
      <c r="K866" s="2">
        <f t="shared" si="40"/>
        <v>0.88039963182525105</v>
      </c>
      <c r="L866" s="2">
        <f t="shared" si="41"/>
        <v>0.66414977948863796</v>
      </c>
    </row>
    <row r="867" spans="1:12" x14ac:dyDescent="0.3">
      <c r="A867" s="1">
        <v>45724</v>
      </c>
      <c r="B867" t="s">
        <v>19</v>
      </c>
      <c r="C867" t="s">
        <v>13</v>
      </c>
      <c r="D867" t="s">
        <v>17</v>
      </c>
      <c r="E867">
        <v>237336</v>
      </c>
      <c r="F867">
        <v>83622</v>
      </c>
      <c r="G867">
        <v>246818</v>
      </c>
      <c r="H867">
        <v>4.5999999999999996</v>
      </c>
      <c r="I867">
        <v>13</v>
      </c>
      <c r="J867">
        <f t="shared" si="39"/>
        <v>153714</v>
      </c>
      <c r="K867" s="2">
        <f t="shared" si="40"/>
        <v>0.96158302879044477</v>
      </c>
      <c r="L867" s="2">
        <f t="shared" si="41"/>
        <v>0.6476640711902113</v>
      </c>
    </row>
    <row r="868" spans="1:12" x14ac:dyDescent="0.3">
      <c r="A868" s="1">
        <v>45434</v>
      </c>
      <c r="B868" t="s">
        <v>15</v>
      </c>
      <c r="C868" t="s">
        <v>13</v>
      </c>
      <c r="D868" t="s">
        <v>17</v>
      </c>
      <c r="E868">
        <v>204716</v>
      </c>
      <c r="F868">
        <v>85565</v>
      </c>
      <c r="G868">
        <v>182981</v>
      </c>
      <c r="H868">
        <v>4.7</v>
      </c>
      <c r="I868">
        <v>3</v>
      </c>
      <c r="J868">
        <f t="shared" si="39"/>
        <v>119151</v>
      </c>
      <c r="K868" s="2">
        <f t="shared" si="40"/>
        <v>1.1187828244462539</v>
      </c>
      <c r="L868" s="2">
        <f t="shared" si="41"/>
        <v>0.58203071572324583</v>
      </c>
    </row>
    <row r="869" spans="1:12" x14ac:dyDescent="0.3">
      <c r="A869" s="1">
        <v>46011</v>
      </c>
      <c r="B869" t="s">
        <v>12</v>
      </c>
      <c r="C869" t="s">
        <v>16</v>
      </c>
      <c r="D869" t="s">
        <v>11</v>
      </c>
      <c r="E869">
        <v>247912</v>
      </c>
      <c r="F869">
        <v>104913</v>
      </c>
      <c r="G869">
        <v>218716</v>
      </c>
      <c r="H869">
        <v>3.5</v>
      </c>
      <c r="I869">
        <v>1</v>
      </c>
      <c r="J869">
        <f t="shared" si="39"/>
        <v>142999</v>
      </c>
      <c r="K869" s="2">
        <f t="shared" si="40"/>
        <v>1.1334881764479965</v>
      </c>
      <c r="L869" s="2">
        <f t="shared" si="41"/>
        <v>0.57681354674239249</v>
      </c>
    </row>
    <row r="870" spans="1:12" x14ac:dyDescent="0.3">
      <c r="A870" s="1">
        <v>46013</v>
      </c>
      <c r="B870" t="s">
        <v>15</v>
      </c>
      <c r="C870" t="s">
        <v>18</v>
      </c>
      <c r="D870" t="s">
        <v>17</v>
      </c>
      <c r="E870">
        <v>449586</v>
      </c>
      <c r="F870">
        <v>263889</v>
      </c>
      <c r="G870">
        <v>437947</v>
      </c>
      <c r="H870">
        <v>4.5</v>
      </c>
      <c r="I870">
        <v>5</v>
      </c>
      <c r="J870">
        <f t="shared" si="39"/>
        <v>185697</v>
      </c>
      <c r="K870" s="2">
        <f t="shared" si="40"/>
        <v>1.0265762752113841</v>
      </c>
      <c r="L870" s="2">
        <f t="shared" si="41"/>
        <v>0.41303999679705328</v>
      </c>
    </row>
    <row r="871" spans="1:12" x14ac:dyDescent="0.3">
      <c r="A871" s="1">
        <v>45343</v>
      </c>
      <c r="B871" t="s">
        <v>19</v>
      </c>
      <c r="C871" t="s">
        <v>13</v>
      </c>
      <c r="D871" t="s">
        <v>17</v>
      </c>
      <c r="E871">
        <v>294907</v>
      </c>
      <c r="F871">
        <v>167293</v>
      </c>
      <c r="G871">
        <v>337146</v>
      </c>
      <c r="H871">
        <v>4.9000000000000004</v>
      </c>
      <c r="I871">
        <v>4</v>
      </c>
      <c r="J871">
        <f t="shared" si="39"/>
        <v>127614</v>
      </c>
      <c r="K871" s="2">
        <f t="shared" si="40"/>
        <v>0.87471599841018433</v>
      </c>
      <c r="L871" s="2">
        <f t="shared" si="41"/>
        <v>0.43272624929214976</v>
      </c>
    </row>
    <row r="872" spans="1:12" x14ac:dyDescent="0.3">
      <c r="A872" s="1">
        <v>45323</v>
      </c>
      <c r="B872" t="s">
        <v>19</v>
      </c>
      <c r="C872" t="s">
        <v>16</v>
      </c>
      <c r="D872" t="s">
        <v>11</v>
      </c>
      <c r="E872">
        <v>256301</v>
      </c>
      <c r="F872">
        <v>133400</v>
      </c>
      <c r="G872">
        <v>280594</v>
      </c>
      <c r="H872">
        <v>4.0999999999999996</v>
      </c>
      <c r="I872">
        <v>1</v>
      </c>
      <c r="J872">
        <f t="shared" si="39"/>
        <v>122901</v>
      </c>
      <c r="K872" s="2">
        <f t="shared" si="40"/>
        <v>0.91342295273598151</v>
      </c>
      <c r="L872" s="2">
        <f t="shared" si="41"/>
        <v>0.47951822271469874</v>
      </c>
    </row>
    <row r="873" spans="1:12" x14ac:dyDescent="0.3">
      <c r="A873" s="1">
        <v>45677</v>
      </c>
      <c r="B873" t="s">
        <v>15</v>
      </c>
      <c r="C873" t="s">
        <v>18</v>
      </c>
      <c r="D873" t="s">
        <v>17</v>
      </c>
      <c r="E873">
        <v>162131</v>
      </c>
      <c r="F873">
        <v>57097</v>
      </c>
      <c r="G873">
        <v>144510</v>
      </c>
      <c r="H873">
        <v>3.6</v>
      </c>
      <c r="I873">
        <v>12</v>
      </c>
      <c r="J873">
        <f t="shared" si="39"/>
        <v>105034</v>
      </c>
      <c r="K873" s="2">
        <f t="shared" si="40"/>
        <v>1.1219361981869767</v>
      </c>
      <c r="L873" s="2">
        <f t="shared" si="41"/>
        <v>0.6478341587975156</v>
      </c>
    </row>
    <row r="874" spans="1:12" x14ac:dyDescent="0.3">
      <c r="A874" s="1">
        <v>45933</v>
      </c>
      <c r="B874" t="s">
        <v>19</v>
      </c>
      <c r="C874" t="s">
        <v>16</v>
      </c>
      <c r="D874" t="s">
        <v>14</v>
      </c>
      <c r="E874">
        <v>493499</v>
      </c>
      <c r="F874">
        <v>203201</v>
      </c>
      <c r="G874">
        <v>535916</v>
      </c>
      <c r="H874">
        <v>3.9</v>
      </c>
      <c r="I874">
        <v>15</v>
      </c>
      <c r="J874">
        <f t="shared" si="39"/>
        <v>290298</v>
      </c>
      <c r="K874" s="2">
        <f t="shared" si="40"/>
        <v>0.92085140208540139</v>
      </c>
      <c r="L874" s="2">
        <f t="shared" si="41"/>
        <v>0.58824435307872969</v>
      </c>
    </row>
    <row r="875" spans="1:12" x14ac:dyDescent="0.3">
      <c r="A875" s="1">
        <v>45913</v>
      </c>
      <c r="B875" t="s">
        <v>19</v>
      </c>
      <c r="C875" t="s">
        <v>16</v>
      </c>
      <c r="D875" t="s">
        <v>17</v>
      </c>
      <c r="E875">
        <v>385595</v>
      </c>
      <c r="F875">
        <v>153635</v>
      </c>
      <c r="G875">
        <v>347879</v>
      </c>
      <c r="H875">
        <v>4</v>
      </c>
      <c r="I875">
        <v>9</v>
      </c>
      <c r="J875">
        <f t="shared" si="39"/>
        <v>231960</v>
      </c>
      <c r="K875" s="2">
        <f t="shared" si="40"/>
        <v>1.1084170070628006</v>
      </c>
      <c r="L875" s="2">
        <f t="shared" si="41"/>
        <v>0.60156381695820749</v>
      </c>
    </row>
    <row r="876" spans="1:12" x14ac:dyDescent="0.3">
      <c r="A876" s="1">
        <v>45577</v>
      </c>
      <c r="B876" t="s">
        <v>12</v>
      </c>
      <c r="C876" t="s">
        <v>18</v>
      </c>
      <c r="D876" t="s">
        <v>17</v>
      </c>
      <c r="E876">
        <v>371333</v>
      </c>
      <c r="F876">
        <v>193849</v>
      </c>
      <c r="G876">
        <v>319465</v>
      </c>
      <c r="H876">
        <v>4.5</v>
      </c>
      <c r="I876">
        <v>6</v>
      </c>
      <c r="J876">
        <f t="shared" si="39"/>
        <v>177484</v>
      </c>
      <c r="K876" s="2">
        <f t="shared" si="40"/>
        <v>1.1623589438592647</v>
      </c>
      <c r="L876" s="2">
        <f t="shared" si="41"/>
        <v>0.47796452240980469</v>
      </c>
    </row>
    <row r="877" spans="1:12" x14ac:dyDescent="0.3">
      <c r="A877" s="1">
        <v>45699</v>
      </c>
      <c r="B877" t="s">
        <v>19</v>
      </c>
      <c r="C877" t="s">
        <v>16</v>
      </c>
      <c r="D877" t="s">
        <v>11</v>
      </c>
      <c r="E877">
        <v>167883</v>
      </c>
      <c r="F877">
        <v>58875</v>
      </c>
      <c r="G877">
        <v>183677</v>
      </c>
      <c r="H877">
        <v>4.5999999999999996</v>
      </c>
      <c r="I877">
        <v>9</v>
      </c>
      <c r="J877">
        <f t="shared" si="39"/>
        <v>109008</v>
      </c>
      <c r="K877" s="2">
        <f t="shared" si="40"/>
        <v>0.91401209732301814</v>
      </c>
      <c r="L877" s="2">
        <f t="shared" si="41"/>
        <v>0.64930934043351618</v>
      </c>
    </row>
    <row r="878" spans="1:12" x14ac:dyDescent="0.3">
      <c r="A878" s="1">
        <v>45814</v>
      </c>
      <c r="B878" t="s">
        <v>12</v>
      </c>
      <c r="C878" t="s">
        <v>16</v>
      </c>
      <c r="D878" t="s">
        <v>17</v>
      </c>
      <c r="E878">
        <v>117092</v>
      </c>
      <c r="F878">
        <v>67671</v>
      </c>
      <c r="G878">
        <v>100113</v>
      </c>
      <c r="H878">
        <v>4.8</v>
      </c>
      <c r="I878">
        <v>3</v>
      </c>
      <c r="J878">
        <f t="shared" si="39"/>
        <v>49421</v>
      </c>
      <c r="K878" s="2">
        <f t="shared" si="40"/>
        <v>1.169598353860138</v>
      </c>
      <c r="L878" s="2">
        <f t="shared" si="41"/>
        <v>0.42206982543640897</v>
      </c>
    </row>
    <row r="879" spans="1:12" x14ac:dyDescent="0.3">
      <c r="A879" s="1">
        <v>45990</v>
      </c>
      <c r="B879" t="s">
        <v>15</v>
      </c>
      <c r="C879" t="s">
        <v>16</v>
      </c>
      <c r="D879" t="s">
        <v>11</v>
      </c>
      <c r="E879">
        <v>325646</v>
      </c>
      <c r="F879">
        <v>154416</v>
      </c>
      <c r="G879">
        <v>292675</v>
      </c>
      <c r="H879">
        <v>4.9000000000000004</v>
      </c>
      <c r="I879">
        <v>13</v>
      </c>
      <c r="J879">
        <f t="shared" si="39"/>
        <v>171230</v>
      </c>
      <c r="K879" s="2">
        <f t="shared" si="40"/>
        <v>1.1126539677116256</v>
      </c>
      <c r="L879" s="2">
        <f t="shared" si="41"/>
        <v>0.52581637729313424</v>
      </c>
    </row>
    <row r="880" spans="1:12" x14ac:dyDescent="0.3">
      <c r="A880" s="1">
        <v>45567</v>
      </c>
      <c r="B880" t="s">
        <v>9</v>
      </c>
      <c r="C880" t="s">
        <v>10</v>
      </c>
      <c r="D880" t="s">
        <v>11</v>
      </c>
      <c r="E880">
        <v>162324</v>
      </c>
      <c r="F880">
        <v>63516</v>
      </c>
      <c r="G880">
        <v>144981</v>
      </c>
      <c r="H880">
        <v>3.5</v>
      </c>
      <c r="I880">
        <v>10</v>
      </c>
      <c r="J880">
        <f t="shared" si="39"/>
        <v>98808</v>
      </c>
      <c r="K880" s="2">
        <f t="shared" si="40"/>
        <v>1.119622571233472</v>
      </c>
      <c r="L880" s="2">
        <f t="shared" si="41"/>
        <v>0.60870850890810968</v>
      </c>
    </row>
    <row r="881" spans="1:12" x14ac:dyDescent="0.3">
      <c r="A881" s="1">
        <v>45843</v>
      </c>
      <c r="B881" t="s">
        <v>9</v>
      </c>
      <c r="C881" t="s">
        <v>16</v>
      </c>
      <c r="D881" t="s">
        <v>11</v>
      </c>
      <c r="E881">
        <v>321997</v>
      </c>
      <c r="F881">
        <v>144446</v>
      </c>
      <c r="G881">
        <v>274418</v>
      </c>
      <c r="H881">
        <v>4.0999999999999996</v>
      </c>
      <c r="I881">
        <v>2</v>
      </c>
      <c r="J881">
        <f t="shared" si="39"/>
        <v>177551</v>
      </c>
      <c r="K881" s="2">
        <f t="shared" si="40"/>
        <v>1.1733814837219132</v>
      </c>
      <c r="L881" s="2">
        <f t="shared" si="41"/>
        <v>0.55140575843874318</v>
      </c>
    </row>
    <row r="882" spans="1:12" x14ac:dyDescent="0.3">
      <c r="A882" s="1">
        <v>45460</v>
      </c>
      <c r="B882" t="s">
        <v>19</v>
      </c>
      <c r="C882" t="s">
        <v>18</v>
      </c>
      <c r="D882" t="s">
        <v>14</v>
      </c>
      <c r="E882">
        <v>188130</v>
      </c>
      <c r="F882">
        <v>99726</v>
      </c>
      <c r="G882">
        <v>205803</v>
      </c>
      <c r="H882">
        <v>4.4000000000000004</v>
      </c>
      <c r="I882">
        <v>0</v>
      </c>
      <c r="J882">
        <f t="shared" si="39"/>
        <v>88404</v>
      </c>
      <c r="K882" s="2">
        <f t="shared" si="40"/>
        <v>0.91412661623008407</v>
      </c>
      <c r="L882" s="2">
        <f t="shared" si="41"/>
        <v>0.46990910540583641</v>
      </c>
    </row>
    <row r="883" spans="1:12" x14ac:dyDescent="0.3">
      <c r="A883" s="1">
        <v>45815</v>
      </c>
      <c r="B883" t="s">
        <v>9</v>
      </c>
      <c r="C883" t="s">
        <v>10</v>
      </c>
      <c r="D883" t="s">
        <v>17</v>
      </c>
      <c r="E883">
        <v>442859</v>
      </c>
      <c r="F883">
        <v>158994</v>
      </c>
      <c r="G883">
        <v>431649</v>
      </c>
      <c r="H883">
        <v>3.9</v>
      </c>
      <c r="I883">
        <v>4</v>
      </c>
      <c r="J883">
        <f t="shared" si="39"/>
        <v>283865</v>
      </c>
      <c r="K883" s="2">
        <f t="shared" si="40"/>
        <v>1.0259701748411325</v>
      </c>
      <c r="L883" s="2">
        <f t="shared" si="41"/>
        <v>0.64098279587859797</v>
      </c>
    </row>
    <row r="884" spans="1:12" x14ac:dyDescent="0.3">
      <c r="A884" s="1">
        <v>45560</v>
      </c>
      <c r="B884" t="s">
        <v>9</v>
      </c>
      <c r="C884" t="s">
        <v>10</v>
      </c>
      <c r="D884" t="s">
        <v>11</v>
      </c>
      <c r="E884">
        <v>385574</v>
      </c>
      <c r="F884">
        <v>174907</v>
      </c>
      <c r="G884">
        <v>351364</v>
      </c>
      <c r="H884">
        <v>4.4000000000000004</v>
      </c>
      <c r="I884">
        <v>0</v>
      </c>
      <c r="J884">
        <f t="shared" si="39"/>
        <v>210667</v>
      </c>
      <c r="K884" s="2">
        <f t="shared" si="40"/>
        <v>1.0973634179938754</v>
      </c>
      <c r="L884" s="2">
        <f t="shared" si="41"/>
        <v>0.54637242137696007</v>
      </c>
    </row>
    <row r="885" spans="1:12" x14ac:dyDescent="0.3">
      <c r="A885" s="1">
        <v>45435</v>
      </c>
      <c r="B885" t="s">
        <v>19</v>
      </c>
      <c r="C885" t="s">
        <v>18</v>
      </c>
      <c r="D885" t="s">
        <v>14</v>
      </c>
      <c r="E885">
        <v>357801</v>
      </c>
      <c r="F885">
        <v>173259</v>
      </c>
      <c r="G885">
        <v>364869</v>
      </c>
      <c r="H885">
        <v>4.9000000000000004</v>
      </c>
      <c r="I885">
        <v>15</v>
      </c>
      <c r="J885">
        <f t="shared" si="39"/>
        <v>184542</v>
      </c>
      <c r="K885" s="2">
        <f t="shared" si="40"/>
        <v>0.98062866398625259</v>
      </c>
      <c r="L885" s="2">
        <f t="shared" si="41"/>
        <v>0.51576714430647208</v>
      </c>
    </row>
    <row r="886" spans="1:12" x14ac:dyDescent="0.3">
      <c r="A886" s="1">
        <v>45849</v>
      </c>
      <c r="B886" t="s">
        <v>15</v>
      </c>
      <c r="C886" t="s">
        <v>16</v>
      </c>
      <c r="D886" t="s">
        <v>17</v>
      </c>
      <c r="E886">
        <v>316391</v>
      </c>
      <c r="F886">
        <v>148162</v>
      </c>
      <c r="G886">
        <v>287186</v>
      </c>
      <c r="H886">
        <v>4.2</v>
      </c>
      <c r="I886">
        <v>8</v>
      </c>
      <c r="J886">
        <f t="shared" si="39"/>
        <v>168229</v>
      </c>
      <c r="K886" s="2">
        <f t="shared" si="40"/>
        <v>1.1016936758755649</v>
      </c>
      <c r="L886" s="2">
        <f t="shared" si="41"/>
        <v>0.53171234327145844</v>
      </c>
    </row>
    <row r="887" spans="1:12" x14ac:dyDescent="0.3">
      <c r="A887" s="1">
        <v>45477</v>
      </c>
      <c r="B887" t="s">
        <v>15</v>
      </c>
      <c r="C887" t="s">
        <v>16</v>
      </c>
      <c r="D887" t="s">
        <v>17</v>
      </c>
      <c r="E887">
        <v>287749</v>
      </c>
      <c r="F887">
        <v>95398</v>
      </c>
      <c r="G887">
        <v>299582</v>
      </c>
      <c r="H887">
        <v>4.8</v>
      </c>
      <c r="I887">
        <v>6</v>
      </c>
      <c r="J887">
        <f t="shared" si="39"/>
        <v>192351</v>
      </c>
      <c r="K887" s="2">
        <f t="shared" si="40"/>
        <v>0.96050163227430219</v>
      </c>
      <c r="L887" s="2">
        <f t="shared" si="41"/>
        <v>0.66846800510166848</v>
      </c>
    </row>
    <row r="888" spans="1:12" x14ac:dyDescent="0.3">
      <c r="A888" s="1">
        <v>45746</v>
      </c>
      <c r="B888" t="s">
        <v>9</v>
      </c>
      <c r="C888" t="s">
        <v>16</v>
      </c>
      <c r="D888" t="s">
        <v>14</v>
      </c>
      <c r="E888">
        <v>135580</v>
      </c>
      <c r="F888">
        <v>64256</v>
      </c>
      <c r="G888">
        <v>146886</v>
      </c>
      <c r="H888">
        <v>3.8</v>
      </c>
      <c r="I888">
        <v>4</v>
      </c>
      <c r="J888">
        <f t="shared" si="39"/>
        <v>71324</v>
      </c>
      <c r="K888" s="2">
        <f t="shared" si="40"/>
        <v>0.92302874337921925</v>
      </c>
      <c r="L888" s="2">
        <f t="shared" si="41"/>
        <v>0.52606579141466292</v>
      </c>
    </row>
    <row r="889" spans="1:12" x14ac:dyDescent="0.3">
      <c r="A889" s="1">
        <v>45370</v>
      </c>
      <c r="B889" t="s">
        <v>9</v>
      </c>
      <c r="C889" t="s">
        <v>16</v>
      </c>
      <c r="D889" t="s">
        <v>14</v>
      </c>
      <c r="E889">
        <v>317980</v>
      </c>
      <c r="F889">
        <v>123653</v>
      </c>
      <c r="G889">
        <v>310245</v>
      </c>
      <c r="H889">
        <v>4.3</v>
      </c>
      <c r="I889">
        <v>1</v>
      </c>
      <c r="J889">
        <f t="shared" si="39"/>
        <v>194327</v>
      </c>
      <c r="K889" s="2">
        <f t="shared" si="40"/>
        <v>1.0249319086528388</v>
      </c>
      <c r="L889" s="2">
        <f t="shared" si="41"/>
        <v>0.61112963079438953</v>
      </c>
    </row>
    <row r="890" spans="1:12" x14ac:dyDescent="0.3">
      <c r="A890" s="1">
        <v>45923</v>
      </c>
      <c r="B890" t="s">
        <v>12</v>
      </c>
      <c r="C890" t="s">
        <v>16</v>
      </c>
      <c r="D890" t="s">
        <v>11</v>
      </c>
      <c r="E890">
        <v>25791</v>
      </c>
      <c r="F890">
        <v>11715</v>
      </c>
      <c r="G890">
        <v>22769</v>
      </c>
      <c r="H890">
        <v>4.9000000000000004</v>
      </c>
      <c r="I890">
        <v>15</v>
      </c>
      <c r="J890">
        <f t="shared" si="39"/>
        <v>14076</v>
      </c>
      <c r="K890" s="2">
        <f t="shared" si="40"/>
        <v>1.1327243181518731</v>
      </c>
      <c r="L890" s="2">
        <f t="shared" si="41"/>
        <v>0.54577178085378619</v>
      </c>
    </row>
    <row r="891" spans="1:12" x14ac:dyDescent="0.3">
      <c r="A891" s="1">
        <v>45663</v>
      </c>
      <c r="B891" t="s">
        <v>9</v>
      </c>
      <c r="C891" t="s">
        <v>10</v>
      </c>
      <c r="D891" t="s">
        <v>11</v>
      </c>
      <c r="E891">
        <v>410010</v>
      </c>
      <c r="F891">
        <v>164303</v>
      </c>
      <c r="G891">
        <v>444059</v>
      </c>
      <c r="H891">
        <v>4.5</v>
      </c>
      <c r="I891">
        <v>8</v>
      </c>
      <c r="J891">
        <f t="shared" si="39"/>
        <v>245707</v>
      </c>
      <c r="K891" s="2">
        <f t="shared" si="40"/>
        <v>0.92332325209037536</v>
      </c>
      <c r="L891" s="2">
        <f t="shared" si="41"/>
        <v>0.59927074949391479</v>
      </c>
    </row>
    <row r="892" spans="1:12" x14ac:dyDescent="0.3">
      <c r="A892" s="1">
        <v>45866</v>
      </c>
      <c r="B892" t="s">
        <v>19</v>
      </c>
      <c r="C892" t="s">
        <v>16</v>
      </c>
      <c r="D892" t="s">
        <v>14</v>
      </c>
      <c r="E892">
        <v>21560</v>
      </c>
      <c r="F892">
        <v>12819</v>
      </c>
      <c r="G892">
        <v>20957</v>
      </c>
      <c r="H892">
        <v>3.8</v>
      </c>
      <c r="I892">
        <v>1</v>
      </c>
      <c r="J892">
        <f t="shared" si="39"/>
        <v>8741</v>
      </c>
      <c r="K892" s="2">
        <f t="shared" si="40"/>
        <v>1.0287732022713174</v>
      </c>
      <c r="L892" s="2">
        <f t="shared" si="41"/>
        <v>0.40542671614100184</v>
      </c>
    </row>
    <row r="893" spans="1:12" x14ac:dyDescent="0.3">
      <c r="A893" s="1">
        <v>45697</v>
      </c>
      <c r="B893" t="s">
        <v>9</v>
      </c>
      <c r="C893" t="s">
        <v>18</v>
      </c>
      <c r="D893" t="s">
        <v>11</v>
      </c>
      <c r="E893">
        <v>203709</v>
      </c>
      <c r="F893">
        <v>112508</v>
      </c>
      <c r="G893">
        <v>190342</v>
      </c>
      <c r="H893">
        <v>4.0999999999999996</v>
      </c>
      <c r="I893">
        <v>12</v>
      </c>
      <c r="J893">
        <f t="shared" si="39"/>
        <v>91201</v>
      </c>
      <c r="K893" s="2">
        <f t="shared" si="40"/>
        <v>1.0702262243750722</v>
      </c>
      <c r="L893" s="2">
        <f t="shared" si="41"/>
        <v>0.4477023597386468</v>
      </c>
    </row>
    <row r="894" spans="1:12" x14ac:dyDescent="0.3">
      <c r="A894" s="1">
        <v>45845</v>
      </c>
      <c r="B894" t="s">
        <v>19</v>
      </c>
      <c r="C894" t="s">
        <v>18</v>
      </c>
      <c r="D894" t="s">
        <v>17</v>
      </c>
      <c r="E894">
        <v>154575</v>
      </c>
      <c r="F894">
        <v>81542</v>
      </c>
      <c r="G894">
        <v>147086</v>
      </c>
      <c r="H894">
        <v>3.5</v>
      </c>
      <c r="I894">
        <v>15</v>
      </c>
      <c r="J894">
        <f t="shared" si="39"/>
        <v>73033</v>
      </c>
      <c r="K894" s="2">
        <f t="shared" si="40"/>
        <v>1.0509157907618671</v>
      </c>
      <c r="L894" s="2">
        <f t="shared" si="41"/>
        <v>0.47247614426653728</v>
      </c>
    </row>
    <row r="895" spans="1:12" x14ac:dyDescent="0.3">
      <c r="A895" s="1">
        <v>45457</v>
      </c>
      <c r="B895" t="s">
        <v>12</v>
      </c>
      <c r="C895" t="s">
        <v>18</v>
      </c>
      <c r="D895" t="s">
        <v>17</v>
      </c>
      <c r="E895">
        <v>167212</v>
      </c>
      <c r="F895">
        <v>68384</v>
      </c>
      <c r="G895">
        <v>179352</v>
      </c>
      <c r="H895">
        <v>3.5</v>
      </c>
      <c r="I895">
        <v>2</v>
      </c>
      <c r="J895">
        <f t="shared" si="39"/>
        <v>98828</v>
      </c>
      <c r="K895" s="2">
        <f t="shared" si="40"/>
        <v>0.93231187831749851</v>
      </c>
      <c r="L895" s="2">
        <f t="shared" si="41"/>
        <v>0.59103413630600676</v>
      </c>
    </row>
    <row r="896" spans="1:12" x14ac:dyDescent="0.3">
      <c r="A896" s="1">
        <v>45728</v>
      </c>
      <c r="B896" t="s">
        <v>12</v>
      </c>
      <c r="C896" t="s">
        <v>16</v>
      </c>
      <c r="D896" t="s">
        <v>17</v>
      </c>
      <c r="E896">
        <v>431777</v>
      </c>
      <c r="F896">
        <v>185179</v>
      </c>
      <c r="G896">
        <v>384371</v>
      </c>
      <c r="H896">
        <v>3.7</v>
      </c>
      <c r="I896">
        <v>8</v>
      </c>
      <c r="J896">
        <f t="shared" si="39"/>
        <v>246598</v>
      </c>
      <c r="K896" s="2">
        <f t="shared" si="40"/>
        <v>1.1233339664022519</v>
      </c>
      <c r="L896" s="2">
        <f t="shared" si="41"/>
        <v>0.5711235197798864</v>
      </c>
    </row>
    <row r="897" spans="1:12" x14ac:dyDescent="0.3">
      <c r="A897" s="1">
        <v>45574</v>
      </c>
      <c r="B897" t="s">
        <v>15</v>
      </c>
      <c r="C897" t="s">
        <v>18</v>
      </c>
      <c r="D897" t="s">
        <v>17</v>
      </c>
      <c r="E897">
        <v>398086</v>
      </c>
      <c r="F897">
        <v>231606</v>
      </c>
      <c r="G897">
        <v>418668</v>
      </c>
      <c r="H897">
        <v>4.5</v>
      </c>
      <c r="I897">
        <v>3</v>
      </c>
      <c r="J897">
        <f t="shared" si="39"/>
        <v>166480</v>
      </c>
      <c r="K897" s="2">
        <f t="shared" si="40"/>
        <v>0.95083932853717024</v>
      </c>
      <c r="L897" s="2">
        <f t="shared" si="41"/>
        <v>0.41820109222630286</v>
      </c>
    </row>
    <row r="898" spans="1:12" x14ac:dyDescent="0.3">
      <c r="A898" s="1">
        <v>45797</v>
      </c>
      <c r="B898" t="s">
        <v>9</v>
      </c>
      <c r="C898" t="s">
        <v>18</v>
      </c>
      <c r="D898" t="s">
        <v>11</v>
      </c>
      <c r="E898">
        <v>228827</v>
      </c>
      <c r="F898">
        <v>123961</v>
      </c>
      <c r="G898">
        <v>249772</v>
      </c>
      <c r="H898">
        <v>4.8</v>
      </c>
      <c r="I898">
        <v>1</v>
      </c>
      <c r="J898">
        <f t="shared" si="39"/>
        <v>104866</v>
      </c>
      <c r="K898" s="2">
        <f t="shared" si="40"/>
        <v>0.91614352289287826</v>
      </c>
      <c r="L898" s="2">
        <f t="shared" si="41"/>
        <v>0.45827633976759735</v>
      </c>
    </row>
    <row r="899" spans="1:12" x14ac:dyDescent="0.3">
      <c r="A899" s="1">
        <v>45684</v>
      </c>
      <c r="B899" t="s">
        <v>19</v>
      </c>
      <c r="C899" t="s">
        <v>18</v>
      </c>
      <c r="D899" t="s">
        <v>14</v>
      </c>
      <c r="E899">
        <v>248178</v>
      </c>
      <c r="F899">
        <v>142709</v>
      </c>
      <c r="G899">
        <v>250976</v>
      </c>
      <c r="H899">
        <v>4.4000000000000004</v>
      </c>
      <c r="I899">
        <v>10</v>
      </c>
      <c r="J899">
        <f t="shared" ref="J899:J962" si="42">E899-F899</f>
        <v>105469</v>
      </c>
      <c r="K899" s="2">
        <f t="shared" ref="K899:K962" si="43">E899/G899</f>
        <v>0.98885152365166396</v>
      </c>
      <c r="L899" s="2">
        <f t="shared" ref="L899:L962" si="44">J899/E899</f>
        <v>0.42497320471597</v>
      </c>
    </row>
    <row r="900" spans="1:12" x14ac:dyDescent="0.3">
      <c r="A900" s="1">
        <v>45897</v>
      </c>
      <c r="B900" t="s">
        <v>15</v>
      </c>
      <c r="C900" t="s">
        <v>10</v>
      </c>
      <c r="D900" t="s">
        <v>11</v>
      </c>
      <c r="E900">
        <v>180203</v>
      </c>
      <c r="F900">
        <v>103991</v>
      </c>
      <c r="G900">
        <v>153930</v>
      </c>
      <c r="H900">
        <v>4.4000000000000004</v>
      </c>
      <c r="I900">
        <v>10</v>
      </c>
      <c r="J900">
        <f t="shared" si="42"/>
        <v>76212</v>
      </c>
      <c r="K900" s="2">
        <f t="shared" si="43"/>
        <v>1.1706814785941662</v>
      </c>
      <c r="L900" s="2">
        <f t="shared" si="44"/>
        <v>0.42292303679738963</v>
      </c>
    </row>
    <row r="901" spans="1:12" x14ac:dyDescent="0.3">
      <c r="A901" s="1">
        <v>45293</v>
      </c>
      <c r="B901" t="s">
        <v>12</v>
      </c>
      <c r="C901" t="s">
        <v>10</v>
      </c>
      <c r="D901" t="s">
        <v>14</v>
      </c>
      <c r="E901">
        <v>429204</v>
      </c>
      <c r="F901">
        <v>190307</v>
      </c>
      <c r="G901">
        <v>423997</v>
      </c>
      <c r="H901">
        <v>4.2</v>
      </c>
      <c r="I901">
        <v>3</v>
      </c>
      <c r="J901">
        <f t="shared" si="42"/>
        <v>238897</v>
      </c>
      <c r="K901" s="2">
        <f t="shared" si="43"/>
        <v>1.0122807472694382</v>
      </c>
      <c r="L901" s="2">
        <f t="shared" si="44"/>
        <v>0.5566047846711587</v>
      </c>
    </row>
    <row r="902" spans="1:12" x14ac:dyDescent="0.3">
      <c r="A902" s="1">
        <v>45329</v>
      </c>
      <c r="B902" t="s">
        <v>9</v>
      </c>
      <c r="C902" t="s">
        <v>16</v>
      </c>
      <c r="D902" t="s">
        <v>14</v>
      </c>
      <c r="E902">
        <v>210065</v>
      </c>
      <c r="F902">
        <v>81180</v>
      </c>
      <c r="G902">
        <v>209138</v>
      </c>
      <c r="H902">
        <v>3.7</v>
      </c>
      <c r="I902">
        <v>8</v>
      </c>
      <c r="J902">
        <f t="shared" si="42"/>
        <v>128885</v>
      </c>
      <c r="K902" s="2">
        <f t="shared" si="43"/>
        <v>1.0044324799892894</v>
      </c>
      <c r="L902" s="2">
        <f t="shared" si="44"/>
        <v>0.61354818746578443</v>
      </c>
    </row>
    <row r="903" spans="1:12" x14ac:dyDescent="0.3">
      <c r="A903" s="1">
        <v>45804</v>
      </c>
      <c r="B903" t="s">
        <v>12</v>
      </c>
      <c r="C903" t="s">
        <v>10</v>
      </c>
      <c r="D903" t="s">
        <v>14</v>
      </c>
      <c r="E903">
        <v>107170</v>
      </c>
      <c r="F903">
        <v>47119</v>
      </c>
      <c r="G903">
        <v>93788</v>
      </c>
      <c r="H903">
        <v>4.5</v>
      </c>
      <c r="I903">
        <v>11</v>
      </c>
      <c r="J903">
        <f t="shared" si="42"/>
        <v>60051</v>
      </c>
      <c r="K903" s="2">
        <f t="shared" si="43"/>
        <v>1.1426834989550902</v>
      </c>
      <c r="L903" s="2">
        <f t="shared" si="44"/>
        <v>0.56033404870766068</v>
      </c>
    </row>
    <row r="904" spans="1:12" x14ac:dyDescent="0.3">
      <c r="A904" s="1">
        <v>45897</v>
      </c>
      <c r="B904" t="s">
        <v>19</v>
      </c>
      <c r="C904" t="s">
        <v>16</v>
      </c>
      <c r="D904" t="s">
        <v>17</v>
      </c>
      <c r="E904">
        <v>117724</v>
      </c>
      <c r="F904">
        <v>44133</v>
      </c>
      <c r="G904">
        <v>128948</v>
      </c>
      <c r="H904">
        <v>5</v>
      </c>
      <c r="I904">
        <v>8</v>
      </c>
      <c r="J904">
        <f t="shared" si="42"/>
        <v>73591</v>
      </c>
      <c r="K904" s="2">
        <f t="shared" si="43"/>
        <v>0.9129571610261501</v>
      </c>
      <c r="L904" s="2">
        <f t="shared" si="44"/>
        <v>0.62511467500254836</v>
      </c>
    </row>
    <row r="905" spans="1:12" x14ac:dyDescent="0.3">
      <c r="A905" s="1">
        <v>45706</v>
      </c>
      <c r="B905" t="s">
        <v>19</v>
      </c>
      <c r="C905" t="s">
        <v>13</v>
      </c>
      <c r="D905" t="s">
        <v>17</v>
      </c>
      <c r="E905">
        <v>114647</v>
      </c>
      <c r="F905">
        <v>51582</v>
      </c>
      <c r="G905">
        <v>116237</v>
      </c>
      <c r="H905">
        <v>3.6</v>
      </c>
      <c r="I905">
        <v>7</v>
      </c>
      <c r="J905">
        <f t="shared" si="42"/>
        <v>63065</v>
      </c>
      <c r="K905" s="2">
        <f t="shared" si="43"/>
        <v>0.98632105095623601</v>
      </c>
      <c r="L905" s="2">
        <f t="shared" si="44"/>
        <v>0.55007981020000518</v>
      </c>
    </row>
    <row r="906" spans="1:12" x14ac:dyDescent="0.3">
      <c r="A906" s="1">
        <v>45623</v>
      </c>
      <c r="B906" t="s">
        <v>19</v>
      </c>
      <c r="C906" t="s">
        <v>10</v>
      </c>
      <c r="D906" t="s">
        <v>17</v>
      </c>
      <c r="E906">
        <v>330038</v>
      </c>
      <c r="F906">
        <v>193477</v>
      </c>
      <c r="G906">
        <v>289514</v>
      </c>
      <c r="H906">
        <v>3.9</v>
      </c>
      <c r="I906">
        <v>8</v>
      </c>
      <c r="J906">
        <f t="shared" si="42"/>
        <v>136561</v>
      </c>
      <c r="K906" s="2">
        <f t="shared" si="43"/>
        <v>1.1399725056473953</v>
      </c>
      <c r="L906" s="2">
        <f t="shared" si="44"/>
        <v>0.41377356546821881</v>
      </c>
    </row>
    <row r="907" spans="1:12" x14ac:dyDescent="0.3">
      <c r="A907" s="1">
        <v>45463</v>
      </c>
      <c r="B907" t="s">
        <v>19</v>
      </c>
      <c r="C907" t="s">
        <v>13</v>
      </c>
      <c r="D907" t="s">
        <v>17</v>
      </c>
      <c r="E907">
        <v>229606</v>
      </c>
      <c r="F907">
        <v>102207</v>
      </c>
      <c r="G907">
        <v>261348</v>
      </c>
      <c r="H907">
        <v>4.9000000000000004</v>
      </c>
      <c r="I907">
        <v>15</v>
      </c>
      <c r="J907">
        <f t="shared" si="42"/>
        <v>127399</v>
      </c>
      <c r="K907" s="2">
        <f t="shared" si="43"/>
        <v>0.8785450816535807</v>
      </c>
      <c r="L907" s="2">
        <f t="shared" si="44"/>
        <v>0.55485919357508084</v>
      </c>
    </row>
    <row r="908" spans="1:12" x14ac:dyDescent="0.3">
      <c r="A908" s="1">
        <v>45818</v>
      </c>
      <c r="B908" t="s">
        <v>9</v>
      </c>
      <c r="C908" t="s">
        <v>10</v>
      </c>
      <c r="D908" t="s">
        <v>11</v>
      </c>
      <c r="E908">
        <v>382949</v>
      </c>
      <c r="F908">
        <v>159269</v>
      </c>
      <c r="G908">
        <v>425878</v>
      </c>
      <c r="H908">
        <v>3.7</v>
      </c>
      <c r="I908">
        <v>15</v>
      </c>
      <c r="J908">
        <f t="shared" si="42"/>
        <v>223680</v>
      </c>
      <c r="K908" s="2">
        <f t="shared" si="43"/>
        <v>0.89919883159026759</v>
      </c>
      <c r="L908" s="2">
        <f t="shared" si="44"/>
        <v>0.58409866587979076</v>
      </c>
    </row>
    <row r="909" spans="1:12" x14ac:dyDescent="0.3">
      <c r="A909" s="1">
        <v>45807</v>
      </c>
      <c r="B909" t="s">
        <v>15</v>
      </c>
      <c r="C909" t="s">
        <v>10</v>
      </c>
      <c r="D909" t="s">
        <v>11</v>
      </c>
      <c r="E909">
        <v>231711</v>
      </c>
      <c r="F909">
        <v>94513</v>
      </c>
      <c r="G909">
        <v>249705</v>
      </c>
      <c r="H909">
        <v>3.7</v>
      </c>
      <c r="I909">
        <v>9</v>
      </c>
      <c r="J909">
        <f t="shared" si="42"/>
        <v>137198</v>
      </c>
      <c r="K909" s="2">
        <f t="shared" si="43"/>
        <v>0.92793896798221898</v>
      </c>
      <c r="L909" s="2">
        <f t="shared" si="44"/>
        <v>0.59210827280534806</v>
      </c>
    </row>
    <row r="910" spans="1:12" x14ac:dyDescent="0.3">
      <c r="A910" s="1">
        <v>45724</v>
      </c>
      <c r="B910" t="s">
        <v>19</v>
      </c>
      <c r="C910" t="s">
        <v>10</v>
      </c>
      <c r="D910" t="s">
        <v>14</v>
      </c>
      <c r="E910">
        <v>34976</v>
      </c>
      <c r="F910">
        <v>16017</v>
      </c>
      <c r="G910">
        <v>39700</v>
      </c>
      <c r="H910">
        <v>4.3</v>
      </c>
      <c r="I910">
        <v>6</v>
      </c>
      <c r="J910">
        <f t="shared" si="42"/>
        <v>18959</v>
      </c>
      <c r="K910" s="2">
        <f t="shared" si="43"/>
        <v>0.88100755667506292</v>
      </c>
      <c r="L910" s="2">
        <f t="shared" si="44"/>
        <v>0.54205741079597436</v>
      </c>
    </row>
    <row r="911" spans="1:12" x14ac:dyDescent="0.3">
      <c r="A911" s="1">
        <v>45449</v>
      </c>
      <c r="B911" t="s">
        <v>12</v>
      </c>
      <c r="C911" t="s">
        <v>10</v>
      </c>
      <c r="D911" t="s">
        <v>11</v>
      </c>
      <c r="E911">
        <v>113863</v>
      </c>
      <c r="F911">
        <v>43536</v>
      </c>
      <c r="G911">
        <v>108350</v>
      </c>
      <c r="H911">
        <v>3.6</v>
      </c>
      <c r="I911">
        <v>12</v>
      </c>
      <c r="J911">
        <f t="shared" si="42"/>
        <v>70327</v>
      </c>
      <c r="K911" s="2">
        <f t="shared" si="43"/>
        <v>1.0508814028610982</v>
      </c>
      <c r="L911" s="2">
        <f t="shared" si="44"/>
        <v>0.61764576728173326</v>
      </c>
    </row>
    <row r="912" spans="1:12" x14ac:dyDescent="0.3">
      <c r="A912" s="1">
        <v>45779</v>
      </c>
      <c r="B912" t="s">
        <v>15</v>
      </c>
      <c r="C912" t="s">
        <v>10</v>
      </c>
      <c r="D912" t="s">
        <v>14</v>
      </c>
      <c r="E912">
        <v>405167</v>
      </c>
      <c r="F912">
        <v>131544</v>
      </c>
      <c r="G912">
        <v>454801</v>
      </c>
      <c r="H912">
        <v>4.4000000000000004</v>
      </c>
      <c r="I912">
        <v>0</v>
      </c>
      <c r="J912">
        <f t="shared" si="42"/>
        <v>273623</v>
      </c>
      <c r="K912" s="2">
        <f t="shared" si="43"/>
        <v>0.89086655482287858</v>
      </c>
      <c r="L912" s="2">
        <f t="shared" si="44"/>
        <v>0.67533387467389994</v>
      </c>
    </row>
    <row r="913" spans="1:12" x14ac:dyDescent="0.3">
      <c r="A913" s="1">
        <v>45837</v>
      </c>
      <c r="B913" t="s">
        <v>9</v>
      </c>
      <c r="C913" t="s">
        <v>10</v>
      </c>
      <c r="D913" t="s">
        <v>17</v>
      </c>
      <c r="E913">
        <v>334809</v>
      </c>
      <c r="F913">
        <v>110224</v>
      </c>
      <c r="G913">
        <v>315232</v>
      </c>
      <c r="H913">
        <v>3.8</v>
      </c>
      <c r="I913">
        <v>7</v>
      </c>
      <c r="J913">
        <f t="shared" si="42"/>
        <v>224585</v>
      </c>
      <c r="K913" s="2">
        <f t="shared" si="43"/>
        <v>1.0621034666531317</v>
      </c>
      <c r="L913" s="2">
        <f t="shared" si="44"/>
        <v>0.67078543288860215</v>
      </c>
    </row>
    <row r="914" spans="1:12" x14ac:dyDescent="0.3">
      <c r="A914" s="1">
        <v>45513</v>
      </c>
      <c r="B914" t="s">
        <v>12</v>
      </c>
      <c r="C914" t="s">
        <v>10</v>
      </c>
      <c r="D914" t="s">
        <v>11</v>
      </c>
      <c r="E914">
        <v>117791</v>
      </c>
      <c r="F914">
        <v>51918</v>
      </c>
      <c r="G914">
        <v>119618</v>
      </c>
      <c r="H914">
        <v>4</v>
      </c>
      <c r="I914">
        <v>2</v>
      </c>
      <c r="J914">
        <f t="shared" si="42"/>
        <v>65873</v>
      </c>
      <c r="K914" s="2">
        <f t="shared" si="43"/>
        <v>0.98472637897306425</v>
      </c>
      <c r="L914" s="2">
        <f t="shared" si="44"/>
        <v>0.5592362744182493</v>
      </c>
    </row>
    <row r="915" spans="1:12" x14ac:dyDescent="0.3">
      <c r="A915" s="1">
        <v>45312</v>
      </c>
      <c r="B915" t="s">
        <v>15</v>
      </c>
      <c r="C915" t="s">
        <v>18</v>
      </c>
      <c r="D915" t="s">
        <v>14</v>
      </c>
      <c r="E915">
        <v>478255</v>
      </c>
      <c r="F915">
        <v>254056</v>
      </c>
      <c r="G915">
        <v>511399</v>
      </c>
      <c r="H915">
        <v>3.6</v>
      </c>
      <c r="I915">
        <v>7</v>
      </c>
      <c r="J915">
        <f t="shared" si="42"/>
        <v>224199</v>
      </c>
      <c r="K915" s="2">
        <f t="shared" si="43"/>
        <v>0.93518954866943427</v>
      </c>
      <c r="L915" s="2">
        <f t="shared" si="44"/>
        <v>0.46878548054907948</v>
      </c>
    </row>
    <row r="916" spans="1:12" x14ac:dyDescent="0.3">
      <c r="A916" s="1">
        <v>45728</v>
      </c>
      <c r="B916" t="s">
        <v>19</v>
      </c>
      <c r="C916" t="s">
        <v>16</v>
      </c>
      <c r="D916" t="s">
        <v>11</v>
      </c>
      <c r="E916">
        <v>102115</v>
      </c>
      <c r="F916">
        <v>53525</v>
      </c>
      <c r="G916">
        <v>108939</v>
      </c>
      <c r="H916">
        <v>4.9000000000000004</v>
      </c>
      <c r="I916">
        <v>5</v>
      </c>
      <c r="J916">
        <f t="shared" si="42"/>
        <v>48590</v>
      </c>
      <c r="K916" s="2">
        <f t="shared" si="43"/>
        <v>0.93735943968642998</v>
      </c>
      <c r="L916" s="2">
        <f t="shared" si="44"/>
        <v>0.47583606717916077</v>
      </c>
    </row>
    <row r="917" spans="1:12" x14ac:dyDescent="0.3">
      <c r="A917" s="1">
        <v>45517</v>
      </c>
      <c r="B917" t="s">
        <v>12</v>
      </c>
      <c r="C917" t="s">
        <v>18</v>
      </c>
      <c r="D917" t="s">
        <v>14</v>
      </c>
      <c r="E917">
        <v>25385</v>
      </c>
      <c r="F917">
        <v>14127</v>
      </c>
      <c r="G917">
        <v>28236</v>
      </c>
      <c r="H917">
        <v>4</v>
      </c>
      <c r="I917">
        <v>8</v>
      </c>
      <c r="J917">
        <f t="shared" si="42"/>
        <v>11258</v>
      </c>
      <c r="K917" s="2">
        <f t="shared" si="43"/>
        <v>0.89902960759314354</v>
      </c>
      <c r="L917" s="2">
        <f t="shared" si="44"/>
        <v>0.44349025014772503</v>
      </c>
    </row>
    <row r="918" spans="1:12" x14ac:dyDescent="0.3">
      <c r="A918" s="1">
        <v>45925</v>
      </c>
      <c r="B918" t="s">
        <v>12</v>
      </c>
      <c r="C918" t="s">
        <v>13</v>
      </c>
      <c r="D918" t="s">
        <v>11</v>
      </c>
      <c r="E918">
        <v>129774</v>
      </c>
      <c r="F918">
        <v>76048</v>
      </c>
      <c r="G918">
        <v>117258</v>
      </c>
      <c r="H918">
        <v>4.2</v>
      </c>
      <c r="I918">
        <v>12</v>
      </c>
      <c r="J918">
        <f t="shared" si="42"/>
        <v>53726</v>
      </c>
      <c r="K918" s="2">
        <f t="shared" si="43"/>
        <v>1.106738985826127</v>
      </c>
      <c r="L918" s="2">
        <f t="shared" si="44"/>
        <v>0.4139966403131598</v>
      </c>
    </row>
    <row r="919" spans="1:12" x14ac:dyDescent="0.3">
      <c r="A919" s="1">
        <v>45733</v>
      </c>
      <c r="B919" t="s">
        <v>9</v>
      </c>
      <c r="C919" t="s">
        <v>13</v>
      </c>
      <c r="D919" t="s">
        <v>14</v>
      </c>
      <c r="E919">
        <v>114126</v>
      </c>
      <c r="F919">
        <v>44460</v>
      </c>
      <c r="G919">
        <v>108015</v>
      </c>
      <c r="H919">
        <v>3.6</v>
      </c>
      <c r="I919">
        <v>5</v>
      </c>
      <c r="J919">
        <f t="shared" si="42"/>
        <v>69666</v>
      </c>
      <c r="K919" s="2">
        <f t="shared" si="43"/>
        <v>1.0565754756283849</v>
      </c>
      <c r="L919" s="2">
        <f t="shared" si="44"/>
        <v>0.61043057673098156</v>
      </c>
    </row>
    <row r="920" spans="1:12" x14ac:dyDescent="0.3">
      <c r="A920" s="1">
        <v>45328</v>
      </c>
      <c r="B920" t="s">
        <v>15</v>
      </c>
      <c r="C920" t="s">
        <v>10</v>
      </c>
      <c r="D920" t="s">
        <v>11</v>
      </c>
      <c r="E920">
        <v>405993</v>
      </c>
      <c r="F920">
        <v>241319</v>
      </c>
      <c r="G920">
        <v>358935</v>
      </c>
      <c r="H920">
        <v>3.5</v>
      </c>
      <c r="I920">
        <v>5</v>
      </c>
      <c r="J920">
        <f t="shared" si="42"/>
        <v>164674</v>
      </c>
      <c r="K920" s="2">
        <f t="shared" si="43"/>
        <v>1.1311045175310293</v>
      </c>
      <c r="L920" s="2">
        <f t="shared" si="44"/>
        <v>0.40560797846268287</v>
      </c>
    </row>
    <row r="921" spans="1:12" x14ac:dyDescent="0.3">
      <c r="A921" s="1">
        <v>45724</v>
      </c>
      <c r="B921" t="s">
        <v>9</v>
      </c>
      <c r="C921" t="s">
        <v>18</v>
      </c>
      <c r="D921" t="s">
        <v>17</v>
      </c>
      <c r="E921">
        <v>88422</v>
      </c>
      <c r="F921">
        <v>49394</v>
      </c>
      <c r="G921">
        <v>82710</v>
      </c>
      <c r="H921">
        <v>4.0999999999999996</v>
      </c>
      <c r="I921">
        <v>2</v>
      </c>
      <c r="J921">
        <f t="shared" si="42"/>
        <v>39028</v>
      </c>
      <c r="K921" s="2">
        <f t="shared" si="43"/>
        <v>1.0690605730866884</v>
      </c>
      <c r="L921" s="2">
        <f t="shared" si="44"/>
        <v>0.44138336613060097</v>
      </c>
    </row>
    <row r="922" spans="1:12" x14ac:dyDescent="0.3">
      <c r="A922" s="1">
        <v>45754</v>
      </c>
      <c r="B922" t="s">
        <v>19</v>
      </c>
      <c r="C922" t="s">
        <v>16</v>
      </c>
      <c r="D922" t="s">
        <v>11</v>
      </c>
      <c r="E922">
        <v>401065</v>
      </c>
      <c r="F922">
        <v>247293</v>
      </c>
      <c r="G922">
        <v>353217</v>
      </c>
      <c r="H922">
        <v>4.0999999999999996</v>
      </c>
      <c r="I922">
        <v>11</v>
      </c>
      <c r="J922">
        <f t="shared" si="42"/>
        <v>153772</v>
      </c>
      <c r="K922" s="2">
        <f t="shared" si="43"/>
        <v>1.1354634686325971</v>
      </c>
      <c r="L922" s="2">
        <f t="shared" si="44"/>
        <v>0.38340917307668332</v>
      </c>
    </row>
    <row r="923" spans="1:12" x14ac:dyDescent="0.3">
      <c r="A923" s="1">
        <v>45457</v>
      </c>
      <c r="B923" t="s">
        <v>12</v>
      </c>
      <c r="C923" t="s">
        <v>18</v>
      </c>
      <c r="D923" t="s">
        <v>17</v>
      </c>
      <c r="E923">
        <v>53890</v>
      </c>
      <c r="F923">
        <v>25791</v>
      </c>
      <c r="G923">
        <v>61667</v>
      </c>
      <c r="H923">
        <v>4.5999999999999996</v>
      </c>
      <c r="I923">
        <v>10</v>
      </c>
      <c r="J923">
        <f t="shared" si="42"/>
        <v>28099</v>
      </c>
      <c r="K923" s="2">
        <f t="shared" si="43"/>
        <v>0.87388716817746936</v>
      </c>
      <c r="L923" s="2">
        <f t="shared" si="44"/>
        <v>0.52141399146409351</v>
      </c>
    </row>
    <row r="924" spans="1:12" x14ac:dyDescent="0.3">
      <c r="A924" s="1">
        <v>45430</v>
      </c>
      <c r="B924" t="s">
        <v>19</v>
      </c>
      <c r="C924" t="s">
        <v>16</v>
      </c>
      <c r="D924" t="s">
        <v>11</v>
      </c>
      <c r="E924">
        <v>156429</v>
      </c>
      <c r="F924">
        <v>92881</v>
      </c>
      <c r="G924">
        <v>151906</v>
      </c>
      <c r="H924">
        <v>5</v>
      </c>
      <c r="I924">
        <v>1</v>
      </c>
      <c r="J924">
        <f t="shared" si="42"/>
        <v>63548</v>
      </c>
      <c r="K924" s="2">
        <f t="shared" si="43"/>
        <v>1.0297749924295287</v>
      </c>
      <c r="L924" s="2">
        <f t="shared" si="44"/>
        <v>0.40624180938317062</v>
      </c>
    </row>
    <row r="925" spans="1:12" x14ac:dyDescent="0.3">
      <c r="A925" s="1">
        <v>45686</v>
      </c>
      <c r="B925" t="s">
        <v>12</v>
      </c>
      <c r="C925" t="s">
        <v>13</v>
      </c>
      <c r="D925" t="s">
        <v>11</v>
      </c>
      <c r="E925">
        <v>138692</v>
      </c>
      <c r="F925">
        <v>82262</v>
      </c>
      <c r="G925">
        <v>125683</v>
      </c>
      <c r="H925">
        <v>3.5</v>
      </c>
      <c r="I925">
        <v>6</v>
      </c>
      <c r="J925">
        <f t="shared" si="42"/>
        <v>56430</v>
      </c>
      <c r="K925" s="2">
        <f t="shared" si="43"/>
        <v>1.1035064408074282</v>
      </c>
      <c r="L925" s="2">
        <f t="shared" si="44"/>
        <v>0.40687278285697803</v>
      </c>
    </row>
    <row r="926" spans="1:12" x14ac:dyDescent="0.3">
      <c r="A926" s="1">
        <v>45312</v>
      </c>
      <c r="B926" t="s">
        <v>15</v>
      </c>
      <c r="C926" t="s">
        <v>18</v>
      </c>
      <c r="D926" t="s">
        <v>11</v>
      </c>
      <c r="E926">
        <v>310242</v>
      </c>
      <c r="F926">
        <v>174220</v>
      </c>
      <c r="G926">
        <v>291736</v>
      </c>
      <c r="H926">
        <v>3.9</v>
      </c>
      <c r="I926">
        <v>4</v>
      </c>
      <c r="J926">
        <f t="shared" si="42"/>
        <v>136022</v>
      </c>
      <c r="K926" s="2">
        <f t="shared" si="43"/>
        <v>1.0634340636740067</v>
      </c>
      <c r="L926" s="2">
        <f t="shared" si="44"/>
        <v>0.43843838036113741</v>
      </c>
    </row>
    <row r="927" spans="1:12" x14ac:dyDescent="0.3">
      <c r="A927" s="1">
        <v>45432</v>
      </c>
      <c r="B927" t="s">
        <v>19</v>
      </c>
      <c r="C927" t="s">
        <v>13</v>
      </c>
      <c r="D927" t="s">
        <v>17</v>
      </c>
      <c r="E927">
        <v>495319</v>
      </c>
      <c r="F927">
        <v>274696</v>
      </c>
      <c r="G927">
        <v>505203</v>
      </c>
      <c r="H927">
        <v>4.5</v>
      </c>
      <c r="I927">
        <v>8</v>
      </c>
      <c r="J927">
        <f t="shared" si="42"/>
        <v>220623</v>
      </c>
      <c r="K927" s="2">
        <f t="shared" si="43"/>
        <v>0.980435587278777</v>
      </c>
      <c r="L927" s="2">
        <f t="shared" si="44"/>
        <v>0.44541598444638708</v>
      </c>
    </row>
    <row r="928" spans="1:12" x14ac:dyDescent="0.3">
      <c r="A928" s="1">
        <v>45949</v>
      </c>
      <c r="B928" t="s">
        <v>19</v>
      </c>
      <c r="C928" t="s">
        <v>13</v>
      </c>
      <c r="D928" t="s">
        <v>11</v>
      </c>
      <c r="E928">
        <v>193024</v>
      </c>
      <c r="F928">
        <v>100214</v>
      </c>
      <c r="G928">
        <v>173308</v>
      </c>
      <c r="H928">
        <v>4.8</v>
      </c>
      <c r="I928">
        <v>15</v>
      </c>
      <c r="J928">
        <f t="shared" si="42"/>
        <v>92810</v>
      </c>
      <c r="K928" s="2">
        <f t="shared" si="43"/>
        <v>1.1137627807141044</v>
      </c>
      <c r="L928" s="2">
        <f t="shared" si="44"/>
        <v>0.48082103779840851</v>
      </c>
    </row>
    <row r="929" spans="1:12" x14ac:dyDescent="0.3">
      <c r="A929" s="1">
        <v>46009</v>
      </c>
      <c r="B929" t="s">
        <v>12</v>
      </c>
      <c r="C929" t="s">
        <v>13</v>
      </c>
      <c r="D929" t="s">
        <v>14</v>
      </c>
      <c r="E929">
        <v>484782</v>
      </c>
      <c r="F929">
        <v>218128</v>
      </c>
      <c r="G929">
        <v>442623</v>
      </c>
      <c r="H929">
        <v>3.7</v>
      </c>
      <c r="I929">
        <v>14</v>
      </c>
      <c r="J929">
        <f t="shared" si="42"/>
        <v>266654</v>
      </c>
      <c r="K929" s="2">
        <f t="shared" si="43"/>
        <v>1.0952481005279888</v>
      </c>
      <c r="L929" s="2">
        <f t="shared" si="44"/>
        <v>0.55004930051033252</v>
      </c>
    </row>
    <row r="930" spans="1:12" x14ac:dyDescent="0.3">
      <c r="A930" s="1">
        <v>45447</v>
      </c>
      <c r="B930" t="s">
        <v>15</v>
      </c>
      <c r="C930" t="s">
        <v>13</v>
      </c>
      <c r="D930" t="s">
        <v>17</v>
      </c>
      <c r="E930">
        <v>545778</v>
      </c>
      <c r="F930">
        <v>312901</v>
      </c>
      <c r="G930">
        <v>487755</v>
      </c>
      <c r="H930">
        <v>4.5</v>
      </c>
      <c r="I930">
        <v>7</v>
      </c>
      <c r="J930">
        <f t="shared" si="42"/>
        <v>232877</v>
      </c>
      <c r="K930" s="2">
        <f t="shared" si="43"/>
        <v>1.1189593135898146</v>
      </c>
      <c r="L930" s="2">
        <f t="shared" si="44"/>
        <v>0.42668814059929128</v>
      </c>
    </row>
    <row r="931" spans="1:12" x14ac:dyDescent="0.3">
      <c r="A931" s="1">
        <v>45571</v>
      </c>
      <c r="B931" t="s">
        <v>15</v>
      </c>
      <c r="C931" t="s">
        <v>16</v>
      </c>
      <c r="D931" t="s">
        <v>11</v>
      </c>
      <c r="E931">
        <v>477918</v>
      </c>
      <c r="F931">
        <v>271279</v>
      </c>
      <c r="G931">
        <v>538225</v>
      </c>
      <c r="H931">
        <v>3.6</v>
      </c>
      <c r="I931">
        <v>5</v>
      </c>
      <c r="J931">
        <f t="shared" si="42"/>
        <v>206639</v>
      </c>
      <c r="K931" s="2">
        <f t="shared" si="43"/>
        <v>0.88795206465697429</v>
      </c>
      <c r="L931" s="2">
        <f t="shared" si="44"/>
        <v>0.43237333601161704</v>
      </c>
    </row>
    <row r="932" spans="1:12" x14ac:dyDescent="0.3">
      <c r="A932" s="1">
        <v>45654</v>
      </c>
      <c r="B932" t="s">
        <v>9</v>
      </c>
      <c r="C932" t="s">
        <v>13</v>
      </c>
      <c r="D932" t="s">
        <v>11</v>
      </c>
      <c r="E932">
        <v>323988</v>
      </c>
      <c r="F932">
        <v>107560</v>
      </c>
      <c r="G932">
        <v>338592</v>
      </c>
      <c r="H932">
        <v>3.6</v>
      </c>
      <c r="I932">
        <v>4</v>
      </c>
      <c r="J932">
        <f t="shared" si="42"/>
        <v>216428</v>
      </c>
      <c r="K932" s="2">
        <f t="shared" si="43"/>
        <v>0.95686844343634814</v>
      </c>
      <c r="L932" s="2">
        <f t="shared" si="44"/>
        <v>0.66801239552082181</v>
      </c>
    </row>
    <row r="933" spans="1:12" x14ac:dyDescent="0.3">
      <c r="A933" s="1">
        <v>45896</v>
      </c>
      <c r="B933" t="s">
        <v>15</v>
      </c>
      <c r="C933" t="s">
        <v>13</v>
      </c>
      <c r="D933" t="s">
        <v>11</v>
      </c>
      <c r="E933">
        <v>243169</v>
      </c>
      <c r="F933">
        <v>147514</v>
      </c>
      <c r="G933">
        <v>242914</v>
      </c>
      <c r="H933">
        <v>3.7</v>
      </c>
      <c r="I933">
        <v>11</v>
      </c>
      <c r="J933">
        <f t="shared" si="42"/>
        <v>95655</v>
      </c>
      <c r="K933" s="2">
        <f t="shared" si="43"/>
        <v>1.0010497542340087</v>
      </c>
      <c r="L933" s="2">
        <f t="shared" si="44"/>
        <v>0.39336839810995644</v>
      </c>
    </row>
    <row r="934" spans="1:12" x14ac:dyDescent="0.3">
      <c r="A934" s="1">
        <v>45747</v>
      </c>
      <c r="B934" t="s">
        <v>9</v>
      </c>
      <c r="C934" t="s">
        <v>18</v>
      </c>
      <c r="D934" t="s">
        <v>14</v>
      </c>
      <c r="E934">
        <v>436976</v>
      </c>
      <c r="F934">
        <v>227060</v>
      </c>
      <c r="G934">
        <v>439623</v>
      </c>
      <c r="H934">
        <v>4.3</v>
      </c>
      <c r="I934">
        <v>0</v>
      </c>
      <c r="J934">
        <f t="shared" si="42"/>
        <v>209916</v>
      </c>
      <c r="K934" s="2">
        <f t="shared" si="43"/>
        <v>0.99397893194851039</v>
      </c>
      <c r="L934" s="2">
        <f t="shared" si="44"/>
        <v>0.48038336201530518</v>
      </c>
    </row>
    <row r="935" spans="1:12" x14ac:dyDescent="0.3">
      <c r="A935" s="1">
        <v>45573</v>
      </c>
      <c r="B935" t="s">
        <v>19</v>
      </c>
      <c r="C935" t="s">
        <v>10</v>
      </c>
      <c r="D935" t="s">
        <v>17</v>
      </c>
      <c r="E935">
        <v>160534</v>
      </c>
      <c r="F935">
        <v>81242</v>
      </c>
      <c r="G935">
        <v>175433</v>
      </c>
      <c r="H935">
        <v>4.0999999999999996</v>
      </c>
      <c r="I935">
        <v>14</v>
      </c>
      <c r="J935">
        <f t="shared" si="42"/>
        <v>79292</v>
      </c>
      <c r="K935" s="2">
        <f t="shared" si="43"/>
        <v>0.91507299082840743</v>
      </c>
      <c r="L935" s="2">
        <f t="shared" si="44"/>
        <v>0.49392652023870331</v>
      </c>
    </row>
    <row r="936" spans="1:12" x14ac:dyDescent="0.3">
      <c r="A936" s="1">
        <v>45802</v>
      </c>
      <c r="B936" t="s">
        <v>15</v>
      </c>
      <c r="C936" t="s">
        <v>10</v>
      </c>
      <c r="D936" t="s">
        <v>17</v>
      </c>
      <c r="E936">
        <v>407797</v>
      </c>
      <c r="F936">
        <v>202071</v>
      </c>
      <c r="G936">
        <v>408185</v>
      </c>
      <c r="H936">
        <v>4.2</v>
      </c>
      <c r="I936">
        <v>1</v>
      </c>
      <c r="J936">
        <f t="shared" si="42"/>
        <v>205726</v>
      </c>
      <c r="K936" s="2">
        <f t="shared" si="43"/>
        <v>0.99904945061675465</v>
      </c>
      <c r="L936" s="2">
        <f t="shared" si="44"/>
        <v>0.5044813963810425</v>
      </c>
    </row>
    <row r="937" spans="1:12" x14ac:dyDescent="0.3">
      <c r="A937" s="1">
        <v>45488</v>
      </c>
      <c r="B937" t="s">
        <v>12</v>
      </c>
      <c r="C937" t="s">
        <v>13</v>
      </c>
      <c r="D937" t="s">
        <v>11</v>
      </c>
      <c r="E937">
        <v>462974</v>
      </c>
      <c r="F937">
        <v>151103</v>
      </c>
      <c r="G937">
        <v>415633</v>
      </c>
      <c r="H937">
        <v>4</v>
      </c>
      <c r="I937">
        <v>9</v>
      </c>
      <c r="J937">
        <f t="shared" si="42"/>
        <v>311871</v>
      </c>
      <c r="K937" s="2">
        <f t="shared" si="43"/>
        <v>1.1139009655152503</v>
      </c>
      <c r="L937" s="2">
        <f t="shared" si="44"/>
        <v>0.67362530077282956</v>
      </c>
    </row>
    <row r="938" spans="1:12" x14ac:dyDescent="0.3">
      <c r="A938" s="1">
        <v>45762</v>
      </c>
      <c r="B938" t="s">
        <v>12</v>
      </c>
      <c r="C938" t="s">
        <v>18</v>
      </c>
      <c r="D938" t="s">
        <v>14</v>
      </c>
      <c r="E938">
        <v>262358</v>
      </c>
      <c r="F938">
        <v>146836</v>
      </c>
      <c r="G938">
        <v>280398</v>
      </c>
      <c r="H938">
        <v>4.3</v>
      </c>
      <c r="I938">
        <v>13</v>
      </c>
      <c r="J938">
        <f t="shared" si="42"/>
        <v>115522</v>
      </c>
      <c r="K938" s="2">
        <f t="shared" si="43"/>
        <v>0.93566287919314683</v>
      </c>
      <c r="L938" s="2">
        <f t="shared" si="44"/>
        <v>0.44032200275958805</v>
      </c>
    </row>
    <row r="939" spans="1:12" x14ac:dyDescent="0.3">
      <c r="A939" s="1">
        <v>45406</v>
      </c>
      <c r="B939" t="s">
        <v>15</v>
      </c>
      <c r="C939" t="s">
        <v>10</v>
      </c>
      <c r="D939" t="s">
        <v>14</v>
      </c>
      <c r="E939">
        <v>465131</v>
      </c>
      <c r="F939">
        <v>221800</v>
      </c>
      <c r="G939">
        <v>419638</v>
      </c>
      <c r="H939">
        <v>4</v>
      </c>
      <c r="I939">
        <v>8</v>
      </c>
      <c r="J939">
        <f t="shared" si="42"/>
        <v>243331</v>
      </c>
      <c r="K939" s="2">
        <f t="shared" si="43"/>
        <v>1.1084101058531401</v>
      </c>
      <c r="L939" s="2">
        <f t="shared" si="44"/>
        <v>0.5231450924578237</v>
      </c>
    </row>
    <row r="940" spans="1:12" x14ac:dyDescent="0.3">
      <c r="A940" s="1">
        <v>45907</v>
      </c>
      <c r="B940" t="s">
        <v>15</v>
      </c>
      <c r="C940" t="s">
        <v>18</v>
      </c>
      <c r="D940" t="s">
        <v>11</v>
      </c>
      <c r="E940">
        <v>492450</v>
      </c>
      <c r="F940">
        <v>199967</v>
      </c>
      <c r="G940">
        <v>564950</v>
      </c>
      <c r="H940">
        <v>4.8</v>
      </c>
      <c r="I940">
        <v>4</v>
      </c>
      <c r="J940">
        <f t="shared" si="42"/>
        <v>292483</v>
      </c>
      <c r="K940" s="2">
        <f t="shared" si="43"/>
        <v>0.87167005929728292</v>
      </c>
      <c r="L940" s="2">
        <f t="shared" si="44"/>
        <v>0.59393440958472943</v>
      </c>
    </row>
    <row r="941" spans="1:12" x14ac:dyDescent="0.3">
      <c r="A941" s="1">
        <v>45630</v>
      </c>
      <c r="B941" t="s">
        <v>15</v>
      </c>
      <c r="C941" t="s">
        <v>16</v>
      </c>
      <c r="D941" t="s">
        <v>11</v>
      </c>
      <c r="E941">
        <v>137150</v>
      </c>
      <c r="F941">
        <v>47877</v>
      </c>
      <c r="G941">
        <v>118669</v>
      </c>
      <c r="H941">
        <v>4.8</v>
      </c>
      <c r="I941">
        <v>10</v>
      </c>
      <c r="J941">
        <f t="shared" si="42"/>
        <v>89273</v>
      </c>
      <c r="K941" s="2">
        <f t="shared" si="43"/>
        <v>1.1557357018260876</v>
      </c>
      <c r="L941" s="2">
        <f t="shared" si="44"/>
        <v>0.65091505650747361</v>
      </c>
    </row>
    <row r="942" spans="1:12" x14ac:dyDescent="0.3">
      <c r="A942" s="1">
        <v>45512</v>
      </c>
      <c r="B942" t="s">
        <v>12</v>
      </c>
      <c r="C942" t="s">
        <v>16</v>
      </c>
      <c r="D942" t="s">
        <v>17</v>
      </c>
      <c r="E942">
        <v>129496</v>
      </c>
      <c r="F942">
        <v>78773</v>
      </c>
      <c r="G942">
        <v>131415</v>
      </c>
      <c r="H942">
        <v>4.4000000000000004</v>
      </c>
      <c r="I942">
        <v>14</v>
      </c>
      <c r="J942">
        <f t="shared" si="42"/>
        <v>50723</v>
      </c>
      <c r="K942" s="2">
        <f t="shared" si="43"/>
        <v>0.98539740516683783</v>
      </c>
      <c r="L942" s="2">
        <f t="shared" si="44"/>
        <v>0.39169549638598877</v>
      </c>
    </row>
    <row r="943" spans="1:12" x14ac:dyDescent="0.3">
      <c r="A943" s="1">
        <v>45474</v>
      </c>
      <c r="B943" t="s">
        <v>9</v>
      </c>
      <c r="C943" t="s">
        <v>10</v>
      </c>
      <c r="D943" t="s">
        <v>17</v>
      </c>
      <c r="E943">
        <v>286923</v>
      </c>
      <c r="F943">
        <v>99532</v>
      </c>
      <c r="G943">
        <v>260664</v>
      </c>
      <c r="H943">
        <v>4.7</v>
      </c>
      <c r="I943">
        <v>0</v>
      </c>
      <c r="J943">
        <f t="shared" si="42"/>
        <v>187391</v>
      </c>
      <c r="K943" s="2">
        <f t="shared" si="43"/>
        <v>1.1007388822392046</v>
      </c>
      <c r="L943" s="2">
        <f t="shared" si="44"/>
        <v>0.65310553702561314</v>
      </c>
    </row>
    <row r="944" spans="1:12" x14ac:dyDescent="0.3">
      <c r="A944" s="1">
        <v>45771</v>
      </c>
      <c r="B944" t="s">
        <v>12</v>
      </c>
      <c r="C944" t="s">
        <v>10</v>
      </c>
      <c r="D944" t="s">
        <v>11</v>
      </c>
      <c r="E944">
        <v>164099</v>
      </c>
      <c r="F944">
        <v>76579</v>
      </c>
      <c r="G944">
        <v>146455</v>
      </c>
      <c r="H944">
        <v>3.7</v>
      </c>
      <c r="I944">
        <v>0</v>
      </c>
      <c r="J944">
        <f t="shared" si="42"/>
        <v>87520</v>
      </c>
      <c r="K944" s="2">
        <f t="shared" si="43"/>
        <v>1.1204738656925335</v>
      </c>
      <c r="L944" s="2">
        <f t="shared" si="44"/>
        <v>0.53333658340392076</v>
      </c>
    </row>
    <row r="945" spans="1:12" x14ac:dyDescent="0.3">
      <c r="A945" s="1">
        <v>45860</v>
      </c>
      <c r="B945" t="s">
        <v>15</v>
      </c>
      <c r="C945" t="s">
        <v>16</v>
      </c>
      <c r="D945" t="s">
        <v>14</v>
      </c>
      <c r="E945">
        <v>376967</v>
      </c>
      <c r="F945">
        <v>119306</v>
      </c>
      <c r="G945">
        <v>356579</v>
      </c>
      <c r="H945">
        <v>4.8</v>
      </c>
      <c r="I945">
        <v>1</v>
      </c>
      <c r="J945">
        <f t="shared" si="42"/>
        <v>257661</v>
      </c>
      <c r="K945" s="2">
        <f t="shared" si="43"/>
        <v>1.0571766705274288</v>
      </c>
      <c r="L945" s="2">
        <f t="shared" si="44"/>
        <v>0.68351075823613205</v>
      </c>
    </row>
    <row r="946" spans="1:12" x14ac:dyDescent="0.3">
      <c r="A946" s="1">
        <v>45572</v>
      </c>
      <c r="B946" t="s">
        <v>12</v>
      </c>
      <c r="C946" t="s">
        <v>13</v>
      </c>
      <c r="D946" t="s">
        <v>17</v>
      </c>
      <c r="E946">
        <v>34502</v>
      </c>
      <c r="F946">
        <v>14098</v>
      </c>
      <c r="G946">
        <v>32551</v>
      </c>
      <c r="H946">
        <v>4.7</v>
      </c>
      <c r="I946">
        <v>13</v>
      </c>
      <c r="J946">
        <f t="shared" si="42"/>
        <v>20404</v>
      </c>
      <c r="K946" s="2">
        <f t="shared" si="43"/>
        <v>1.059936714693865</v>
      </c>
      <c r="L946" s="2">
        <f t="shared" si="44"/>
        <v>0.59138600660831253</v>
      </c>
    </row>
    <row r="947" spans="1:12" x14ac:dyDescent="0.3">
      <c r="A947" s="1">
        <v>45299</v>
      </c>
      <c r="B947" t="s">
        <v>12</v>
      </c>
      <c r="C947" t="s">
        <v>18</v>
      </c>
      <c r="D947" t="s">
        <v>11</v>
      </c>
      <c r="E947">
        <v>342336</v>
      </c>
      <c r="F947">
        <v>175033</v>
      </c>
      <c r="G947">
        <v>336495</v>
      </c>
      <c r="H947">
        <v>4.0999999999999996</v>
      </c>
      <c r="I947">
        <v>13</v>
      </c>
      <c r="J947">
        <f t="shared" si="42"/>
        <v>167303</v>
      </c>
      <c r="K947" s="2">
        <f t="shared" si="43"/>
        <v>1.0173583559934025</v>
      </c>
      <c r="L947" s="2">
        <f t="shared" si="44"/>
        <v>0.48870992241540473</v>
      </c>
    </row>
    <row r="948" spans="1:12" x14ac:dyDescent="0.3">
      <c r="A948" s="1">
        <v>45837</v>
      </c>
      <c r="B948" t="s">
        <v>9</v>
      </c>
      <c r="C948" t="s">
        <v>18</v>
      </c>
      <c r="D948" t="s">
        <v>11</v>
      </c>
      <c r="E948">
        <v>327712</v>
      </c>
      <c r="F948">
        <v>145085</v>
      </c>
      <c r="G948">
        <v>344496</v>
      </c>
      <c r="H948">
        <v>3.9</v>
      </c>
      <c r="I948">
        <v>0</v>
      </c>
      <c r="J948">
        <f t="shared" si="42"/>
        <v>182627</v>
      </c>
      <c r="K948" s="2">
        <f t="shared" si="43"/>
        <v>0.95127955041567969</v>
      </c>
      <c r="L948" s="2">
        <f t="shared" si="44"/>
        <v>0.55727895225075674</v>
      </c>
    </row>
    <row r="949" spans="1:12" x14ac:dyDescent="0.3">
      <c r="A949" s="1">
        <v>45300</v>
      </c>
      <c r="B949" t="s">
        <v>19</v>
      </c>
      <c r="C949" t="s">
        <v>13</v>
      </c>
      <c r="D949" t="s">
        <v>14</v>
      </c>
      <c r="E949">
        <v>112364</v>
      </c>
      <c r="F949">
        <v>50658</v>
      </c>
      <c r="G949">
        <v>117343</v>
      </c>
      <c r="H949">
        <v>3.5</v>
      </c>
      <c r="I949">
        <v>12</v>
      </c>
      <c r="J949">
        <f t="shared" si="42"/>
        <v>61706</v>
      </c>
      <c r="K949" s="2">
        <f t="shared" si="43"/>
        <v>0.95756883665834347</v>
      </c>
      <c r="L949" s="2">
        <f t="shared" si="44"/>
        <v>0.54916165319853338</v>
      </c>
    </row>
    <row r="950" spans="1:12" x14ac:dyDescent="0.3">
      <c r="A950" s="1">
        <v>45406</v>
      </c>
      <c r="B950" t="s">
        <v>19</v>
      </c>
      <c r="C950" t="s">
        <v>10</v>
      </c>
      <c r="D950" t="s">
        <v>14</v>
      </c>
      <c r="E950">
        <v>281635</v>
      </c>
      <c r="F950">
        <v>137469</v>
      </c>
      <c r="G950">
        <v>276762</v>
      </c>
      <c r="H950">
        <v>4.5</v>
      </c>
      <c r="I950">
        <v>8</v>
      </c>
      <c r="J950">
        <f t="shared" si="42"/>
        <v>144166</v>
      </c>
      <c r="K950" s="2">
        <f t="shared" si="43"/>
        <v>1.0176071859576097</v>
      </c>
      <c r="L950" s="2">
        <f t="shared" si="44"/>
        <v>0.5118895023700889</v>
      </c>
    </row>
    <row r="951" spans="1:12" x14ac:dyDescent="0.3">
      <c r="A951" s="1">
        <v>45524</v>
      </c>
      <c r="B951" t="s">
        <v>12</v>
      </c>
      <c r="C951" t="s">
        <v>18</v>
      </c>
      <c r="D951" t="s">
        <v>17</v>
      </c>
      <c r="E951">
        <v>428712</v>
      </c>
      <c r="F951">
        <v>252395</v>
      </c>
      <c r="G951">
        <v>456644</v>
      </c>
      <c r="H951">
        <v>4.3</v>
      </c>
      <c r="I951">
        <v>0</v>
      </c>
      <c r="J951">
        <f t="shared" si="42"/>
        <v>176317</v>
      </c>
      <c r="K951" s="2">
        <f t="shared" si="43"/>
        <v>0.93883200042045878</v>
      </c>
      <c r="L951" s="2">
        <f t="shared" si="44"/>
        <v>0.41127143630222618</v>
      </c>
    </row>
    <row r="952" spans="1:12" x14ac:dyDescent="0.3">
      <c r="A952" s="1">
        <v>45842</v>
      </c>
      <c r="B952" t="s">
        <v>19</v>
      </c>
      <c r="C952" t="s">
        <v>16</v>
      </c>
      <c r="D952" t="s">
        <v>17</v>
      </c>
      <c r="E952">
        <v>420423</v>
      </c>
      <c r="F952">
        <v>205868</v>
      </c>
      <c r="G952">
        <v>453524</v>
      </c>
      <c r="H952">
        <v>4.9000000000000004</v>
      </c>
      <c r="I952">
        <v>7</v>
      </c>
      <c r="J952">
        <f t="shared" si="42"/>
        <v>214555</v>
      </c>
      <c r="K952" s="2">
        <f t="shared" si="43"/>
        <v>0.92701378537850254</v>
      </c>
      <c r="L952" s="2">
        <f t="shared" si="44"/>
        <v>0.5103312616103306</v>
      </c>
    </row>
    <row r="953" spans="1:12" x14ac:dyDescent="0.3">
      <c r="A953" s="1">
        <v>45471</v>
      </c>
      <c r="B953" t="s">
        <v>12</v>
      </c>
      <c r="C953" t="s">
        <v>16</v>
      </c>
      <c r="D953" t="s">
        <v>11</v>
      </c>
      <c r="E953">
        <v>438886</v>
      </c>
      <c r="F953">
        <v>157307</v>
      </c>
      <c r="G953">
        <v>487365</v>
      </c>
      <c r="H953">
        <v>4.0999999999999996</v>
      </c>
      <c r="I953">
        <v>3</v>
      </c>
      <c r="J953">
        <f t="shared" si="42"/>
        <v>281579</v>
      </c>
      <c r="K953" s="2">
        <f t="shared" si="43"/>
        <v>0.90052835144091181</v>
      </c>
      <c r="L953" s="2">
        <f t="shared" si="44"/>
        <v>0.64157662809932425</v>
      </c>
    </row>
    <row r="954" spans="1:12" x14ac:dyDescent="0.3">
      <c r="A954" s="1">
        <v>45731</v>
      </c>
      <c r="B954" t="s">
        <v>19</v>
      </c>
      <c r="C954" t="s">
        <v>16</v>
      </c>
      <c r="D954" t="s">
        <v>14</v>
      </c>
      <c r="E954">
        <v>305103</v>
      </c>
      <c r="F954">
        <v>173115</v>
      </c>
      <c r="G954">
        <v>260263</v>
      </c>
      <c r="H954">
        <v>3.7</v>
      </c>
      <c r="I954">
        <v>10</v>
      </c>
      <c r="J954">
        <f t="shared" si="42"/>
        <v>131988</v>
      </c>
      <c r="K954" s="2">
        <f t="shared" si="43"/>
        <v>1.1722872632683095</v>
      </c>
      <c r="L954" s="2">
        <f t="shared" si="44"/>
        <v>0.4326014493466141</v>
      </c>
    </row>
    <row r="955" spans="1:12" x14ac:dyDescent="0.3">
      <c r="A955" s="1">
        <v>45522</v>
      </c>
      <c r="B955" t="s">
        <v>15</v>
      </c>
      <c r="C955" t="s">
        <v>16</v>
      </c>
      <c r="D955" t="s">
        <v>17</v>
      </c>
      <c r="E955">
        <v>118775</v>
      </c>
      <c r="F955">
        <v>37829</v>
      </c>
      <c r="G955">
        <v>124961</v>
      </c>
      <c r="H955">
        <v>3.6</v>
      </c>
      <c r="I955">
        <v>1</v>
      </c>
      <c r="J955">
        <f t="shared" si="42"/>
        <v>80946</v>
      </c>
      <c r="K955" s="2">
        <f t="shared" si="43"/>
        <v>0.95049655492513663</v>
      </c>
      <c r="L955" s="2">
        <f t="shared" si="44"/>
        <v>0.68150705114712695</v>
      </c>
    </row>
    <row r="956" spans="1:12" x14ac:dyDescent="0.3">
      <c r="A956" s="1">
        <v>45955</v>
      </c>
      <c r="B956" t="s">
        <v>9</v>
      </c>
      <c r="C956" t="s">
        <v>10</v>
      </c>
      <c r="D956" t="s">
        <v>17</v>
      </c>
      <c r="E956">
        <v>343964</v>
      </c>
      <c r="F956">
        <v>169010</v>
      </c>
      <c r="G956">
        <v>352440</v>
      </c>
      <c r="H956">
        <v>4</v>
      </c>
      <c r="I956">
        <v>14</v>
      </c>
      <c r="J956">
        <f t="shared" si="42"/>
        <v>174954</v>
      </c>
      <c r="K956" s="2">
        <f t="shared" si="43"/>
        <v>0.97595051639995456</v>
      </c>
      <c r="L956" s="2">
        <f t="shared" si="44"/>
        <v>0.50864043911572143</v>
      </c>
    </row>
    <row r="957" spans="1:12" x14ac:dyDescent="0.3">
      <c r="A957" s="1">
        <v>45514</v>
      </c>
      <c r="B957" t="s">
        <v>9</v>
      </c>
      <c r="C957" t="s">
        <v>18</v>
      </c>
      <c r="D957" t="s">
        <v>14</v>
      </c>
      <c r="E957">
        <v>21539</v>
      </c>
      <c r="F957">
        <v>9020</v>
      </c>
      <c r="G957">
        <v>20494</v>
      </c>
      <c r="H957">
        <v>4.9000000000000004</v>
      </c>
      <c r="I957">
        <v>9</v>
      </c>
      <c r="J957">
        <f t="shared" si="42"/>
        <v>12519</v>
      </c>
      <c r="K957" s="2">
        <f t="shared" si="43"/>
        <v>1.0509905338147751</v>
      </c>
      <c r="L957" s="2">
        <f t="shared" si="44"/>
        <v>0.58122475509540827</v>
      </c>
    </row>
    <row r="958" spans="1:12" x14ac:dyDescent="0.3">
      <c r="A958" s="1">
        <v>45561</v>
      </c>
      <c r="B958" t="s">
        <v>12</v>
      </c>
      <c r="C958" t="s">
        <v>10</v>
      </c>
      <c r="D958" t="s">
        <v>14</v>
      </c>
      <c r="E958">
        <v>371462</v>
      </c>
      <c r="F958">
        <v>161052</v>
      </c>
      <c r="G958">
        <v>421360</v>
      </c>
      <c r="H958">
        <v>3.6</v>
      </c>
      <c r="I958">
        <v>4</v>
      </c>
      <c r="J958">
        <f t="shared" si="42"/>
        <v>210410</v>
      </c>
      <c r="K958" s="2">
        <f t="shared" si="43"/>
        <v>0.88157869755078788</v>
      </c>
      <c r="L958" s="2">
        <f t="shared" si="44"/>
        <v>0.56643748216506673</v>
      </c>
    </row>
    <row r="959" spans="1:12" x14ac:dyDescent="0.3">
      <c r="A959" s="1">
        <v>45680</v>
      </c>
      <c r="B959" t="s">
        <v>19</v>
      </c>
      <c r="C959" t="s">
        <v>13</v>
      </c>
      <c r="D959" t="s">
        <v>11</v>
      </c>
      <c r="E959">
        <v>48744</v>
      </c>
      <c r="F959">
        <v>25834</v>
      </c>
      <c r="G959">
        <v>48153</v>
      </c>
      <c r="H959">
        <v>4.4000000000000004</v>
      </c>
      <c r="I959">
        <v>2</v>
      </c>
      <c r="J959">
        <f t="shared" si="42"/>
        <v>22910</v>
      </c>
      <c r="K959" s="2">
        <f t="shared" si="43"/>
        <v>1.0122733786056943</v>
      </c>
      <c r="L959" s="2">
        <f t="shared" si="44"/>
        <v>0.47000656491055309</v>
      </c>
    </row>
    <row r="960" spans="1:12" x14ac:dyDescent="0.3">
      <c r="A960" s="1">
        <v>45870</v>
      </c>
      <c r="B960" t="s">
        <v>15</v>
      </c>
      <c r="C960" t="s">
        <v>10</v>
      </c>
      <c r="D960" t="s">
        <v>11</v>
      </c>
      <c r="E960">
        <v>455988</v>
      </c>
      <c r="F960">
        <v>266095</v>
      </c>
      <c r="G960">
        <v>444177</v>
      </c>
      <c r="H960">
        <v>4.5999999999999996</v>
      </c>
      <c r="I960">
        <v>5</v>
      </c>
      <c r="J960">
        <f t="shared" si="42"/>
        <v>189893</v>
      </c>
      <c r="K960" s="2">
        <f t="shared" si="43"/>
        <v>1.0265907509844048</v>
      </c>
      <c r="L960" s="2">
        <f t="shared" si="44"/>
        <v>0.41644297656955886</v>
      </c>
    </row>
    <row r="961" spans="1:12" x14ac:dyDescent="0.3">
      <c r="A961" s="1">
        <v>45628</v>
      </c>
      <c r="B961" t="s">
        <v>15</v>
      </c>
      <c r="C961" t="s">
        <v>13</v>
      </c>
      <c r="D961" t="s">
        <v>17</v>
      </c>
      <c r="E961">
        <v>116905</v>
      </c>
      <c r="F961">
        <v>56327</v>
      </c>
      <c r="G961">
        <v>129423</v>
      </c>
      <c r="H961">
        <v>4.5</v>
      </c>
      <c r="I961">
        <v>7</v>
      </c>
      <c r="J961">
        <f t="shared" si="42"/>
        <v>60578</v>
      </c>
      <c r="K961" s="2">
        <f t="shared" si="43"/>
        <v>0.90327839719369818</v>
      </c>
      <c r="L961" s="2">
        <f t="shared" si="44"/>
        <v>0.51818142936572431</v>
      </c>
    </row>
    <row r="962" spans="1:12" x14ac:dyDescent="0.3">
      <c r="A962" s="1">
        <v>45926</v>
      </c>
      <c r="B962" t="s">
        <v>15</v>
      </c>
      <c r="C962" t="s">
        <v>10</v>
      </c>
      <c r="D962" t="s">
        <v>17</v>
      </c>
      <c r="E962">
        <v>311075</v>
      </c>
      <c r="F962">
        <v>113050</v>
      </c>
      <c r="G962">
        <v>295123</v>
      </c>
      <c r="H962">
        <v>4</v>
      </c>
      <c r="I962">
        <v>15</v>
      </c>
      <c r="J962">
        <f t="shared" si="42"/>
        <v>198025</v>
      </c>
      <c r="K962" s="2">
        <f t="shared" si="43"/>
        <v>1.0540520393191992</v>
      </c>
      <c r="L962" s="2">
        <f t="shared" si="44"/>
        <v>0.63658281764847702</v>
      </c>
    </row>
    <row r="963" spans="1:12" x14ac:dyDescent="0.3">
      <c r="A963" s="1">
        <v>45472</v>
      </c>
      <c r="B963" t="s">
        <v>19</v>
      </c>
      <c r="C963" t="s">
        <v>10</v>
      </c>
      <c r="D963" t="s">
        <v>17</v>
      </c>
      <c r="E963">
        <v>120494</v>
      </c>
      <c r="F963">
        <v>67528</v>
      </c>
      <c r="G963">
        <v>109270</v>
      </c>
      <c r="H963">
        <v>3.7</v>
      </c>
      <c r="I963">
        <v>11</v>
      </c>
      <c r="J963">
        <f t="shared" ref="J963:J1026" si="45">E963-F963</f>
        <v>52966</v>
      </c>
      <c r="K963" s="2">
        <f t="shared" ref="K963:K1026" si="46">E963/G963</f>
        <v>1.1027180378878008</v>
      </c>
      <c r="L963" s="2">
        <f t="shared" ref="L963:L1026" si="47">J963/E963</f>
        <v>0.43957375470977805</v>
      </c>
    </row>
    <row r="964" spans="1:12" x14ac:dyDescent="0.3">
      <c r="A964" s="1">
        <v>45979</v>
      </c>
      <c r="B964" t="s">
        <v>9</v>
      </c>
      <c r="C964" t="s">
        <v>13</v>
      </c>
      <c r="D964" t="s">
        <v>14</v>
      </c>
      <c r="E964">
        <v>103286</v>
      </c>
      <c r="F964">
        <v>37472</v>
      </c>
      <c r="G964">
        <v>96141</v>
      </c>
      <c r="H964">
        <v>4.8</v>
      </c>
      <c r="I964">
        <v>1</v>
      </c>
      <c r="J964">
        <f t="shared" si="45"/>
        <v>65814</v>
      </c>
      <c r="K964" s="2">
        <f t="shared" si="46"/>
        <v>1.0743179288752978</v>
      </c>
      <c r="L964" s="2">
        <f t="shared" si="47"/>
        <v>0.63720155684216639</v>
      </c>
    </row>
    <row r="965" spans="1:12" x14ac:dyDescent="0.3">
      <c r="A965" s="1">
        <v>45407</v>
      </c>
      <c r="B965" t="s">
        <v>12</v>
      </c>
      <c r="C965" t="s">
        <v>16</v>
      </c>
      <c r="D965" t="s">
        <v>17</v>
      </c>
      <c r="E965">
        <v>345863</v>
      </c>
      <c r="F965">
        <v>200299</v>
      </c>
      <c r="G965">
        <v>369741</v>
      </c>
      <c r="H965">
        <v>4.0999999999999996</v>
      </c>
      <c r="I965">
        <v>5</v>
      </c>
      <c r="J965">
        <f t="shared" si="45"/>
        <v>145564</v>
      </c>
      <c r="K965" s="2">
        <f t="shared" si="46"/>
        <v>0.93541965862590304</v>
      </c>
      <c r="L965" s="2">
        <f t="shared" si="47"/>
        <v>0.42087184810170503</v>
      </c>
    </row>
    <row r="966" spans="1:12" x14ac:dyDescent="0.3">
      <c r="A966" s="1">
        <v>45387</v>
      </c>
      <c r="B966" t="s">
        <v>15</v>
      </c>
      <c r="C966" t="s">
        <v>16</v>
      </c>
      <c r="D966" t="s">
        <v>17</v>
      </c>
      <c r="E966">
        <v>98478</v>
      </c>
      <c r="F966">
        <v>45965</v>
      </c>
      <c r="G966">
        <v>85937</v>
      </c>
      <c r="H966">
        <v>4.4000000000000004</v>
      </c>
      <c r="I966">
        <v>7</v>
      </c>
      <c r="J966">
        <f t="shared" si="45"/>
        <v>52513</v>
      </c>
      <c r="K966" s="2">
        <f t="shared" si="46"/>
        <v>1.1459324854253699</v>
      </c>
      <c r="L966" s="2">
        <f t="shared" si="47"/>
        <v>0.53324600418367551</v>
      </c>
    </row>
    <row r="967" spans="1:12" x14ac:dyDescent="0.3">
      <c r="A967" s="1">
        <v>45424</v>
      </c>
      <c r="B967" t="s">
        <v>12</v>
      </c>
      <c r="C967" t="s">
        <v>10</v>
      </c>
      <c r="D967" t="s">
        <v>17</v>
      </c>
      <c r="E967">
        <v>177610</v>
      </c>
      <c r="F967">
        <v>82613</v>
      </c>
      <c r="G967">
        <v>165294</v>
      </c>
      <c r="H967">
        <v>3.5</v>
      </c>
      <c r="I967">
        <v>12</v>
      </c>
      <c r="J967">
        <f t="shared" si="45"/>
        <v>94997</v>
      </c>
      <c r="K967" s="2">
        <f t="shared" si="46"/>
        <v>1.0745096615727128</v>
      </c>
      <c r="L967" s="2">
        <f t="shared" si="47"/>
        <v>0.53486290186363383</v>
      </c>
    </row>
    <row r="968" spans="1:12" x14ac:dyDescent="0.3">
      <c r="A968" s="1">
        <v>45670</v>
      </c>
      <c r="B968" t="s">
        <v>9</v>
      </c>
      <c r="C968" t="s">
        <v>18</v>
      </c>
      <c r="D968" t="s">
        <v>17</v>
      </c>
      <c r="E968">
        <v>276278</v>
      </c>
      <c r="F968">
        <v>123286</v>
      </c>
      <c r="G968">
        <v>315134</v>
      </c>
      <c r="H968">
        <v>4.2</v>
      </c>
      <c r="I968">
        <v>4</v>
      </c>
      <c r="J968">
        <f t="shared" si="45"/>
        <v>152992</v>
      </c>
      <c r="K968" s="2">
        <f t="shared" si="46"/>
        <v>0.87670007044622289</v>
      </c>
      <c r="L968" s="2">
        <f t="shared" si="47"/>
        <v>0.5537610667516053</v>
      </c>
    </row>
    <row r="969" spans="1:12" x14ac:dyDescent="0.3">
      <c r="A969" s="1">
        <v>45926</v>
      </c>
      <c r="B969" t="s">
        <v>15</v>
      </c>
      <c r="C969" t="s">
        <v>13</v>
      </c>
      <c r="D969" t="s">
        <v>17</v>
      </c>
      <c r="E969">
        <v>151553</v>
      </c>
      <c r="F969">
        <v>89437</v>
      </c>
      <c r="G969">
        <v>151515</v>
      </c>
      <c r="H969">
        <v>4.4000000000000004</v>
      </c>
      <c r="I969">
        <v>0</v>
      </c>
      <c r="J969">
        <f t="shared" si="45"/>
        <v>62116</v>
      </c>
      <c r="K969" s="2">
        <f t="shared" si="46"/>
        <v>1.0002508002508002</v>
      </c>
      <c r="L969" s="2">
        <f t="shared" si="47"/>
        <v>0.40986321616860111</v>
      </c>
    </row>
    <row r="970" spans="1:12" x14ac:dyDescent="0.3">
      <c r="A970" s="1">
        <v>45409</v>
      </c>
      <c r="B970" t="s">
        <v>19</v>
      </c>
      <c r="C970" t="s">
        <v>10</v>
      </c>
      <c r="D970" t="s">
        <v>11</v>
      </c>
      <c r="E970">
        <v>217866</v>
      </c>
      <c r="F970">
        <v>88113</v>
      </c>
      <c r="G970">
        <v>249362</v>
      </c>
      <c r="H970">
        <v>4.5</v>
      </c>
      <c r="I970">
        <v>5</v>
      </c>
      <c r="J970">
        <f t="shared" si="45"/>
        <v>129753</v>
      </c>
      <c r="K970" s="2">
        <f t="shared" si="46"/>
        <v>0.8736936662362349</v>
      </c>
      <c r="L970" s="2">
        <f t="shared" si="47"/>
        <v>0.59556332791716005</v>
      </c>
    </row>
    <row r="971" spans="1:12" x14ac:dyDescent="0.3">
      <c r="A971" s="1">
        <v>45449</v>
      </c>
      <c r="B971" t="s">
        <v>19</v>
      </c>
      <c r="C971" t="s">
        <v>18</v>
      </c>
      <c r="D971" t="s">
        <v>17</v>
      </c>
      <c r="E971">
        <v>253554</v>
      </c>
      <c r="F971">
        <v>100230</v>
      </c>
      <c r="G971">
        <v>280326</v>
      </c>
      <c r="H971">
        <v>4</v>
      </c>
      <c r="I971">
        <v>3</v>
      </c>
      <c r="J971">
        <f t="shared" si="45"/>
        <v>153324</v>
      </c>
      <c r="K971" s="2">
        <f t="shared" si="46"/>
        <v>0.90449690717236364</v>
      </c>
      <c r="L971" s="2">
        <f t="shared" si="47"/>
        <v>0.60469959061974965</v>
      </c>
    </row>
    <row r="972" spans="1:12" x14ac:dyDescent="0.3">
      <c r="A972" s="1">
        <v>45606</v>
      </c>
      <c r="B972" t="s">
        <v>19</v>
      </c>
      <c r="C972" t="s">
        <v>13</v>
      </c>
      <c r="D972" t="s">
        <v>11</v>
      </c>
      <c r="E972">
        <v>495334</v>
      </c>
      <c r="F972">
        <v>189629</v>
      </c>
      <c r="G972">
        <v>517255</v>
      </c>
      <c r="H972">
        <v>5</v>
      </c>
      <c r="I972">
        <v>15</v>
      </c>
      <c r="J972">
        <f t="shared" si="45"/>
        <v>305705</v>
      </c>
      <c r="K972" s="2">
        <f t="shared" si="46"/>
        <v>0.95762051599307885</v>
      </c>
      <c r="L972" s="2">
        <f t="shared" si="47"/>
        <v>0.61716942507479799</v>
      </c>
    </row>
    <row r="973" spans="1:12" x14ac:dyDescent="0.3">
      <c r="A973" s="1">
        <v>45993</v>
      </c>
      <c r="B973" t="s">
        <v>12</v>
      </c>
      <c r="C973" t="s">
        <v>16</v>
      </c>
      <c r="D973" t="s">
        <v>14</v>
      </c>
      <c r="E973">
        <v>326131</v>
      </c>
      <c r="F973">
        <v>147403</v>
      </c>
      <c r="G973">
        <v>350553</v>
      </c>
      <c r="H973">
        <v>4.5999999999999996</v>
      </c>
      <c r="I973">
        <v>7</v>
      </c>
      <c r="J973">
        <f t="shared" si="45"/>
        <v>178728</v>
      </c>
      <c r="K973" s="2">
        <f t="shared" si="46"/>
        <v>0.93033293111170068</v>
      </c>
      <c r="L973" s="2">
        <f t="shared" si="47"/>
        <v>0.54802518006567913</v>
      </c>
    </row>
    <row r="974" spans="1:12" x14ac:dyDescent="0.3">
      <c r="A974" s="1">
        <v>45614</v>
      </c>
      <c r="B974" t="s">
        <v>15</v>
      </c>
      <c r="C974" t="s">
        <v>10</v>
      </c>
      <c r="D974" t="s">
        <v>11</v>
      </c>
      <c r="E974">
        <v>469893</v>
      </c>
      <c r="F974">
        <v>226770</v>
      </c>
      <c r="G974">
        <v>533399</v>
      </c>
      <c r="H974">
        <v>4.0999999999999996</v>
      </c>
      <c r="I974">
        <v>15</v>
      </c>
      <c r="J974">
        <f t="shared" si="45"/>
        <v>243123</v>
      </c>
      <c r="K974" s="2">
        <f t="shared" si="46"/>
        <v>0.88094090915056089</v>
      </c>
      <c r="L974" s="2">
        <f t="shared" si="47"/>
        <v>0.51740076996252338</v>
      </c>
    </row>
    <row r="975" spans="1:12" x14ac:dyDescent="0.3">
      <c r="A975" s="1">
        <v>45586</v>
      </c>
      <c r="B975" t="s">
        <v>9</v>
      </c>
      <c r="C975" t="s">
        <v>10</v>
      </c>
      <c r="D975" t="s">
        <v>14</v>
      </c>
      <c r="E975">
        <v>151707</v>
      </c>
      <c r="F975">
        <v>81060</v>
      </c>
      <c r="G975">
        <v>147648</v>
      </c>
      <c r="H975">
        <v>3.8</v>
      </c>
      <c r="I975">
        <v>12</v>
      </c>
      <c r="J975">
        <f t="shared" si="45"/>
        <v>70647</v>
      </c>
      <c r="K975" s="2">
        <f t="shared" si="46"/>
        <v>1.0274910598179454</v>
      </c>
      <c r="L975" s="2">
        <f t="shared" si="47"/>
        <v>0.4656805552809033</v>
      </c>
    </row>
    <row r="976" spans="1:12" x14ac:dyDescent="0.3">
      <c r="A976" s="1">
        <v>45967</v>
      </c>
      <c r="B976" t="s">
        <v>19</v>
      </c>
      <c r="C976" t="s">
        <v>10</v>
      </c>
      <c r="D976" t="s">
        <v>11</v>
      </c>
      <c r="E976">
        <v>362792</v>
      </c>
      <c r="F976">
        <v>197890</v>
      </c>
      <c r="G976">
        <v>393317</v>
      </c>
      <c r="H976">
        <v>3.8</v>
      </c>
      <c r="I976">
        <v>6</v>
      </c>
      <c r="J976">
        <f t="shared" si="45"/>
        <v>164902</v>
      </c>
      <c r="K976" s="2">
        <f t="shared" si="46"/>
        <v>0.92239084504356539</v>
      </c>
      <c r="L976" s="2">
        <f t="shared" si="47"/>
        <v>0.45453593243511431</v>
      </c>
    </row>
    <row r="977" spans="1:12" x14ac:dyDescent="0.3">
      <c r="A977" s="1">
        <v>45516</v>
      </c>
      <c r="B977" t="s">
        <v>12</v>
      </c>
      <c r="C977" t="s">
        <v>16</v>
      </c>
      <c r="D977" t="s">
        <v>11</v>
      </c>
      <c r="E977">
        <v>341080</v>
      </c>
      <c r="F977">
        <v>144781</v>
      </c>
      <c r="G977">
        <v>319261</v>
      </c>
      <c r="H977">
        <v>4.3</v>
      </c>
      <c r="I977">
        <v>11</v>
      </c>
      <c r="J977">
        <f t="shared" si="45"/>
        <v>196299</v>
      </c>
      <c r="K977" s="2">
        <f t="shared" si="46"/>
        <v>1.0683422027745324</v>
      </c>
      <c r="L977" s="2">
        <f t="shared" si="47"/>
        <v>0.57552187170165359</v>
      </c>
    </row>
    <row r="978" spans="1:12" x14ac:dyDescent="0.3">
      <c r="A978" s="1">
        <v>45944</v>
      </c>
      <c r="B978" t="s">
        <v>12</v>
      </c>
      <c r="C978" t="s">
        <v>18</v>
      </c>
      <c r="D978" t="s">
        <v>17</v>
      </c>
      <c r="E978">
        <v>323572</v>
      </c>
      <c r="F978">
        <v>177966</v>
      </c>
      <c r="G978">
        <v>359887</v>
      </c>
      <c r="H978">
        <v>3.5</v>
      </c>
      <c r="I978">
        <v>6</v>
      </c>
      <c r="J978">
        <f t="shared" si="45"/>
        <v>145606</v>
      </c>
      <c r="K978" s="2">
        <f t="shared" si="46"/>
        <v>0.89909332651637874</v>
      </c>
      <c r="L978" s="2">
        <f t="shared" si="47"/>
        <v>0.44999567329682422</v>
      </c>
    </row>
    <row r="979" spans="1:12" x14ac:dyDescent="0.3">
      <c r="A979" s="1">
        <v>45962</v>
      </c>
      <c r="B979" t="s">
        <v>19</v>
      </c>
      <c r="C979" t="s">
        <v>13</v>
      </c>
      <c r="D979" t="s">
        <v>17</v>
      </c>
      <c r="E979">
        <v>197934</v>
      </c>
      <c r="F979">
        <v>106721</v>
      </c>
      <c r="G979">
        <v>200136</v>
      </c>
      <c r="H979">
        <v>4.5999999999999996</v>
      </c>
      <c r="I979">
        <v>1</v>
      </c>
      <c r="J979">
        <f t="shared" si="45"/>
        <v>91213</v>
      </c>
      <c r="K979" s="2">
        <f t="shared" si="46"/>
        <v>0.98899748171243551</v>
      </c>
      <c r="L979" s="2">
        <f t="shared" si="47"/>
        <v>0.46082532561358835</v>
      </c>
    </row>
    <row r="980" spans="1:12" x14ac:dyDescent="0.3">
      <c r="A980" s="1">
        <v>45487</v>
      </c>
      <c r="B980" t="s">
        <v>12</v>
      </c>
      <c r="C980" t="s">
        <v>10</v>
      </c>
      <c r="D980" t="s">
        <v>17</v>
      </c>
      <c r="E980">
        <v>297740</v>
      </c>
      <c r="F980">
        <v>127180</v>
      </c>
      <c r="G980">
        <v>334161</v>
      </c>
      <c r="H980">
        <v>4.5999999999999996</v>
      </c>
      <c r="I980">
        <v>15</v>
      </c>
      <c r="J980">
        <f t="shared" si="45"/>
        <v>170560</v>
      </c>
      <c r="K980" s="2">
        <f t="shared" si="46"/>
        <v>0.89100762805952816</v>
      </c>
      <c r="L980" s="2">
        <f t="shared" si="47"/>
        <v>0.57284879425001678</v>
      </c>
    </row>
    <row r="981" spans="1:12" x14ac:dyDescent="0.3">
      <c r="A981" s="1">
        <v>45927</v>
      </c>
      <c r="B981" t="s">
        <v>12</v>
      </c>
      <c r="C981" t="s">
        <v>18</v>
      </c>
      <c r="D981" t="s">
        <v>17</v>
      </c>
      <c r="E981">
        <v>394903</v>
      </c>
      <c r="F981">
        <v>144727</v>
      </c>
      <c r="G981">
        <v>363224</v>
      </c>
      <c r="H981">
        <v>3.7</v>
      </c>
      <c r="I981">
        <v>12</v>
      </c>
      <c r="J981">
        <f t="shared" si="45"/>
        <v>250176</v>
      </c>
      <c r="K981" s="2">
        <f t="shared" si="46"/>
        <v>1.0872161531176354</v>
      </c>
      <c r="L981" s="2">
        <f t="shared" si="47"/>
        <v>0.63351253345758329</v>
      </c>
    </row>
    <row r="982" spans="1:12" x14ac:dyDescent="0.3">
      <c r="A982" s="1">
        <v>45864</v>
      </c>
      <c r="B982" t="s">
        <v>15</v>
      </c>
      <c r="C982" t="s">
        <v>18</v>
      </c>
      <c r="D982" t="s">
        <v>14</v>
      </c>
      <c r="E982">
        <v>210658</v>
      </c>
      <c r="F982">
        <v>127573</v>
      </c>
      <c r="G982">
        <v>224217</v>
      </c>
      <c r="H982">
        <v>4.4000000000000004</v>
      </c>
      <c r="I982">
        <v>12</v>
      </c>
      <c r="J982">
        <f t="shared" si="45"/>
        <v>83085</v>
      </c>
      <c r="K982" s="2">
        <f t="shared" si="46"/>
        <v>0.93952733289625678</v>
      </c>
      <c r="L982" s="2">
        <f t="shared" si="47"/>
        <v>0.39440704839123131</v>
      </c>
    </row>
    <row r="983" spans="1:12" x14ac:dyDescent="0.3">
      <c r="A983" s="1">
        <v>45617</v>
      </c>
      <c r="B983" t="s">
        <v>19</v>
      </c>
      <c r="C983" t="s">
        <v>10</v>
      </c>
      <c r="D983" t="s">
        <v>14</v>
      </c>
      <c r="E983">
        <v>396620</v>
      </c>
      <c r="F983">
        <v>184941</v>
      </c>
      <c r="G983">
        <v>453645</v>
      </c>
      <c r="H983">
        <v>4.5</v>
      </c>
      <c r="I983">
        <v>11</v>
      </c>
      <c r="J983">
        <f t="shared" si="45"/>
        <v>211679</v>
      </c>
      <c r="K983" s="2">
        <f t="shared" si="46"/>
        <v>0.8742959803370477</v>
      </c>
      <c r="L983" s="2">
        <f t="shared" si="47"/>
        <v>0.53370732691240985</v>
      </c>
    </row>
    <row r="984" spans="1:12" x14ac:dyDescent="0.3">
      <c r="A984" s="1">
        <v>45484</v>
      </c>
      <c r="B984" t="s">
        <v>12</v>
      </c>
      <c r="C984" t="s">
        <v>16</v>
      </c>
      <c r="D984" t="s">
        <v>17</v>
      </c>
      <c r="E984">
        <v>320281</v>
      </c>
      <c r="F984">
        <v>127125</v>
      </c>
      <c r="G984">
        <v>302725</v>
      </c>
      <c r="H984">
        <v>4.2</v>
      </c>
      <c r="I984">
        <v>11</v>
      </c>
      <c r="J984">
        <f t="shared" si="45"/>
        <v>193156</v>
      </c>
      <c r="K984" s="2">
        <f t="shared" si="46"/>
        <v>1.0579932281773887</v>
      </c>
      <c r="L984" s="2">
        <f t="shared" si="47"/>
        <v>0.60308291781279566</v>
      </c>
    </row>
    <row r="985" spans="1:12" x14ac:dyDescent="0.3">
      <c r="A985" s="1">
        <v>45343</v>
      </c>
      <c r="B985" t="s">
        <v>12</v>
      </c>
      <c r="C985" t="s">
        <v>16</v>
      </c>
      <c r="D985" t="s">
        <v>14</v>
      </c>
      <c r="E985">
        <v>16861</v>
      </c>
      <c r="F985">
        <v>8735</v>
      </c>
      <c r="G985">
        <v>14599</v>
      </c>
      <c r="H985">
        <v>4.5999999999999996</v>
      </c>
      <c r="I985">
        <v>14</v>
      </c>
      <c r="J985">
        <f t="shared" si="45"/>
        <v>8126</v>
      </c>
      <c r="K985" s="2">
        <f t="shared" si="46"/>
        <v>1.1549421193232414</v>
      </c>
      <c r="L985" s="2">
        <f t="shared" si="47"/>
        <v>0.48194057291975567</v>
      </c>
    </row>
    <row r="986" spans="1:12" x14ac:dyDescent="0.3">
      <c r="A986" s="1">
        <v>45948</v>
      </c>
      <c r="B986" t="s">
        <v>15</v>
      </c>
      <c r="C986" t="s">
        <v>10</v>
      </c>
      <c r="D986" t="s">
        <v>14</v>
      </c>
      <c r="E986">
        <v>198929</v>
      </c>
      <c r="F986">
        <v>109613</v>
      </c>
      <c r="G986">
        <v>217951</v>
      </c>
      <c r="H986">
        <v>3.7</v>
      </c>
      <c r="I986">
        <v>4</v>
      </c>
      <c r="J986">
        <f t="shared" si="45"/>
        <v>89316</v>
      </c>
      <c r="K986" s="2">
        <f t="shared" si="46"/>
        <v>0.91272350207156649</v>
      </c>
      <c r="L986" s="2">
        <f t="shared" si="47"/>
        <v>0.44898431098532643</v>
      </c>
    </row>
    <row r="987" spans="1:12" x14ac:dyDescent="0.3">
      <c r="A987" s="1">
        <v>45409</v>
      </c>
      <c r="B987" t="s">
        <v>19</v>
      </c>
      <c r="C987" t="s">
        <v>18</v>
      </c>
      <c r="D987" t="s">
        <v>14</v>
      </c>
      <c r="E987">
        <v>338345</v>
      </c>
      <c r="F987">
        <v>151264</v>
      </c>
      <c r="G987">
        <v>333508</v>
      </c>
      <c r="H987">
        <v>3.8</v>
      </c>
      <c r="I987">
        <v>6</v>
      </c>
      <c r="J987">
        <f t="shared" si="45"/>
        <v>187081</v>
      </c>
      <c r="K987" s="2">
        <f t="shared" si="46"/>
        <v>1.0145034002182856</v>
      </c>
      <c r="L987" s="2">
        <f t="shared" si="47"/>
        <v>0.55292970193146052</v>
      </c>
    </row>
    <row r="988" spans="1:12" x14ac:dyDescent="0.3">
      <c r="A988" s="1">
        <v>45440</v>
      </c>
      <c r="B988" t="s">
        <v>15</v>
      </c>
      <c r="C988" t="s">
        <v>13</v>
      </c>
      <c r="D988" t="s">
        <v>17</v>
      </c>
      <c r="E988">
        <v>317831</v>
      </c>
      <c r="F988">
        <v>109437</v>
      </c>
      <c r="G988">
        <v>318121</v>
      </c>
      <c r="H988">
        <v>4.5</v>
      </c>
      <c r="I988">
        <v>11</v>
      </c>
      <c r="J988">
        <f t="shared" si="45"/>
        <v>208394</v>
      </c>
      <c r="K988" s="2">
        <f t="shared" si="46"/>
        <v>0.99908839718220421</v>
      </c>
      <c r="L988" s="2">
        <f t="shared" si="47"/>
        <v>0.65567550050183898</v>
      </c>
    </row>
    <row r="989" spans="1:12" x14ac:dyDescent="0.3">
      <c r="A989" s="1">
        <v>45357</v>
      </c>
      <c r="B989" t="s">
        <v>12</v>
      </c>
      <c r="C989" t="s">
        <v>16</v>
      </c>
      <c r="D989" t="s">
        <v>17</v>
      </c>
      <c r="E989">
        <v>382689</v>
      </c>
      <c r="F989">
        <v>186334</v>
      </c>
      <c r="G989">
        <v>379325</v>
      </c>
      <c r="H989">
        <v>3.6</v>
      </c>
      <c r="I989">
        <v>5</v>
      </c>
      <c r="J989">
        <f t="shared" si="45"/>
        <v>196355</v>
      </c>
      <c r="K989" s="2">
        <f t="shared" si="46"/>
        <v>1.0088683846305939</v>
      </c>
      <c r="L989" s="2">
        <f t="shared" si="47"/>
        <v>0.51309287698366035</v>
      </c>
    </row>
    <row r="990" spans="1:12" x14ac:dyDescent="0.3">
      <c r="A990" s="1">
        <v>46021</v>
      </c>
      <c r="B990" t="s">
        <v>19</v>
      </c>
      <c r="C990" t="s">
        <v>18</v>
      </c>
      <c r="D990" t="s">
        <v>14</v>
      </c>
      <c r="E990">
        <v>534699</v>
      </c>
      <c r="F990">
        <v>286332</v>
      </c>
      <c r="G990">
        <v>516094</v>
      </c>
      <c r="H990">
        <v>4.8</v>
      </c>
      <c r="I990">
        <v>13</v>
      </c>
      <c r="J990">
        <f t="shared" si="45"/>
        <v>248367</v>
      </c>
      <c r="K990" s="2">
        <f t="shared" si="46"/>
        <v>1.0360496343689327</v>
      </c>
      <c r="L990" s="2">
        <f t="shared" si="47"/>
        <v>0.46449871797029729</v>
      </c>
    </row>
    <row r="991" spans="1:12" x14ac:dyDescent="0.3">
      <c r="A991" s="1">
        <v>45897</v>
      </c>
      <c r="B991" t="s">
        <v>12</v>
      </c>
      <c r="C991" t="s">
        <v>13</v>
      </c>
      <c r="D991" t="s">
        <v>11</v>
      </c>
      <c r="E991">
        <v>311517</v>
      </c>
      <c r="F991">
        <v>170213</v>
      </c>
      <c r="G991">
        <v>350838</v>
      </c>
      <c r="H991">
        <v>4.4000000000000004</v>
      </c>
      <c r="I991">
        <v>11</v>
      </c>
      <c r="J991">
        <f t="shared" si="45"/>
        <v>141304</v>
      </c>
      <c r="K991" s="2">
        <f t="shared" si="46"/>
        <v>0.88792263095787805</v>
      </c>
      <c r="L991" s="2">
        <f t="shared" si="47"/>
        <v>0.45359964303713762</v>
      </c>
    </row>
    <row r="992" spans="1:12" x14ac:dyDescent="0.3">
      <c r="A992" s="1">
        <v>45468</v>
      </c>
      <c r="B992" t="s">
        <v>19</v>
      </c>
      <c r="C992" t="s">
        <v>10</v>
      </c>
      <c r="D992" t="s">
        <v>11</v>
      </c>
      <c r="E992">
        <v>274019</v>
      </c>
      <c r="F992">
        <v>106283</v>
      </c>
      <c r="G992">
        <v>275933</v>
      </c>
      <c r="H992">
        <v>3.7</v>
      </c>
      <c r="I992">
        <v>15</v>
      </c>
      <c r="J992">
        <f t="shared" si="45"/>
        <v>167736</v>
      </c>
      <c r="K992" s="2">
        <f t="shared" si="46"/>
        <v>0.99306353353893884</v>
      </c>
      <c r="L992" s="2">
        <f t="shared" si="47"/>
        <v>0.61213273532127332</v>
      </c>
    </row>
    <row r="993" spans="1:12" x14ac:dyDescent="0.3">
      <c r="A993" s="1">
        <v>45654</v>
      </c>
      <c r="B993" t="s">
        <v>9</v>
      </c>
      <c r="C993" t="s">
        <v>16</v>
      </c>
      <c r="D993" t="s">
        <v>11</v>
      </c>
      <c r="E993">
        <v>251450</v>
      </c>
      <c r="F993">
        <v>147343</v>
      </c>
      <c r="G993">
        <v>259404</v>
      </c>
      <c r="H993">
        <v>3.6</v>
      </c>
      <c r="I993">
        <v>6</v>
      </c>
      <c r="J993">
        <f t="shared" si="45"/>
        <v>104107</v>
      </c>
      <c r="K993" s="2">
        <f t="shared" si="46"/>
        <v>0.9693374042034818</v>
      </c>
      <c r="L993" s="2">
        <f t="shared" si="47"/>
        <v>0.41402664545635315</v>
      </c>
    </row>
    <row r="994" spans="1:12" x14ac:dyDescent="0.3">
      <c r="A994" s="1">
        <v>45612</v>
      </c>
      <c r="B994" t="s">
        <v>15</v>
      </c>
      <c r="C994" t="s">
        <v>16</v>
      </c>
      <c r="D994" t="s">
        <v>17</v>
      </c>
      <c r="E994">
        <v>293496</v>
      </c>
      <c r="F994">
        <v>145923</v>
      </c>
      <c r="G994">
        <v>267158</v>
      </c>
      <c r="H994">
        <v>4</v>
      </c>
      <c r="I994">
        <v>12</v>
      </c>
      <c r="J994">
        <f t="shared" si="45"/>
        <v>147573</v>
      </c>
      <c r="K994" s="2">
        <f t="shared" si="46"/>
        <v>1.0985858555611285</v>
      </c>
      <c r="L994" s="2">
        <f t="shared" si="47"/>
        <v>0.50281094120533154</v>
      </c>
    </row>
    <row r="995" spans="1:12" x14ac:dyDescent="0.3">
      <c r="A995" s="1">
        <v>45544</v>
      </c>
      <c r="B995" t="s">
        <v>15</v>
      </c>
      <c r="C995" t="s">
        <v>16</v>
      </c>
      <c r="D995" t="s">
        <v>11</v>
      </c>
      <c r="E995">
        <v>248697</v>
      </c>
      <c r="F995">
        <v>142875</v>
      </c>
      <c r="G995">
        <v>271664</v>
      </c>
      <c r="H995">
        <v>4.5</v>
      </c>
      <c r="I995">
        <v>13</v>
      </c>
      <c r="J995">
        <f t="shared" si="45"/>
        <v>105822</v>
      </c>
      <c r="K995" s="2">
        <f t="shared" si="46"/>
        <v>0.91545806584604517</v>
      </c>
      <c r="L995" s="2">
        <f t="shared" si="47"/>
        <v>0.42550573589548729</v>
      </c>
    </row>
    <row r="996" spans="1:12" x14ac:dyDescent="0.3">
      <c r="A996" s="1">
        <v>45461</v>
      </c>
      <c r="B996" t="s">
        <v>15</v>
      </c>
      <c r="C996" t="s">
        <v>18</v>
      </c>
      <c r="D996" t="s">
        <v>11</v>
      </c>
      <c r="E996">
        <v>140698</v>
      </c>
      <c r="F996">
        <v>60256</v>
      </c>
      <c r="G996">
        <v>141739</v>
      </c>
      <c r="H996">
        <v>4.5</v>
      </c>
      <c r="I996">
        <v>14</v>
      </c>
      <c r="J996">
        <f t="shared" si="45"/>
        <v>80442</v>
      </c>
      <c r="K996" s="2">
        <f t="shared" si="46"/>
        <v>0.99265551471366387</v>
      </c>
      <c r="L996" s="2">
        <f t="shared" si="47"/>
        <v>0.57173520590200289</v>
      </c>
    </row>
    <row r="997" spans="1:12" x14ac:dyDescent="0.3">
      <c r="A997" s="1">
        <v>45955</v>
      </c>
      <c r="B997" t="s">
        <v>19</v>
      </c>
      <c r="C997" t="s">
        <v>13</v>
      </c>
      <c r="D997" t="s">
        <v>11</v>
      </c>
      <c r="E997">
        <v>394822</v>
      </c>
      <c r="F997">
        <v>236253</v>
      </c>
      <c r="G997">
        <v>388876</v>
      </c>
      <c r="H997">
        <v>4.5999999999999996</v>
      </c>
      <c r="I997">
        <v>12</v>
      </c>
      <c r="J997">
        <f t="shared" si="45"/>
        <v>158569</v>
      </c>
      <c r="K997" s="2">
        <f t="shared" si="46"/>
        <v>1.0152902210473262</v>
      </c>
      <c r="L997" s="2">
        <f t="shared" si="47"/>
        <v>0.40162149019051624</v>
      </c>
    </row>
    <row r="998" spans="1:12" x14ac:dyDescent="0.3">
      <c r="A998" s="1">
        <v>45706</v>
      </c>
      <c r="B998" t="s">
        <v>15</v>
      </c>
      <c r="C998" t="s">
        <v>18</v>
      </c>
      <c r="D998" t="s">
        <v>11</v>
      </c>
      <c r="E998">
        <v>408538</v>
      </c>
      <c r="F998">
        <v>158792</v>
      </c>
      <c r="G998">
        <v>370489</v>
      </c>
      <c r="H998">
        <v>4.8</v>
      </c>
      <c r="I998">
        <v>3</v>
      </c>
      <c r="J998">
        <f t="shared" si="45"/>
        <v>249746</v>
      </c>
      <c r="K998" s="2">
        <f t="shared" si="46"/>
        <v>1.1026994053804566</v>
      </c>
      <c r="L998" s="2">
        <f t="shared" si="47"/>
        <v>0.61131645036691817</v>
      </c>
    </row>
    <row r="999" spans="1:12" x14ac:dyDescent="0.3">
      <c r="A999" s="1">
        <v>45362</v>
      </c>
      <c r="B999" t="s">
        <v>12</v>
      </c>
      <c r="C999" t="s">
        <v>16</v>
      </c>
      <c r="D999" t="s">
        <v>17</v>
      </c>
      <c r="E999">
        <v>281731</v>
      </c>
      <c r="F999">
        <v>158473</v>
      </c>
      <c r="G999">
        <v>259702</v>
      </c>
      <c r="H999">
        <v>4.0999999999999996</v>
      </c>
      <c r="I999">
        <v>8</v>
      </c>
      <c r="J999">
        <f t="shared" si="45"/>
        <v>123258</v>
      </c>
      <c r="K999" s="2">
        <f t="shared" si="46"/>
        <v>1.084824144596499</v>
      </c>
      <c r="L999" s="2">
        <f t="shared" si="47"/>
        <v>0.43750244027103868</v>
      </c>
    </row>
    <row r="1000" spans="1:12" x14ac:dyDescent="0.3">
      <c r="A1000" s="1">
        <v>45957</v>
      </c>
      <c r="B1000" t="s">
        <v>12</v>
      </c>
      <c r="C1000" t="s">
        <v>16</v>
      </c>
      <c r="D1000" t="s">
        <v>17</v>
      </c>
      <c r="E1000">
        <v>399929</v>
      </c>
      <c r="F1000">
        <v>207621</v>
      </c>
      <c r="G1000">
        <v>408601</v>
      </c>
      <c r="H1000">
        <v>4.2</v>
      </c>
      <c r="I1000">
        <v>4</v>
      </c>
      <c r="J1000">
        <f t="shared" si="45"/>
        <v>192308</v>
      </c>
      <c r="K1000" s="2">
        <f t="shared" si="46"/>
        <v>0.97877636129133316</v>
      </c>
      <c r="L1000" s="2">
        <f t="shared" si="47"/>
        <v>0.48085535182494893</v>
      </c>
    </row>
    <row r="1001" spans="1:12" x14ac:dyDescent="0.3">
      <c r="A1001" s="1">
        <v>45504</v>
      </c>
      <c r="B1001" t="s">
        <v>9</v>
      </c>
      <c r="C1001" t="s">
        <v>10</v>
      </c>
      <c r="D1001" t="s">
        <v>11</v>
      </c>
      <c r="E1001">
        <v>405412</v>
      </c>
      <c r="F1001">
        <v>240063</v>
      </c>
      <c r="G1001">
        <v>458031</v>
      </c>
      <c r="H1001">
        <v>4.0999999999999996</v>
      </c>
      <c r="I1001">
        <v>7</v>
      </c>
      <c r="J1001">
        <f t="shared" si="45"/>
        <v>165349</v>
      </c>
      <c r="K1001" s="2">
        <f t="shared" si="46"/>
        <v>0.88511912949123528</v>
      </c>
      <c r="L1001" s="2">
        <f t="shared" si="47"/>
        <v>0.40785423223782225</v>
      </c>
    </row>
    <row r="1002" spans="1:12" x14ac:dyDescent="0.3">
      <c r="A1002" s="1">
        <v>45932</v>
      </c>
      <c r="B1002" t="s">
        <v>15</v>
      </c>
      <c r="C1002" t="s">
        <v>16</v>
      </c>
      <c r="D1002" t="s">
        <v>14</v>
      </c>
      <c r="E1002">
        <v>22055</v>
      </c>
      <c r="F1002">
        <v>13133</v>
      </c>
      <c r="G1002">
        <v>24242</v>
      </c>
      <c r="H1002">
        <v>4.4000000000000004</v>
      </c>
      <c r="I1002">
        <v>4</v>
      </c>
      <c r="J1002">
        <f t="shared" si="45"/>
        <v>8922</v>
      </c>
      <c r="K1002" s="2">
        <f t="shared" si="46"/>
        <v>0.90978467123174656</v>
      </c>
      <c r="L1002" s="2">
        <f t="shared" si="47"/>
        <v>0.40453411924733623</v>
      </c>
    </row>
    <row r="1003" spans="1:12" x14ac:dyDescent="0.3">
      <c r="A1003" s="1">
        <v>45499</v>
      </c>
      <c r="B1003" t="s">
        <v>9</v>
      </c>
      <c r="C1003" t="s">
        <v>10</v>
      </c>
      <c r="D1003" t="s">
        <v>17</v>
      </c>
      <c r="E1003">
        <v>432593</v>
      </c>
      <c r="F1003">
        <v>238657</v>
      </c>
      <c r="G1003">
        <v>481358</v>
      </c>
      <c r="H1003">
        <v>4.5999999999999996</v>
      </c>
      <c r="I1003">
        <v>15</v>
      </c>
      <c r="J1003">
        <f t="shared" si="45"/>
        <v>193936</v>
      </c>
      <c r="K1003" s="2">
        <f t="shared" si="46"/>
        <v>0.89869286477008792</v>
      </c>
      <c r="L1003" s="2">
        <f t="shared" si="47"/>
        <v>0.44831053669384385</v>
      </c>
    </row>
    <row r="1004" spans="1:12" x14ac:dyDescent="0.3">
      <c r="A1004" s="1">
        <v>45454</v>
      </c>
      <c r="B1004" t="s">
        <v>12</v>
      </c>
      <c r="C1004" t="s">
        <v>10</v>
      </c>
      <c r="D1004" t="s">
        <v>14</v>
      </c>
      <c r="E1004">
        <v>146016</v>
      </c>
      <c r="F1004">
        <v>72677</v>
      </c>
      <c r="G1004">
        <v>137140</v>
      </c>
      <c r="H1004">
        <v>4.5</v>
      </c>
      <c r="I1004">
        <v>9</v>
      </c>
      <c r="J1004">
        <f t="shared" si="45"/>
        <v>73339</v>
      </c>
      <c r="K1004" s="2">
        <f t="shared" si="46"/>
        <v>1.0647221817121191</v>
      </c>
      <c r="L1004" s="2">
        <f t="shared" si="47"/>
        <v>0.50226687486302868</v>
      </c>
    </row>
    <row r="1005" spans="1:12" x14ac:dyDescent="0.3">
      <c r="A1005" s="1">
        <v>45678</v>
      </c>
      <c r="B1005" t="s">
        <v>9</v>
      </c>
      <c r="C1005" t="s">
        <v>16</v>
      </c>
      <c r="D1005" t="s">
        <v>11</v>
      </c>
      <c r="E1005">
        <v>261881</v>
      </c>
      <c r="F1005">
        <v>131312</v>
      </c>
      <c r="G1005">
        <v>244875</v>
      </c>
      <c r="H1005">
        <v>3.9</v>
      </c>
      <c r="I1005">
        <v>13</v>
      </c>
      <c r="J1005">
        <f t="shared" si="45"/>
        <v>130569</v>
      </c>
      <c r="K1005" s="2">
        <f t="shared" si="46"/>
        <v>1.0694476773864217</v>
      </c>
      <c r="L1005" s="2">
        <f t="shared" si="47"/>
        <v>0.49858141675035605</v>
      </c>
    </row>
    <row r="1006" spans="1:12" x14ac:dyDescent="0.3">
      <c r="A1006" s="1">
        <v>45717</v>
      </c>
      <c r="B1006" t="s">
        <v>9</v>
      </c>
      <c r="C1006" t="s">
        <v>16</v>
      </c>
      <c r="D1006" t="s">
        <v>11</v>
      </c>
      <c r="E1006">
        <v>456848</v>
      </c>
      <c r="F1006">
        <v>196895</v>
      </c>
      <c r="G1006">
        <v>440741</v>
      </c>
      <c r="H1006">
        <v>4</v>
      </c>
      <c r="I1006">
        <v>7</v>
      </c>
      <c r="J1006">
        <f t="shared" si="45"/>
        <v>259953</v>
      </c>
      <c r="K1006" s="2">
        <f t="shared" si="46"/>
        <v>1.0365452726204278</v>
      </c>
      <c r="L1006" s="2">
        <f t="shared" si="47"/>
        <v>0.56901420166007077</v>
      </c>
    </row>
    <row r="1007" spans="1:12" x14ac:dyDescent="0.3">
      <c r="A1007" s="1">
        <v>45667</v>
      </c>
      <c r="B1007" t="s">
        <v>12</v>
      </c>
      <c r="C1007" t="s">
        <v>18</v>
      </c>
      <c r="D1007" t="s">
        <v>11</v>
      </c>
      <c r="E1007">
        <v>152728</v>
      </c>
      <c r="F1007">
        <v>72117</v>
      </c>
      <c r="G1007">
        <v>167296</v>
      </c>
      <c r="H1007">
        <v>4.9000000000000004</v>
      </c>
      <c r="I1007">
        <v>5</v>
      </c>
      <c r="J1007">
        <f t="shared" si="45"/>
        <v>80611</v>
      </c>
      <c r="K1007" s="2">
        <f t="shared" si="46"/>
        <v>0.91292081101759759</v>
      </c>
      <c r="L1007" s="2">
        <f t="shared" si="47"/>
        <v>0.52780760567806817</v>
      </c>
    </row>
    <row r="1008" spans="1:12" x14ac:dyDescent="0.3">
      <c r="A1008" s="1">
        <v>45856</v>
      </c>
      <c r="B1008" t="s">
        <v>12</v>
      </c>
      <c r="C1008" t="s">
        <v>13</v>
      </c>
      <c r="D1008" t="s">
        <v>14</v>
      </c>
      <c r="E1008">
        <v>165075</v>
      </c>
      <c r="F1008">
        <v>90193</v>
      </c>
      <c r="G1008">
        <v>175420</v>
      </c>
      <c r="H1008">
        <v>4.7</v>
      </c>
      <c r="I1008">
        <v>8</v>
      </c>
      <c r="J1008">
        <f t="shared" si="45"/>
        <v>74882</v>
      </c>
      <c r="K1008" s="2">
        <f t="shared" si="46"/>
        <v>0.94102724888838218</v>
      </c>
      <c r="L1008" s="2">
        <f t="shared" si="47"/>
        <v>0.45362411025291532</v>
      </c>
    </row>
    <row r="1009" spans="1:12" x14ac:dyDescent="0.3">
      <c r="A1009" s="1">
        <v>45590</v>
      </c>
      <c r="B1009" t="s">
        <v>12</v>
      </c>
      <c r="C1009" t="s">
        <v>10</v>
      </c>
      <c r="D1009" t="s">
        <v>17</v>
      </c>
      <c r="E1009">
        <v>467426</v>
      </c>
      <c r="F1009">
        <v>233089</v>
      </c>
      <c r="G1009">
        <v>429667</v>
      </c>
      <c r="H1009">
        <v>3.9</v>
      </c>
      <c r="I1009">
        <v>15</v>
      </c>
      <c r="J1009">
        <f t="shared" si="45"/>
        <v>234337</v>
      </c>
      <c r="K1009" s="2">
        <f t="shared" si="46"/>
        <v>1.0878796835689033</v>
      </c>
      <c r="L1009" s="2">
        <f t="shared" si="47"/>
        <v>0.501334970669154</v>
      </c>
    </row>
    <row r="1010" spans="1:12" x14ac:dyDescent="0.3">
      <c r="A1010" s="1">
        <v>45662</v>
      </c>
      <c r="B1010" t="s">
        <v>19</v>
      </c>
      <c r="C1010" t="s">
        <v>18</v>
      </c>
      <c r="D1010" t="s">
        <v>11</v>
      </c>
      <c r="E1010">
        <v>36613</v>
      </c>
      <c r="F1010">
        <v>21874</v>
      </c>
      <c r="G1010">
        <v>37437</v>
      </c>
      <c r="H1010">
        <v>4.7</v>
      </c>
      <c r="I1010">
        <v>4</v>
      </c>
      <c r="J1010">
        <f t="shared" si="45"/>
        <v>14739</v>
      </c>
      <c r="K1010" s="2">
        <f t="shared" si="46"/>
        <v>0.97798968934476582</v>
      </c>
      <c r="L1010" s="2">
        <f t="shared" si="47"/>
        <v>0.40256193155436593</v>
      </c>
    </row>
    <row r="1011" spans="1:12" x14ac:dyDescent="0.3">
      <c r="A1011" s="1">
        <v>45619</v>
      </c>
      <c r="B1011" t="s">
        <v>19</v>
      </c>
      <c r="C1011" t="s">
        <v>10</v>
      </c>
      <c r="D1011" t="s">
        <v>14</v>
      </c>
      <c r="E1011">
        <v>431441</v>
      </c>
      <c r="F1011">
        <v>208717</v>
      </c>
      <c r="G1011">
        <v>367256</v>
      </c>
      <c r="H1011">
        <v>3.5</v>
      </c>
      <c r="I1011">
        <v>13</v>
      </c>
      <c r="J1011">
        <f t="shared" si="45"/>
        <v>222724</v>
      </c>
      <c r="K1011" s="2">
        <f t="shared" si="46"/>
        <v>1.1747690983945804</v>
      </c>
      <c r="L1011" s="2">
        <f t="shared" si="47"/>
        <v>0.51623281051175018</v>
      </c>
    </row>
    <row r="1012" spans="1:12" x14ac:dyDescent="0.3">
      <c r="A1012" s="1">
        <v>45493</v>
      </c>
      <c r="B1012" t="s">
        <v>9</v>
      </c>
      <c r="C1012" t="s">
        <v>13</v>
      </c>
      <c r="D1012" t="s">
        <v>14</v>
      </c>
      <c r="E1012">
        <v>242067</v>
      </c>
      <c r="F1012">
        <v>82512</v>
      </c>
      <c r="G1012">
        <v>206035</v>
      </c>
      <c r="H1012">
        <v>3.9</v>
      </c>
      <c r="I1012">
        <v>12</v>
      </c>
      <c r="J1012">
        <f t="shared" si="45"/>
        <v>159555</v>
      </c>
      <c r="K1012" s="2">
        <f t="shared" si="46"/>
        <v>1.1748829082437451</v>
      </c>
      <c r="L1012" s="2">
        <f t="shared" si="47"/>
        <v>0.65913569383683035</v>
      </c>
    </row>
    <row r="1013" spans="1:12" x14ac:dyDescent="0.3">
      <c r="A1013" s="1">
        <v>45997</v>
      </c>
      <c r="B1013" t="s">
        <v>9</v>
      </c>
      <c r="C1013" t="s">
        <v>10</v>
      </c>
      <c r="D1013" t="s">
        <v>17</v>
      </c>
      <c r="E1013">
        <v>446325</v>
      </c>
      <c r="F1013">
        <v>198589</v>
      </c>
      <c r="G1013">
        <v>494774</v>
      </c>
      <c r="H1013">
        <v>4.2</v>
      </c>
      <c r="I1013">
        <v>8</v>
      </c>
      <c r="J1013">
        <f t="shared" si="45"/>
        <v>247736</v>
      </c>
      <c r="K1013" s="2">
        <f t="shared" si="46"/>
        <v>0.90207852474058858</v>
      </c>
      <c r="L1013" s="2">
        <f t="shared" si="47"/>
        <v>0.55505741331989022</v>
      </c>
    </row>
    <row r="1014" spans="1:12" x14ac:dyDescent="0.3">
      <c r="A1014" s="1">
        <v>45333</v>
      </c>
      <c r="B1014" t="s">
        <v>19</v>
      </c>
      <c r="C1014" t="s">
        <v>10</v>
      </c>
      <c r="D1014" t="s">
        <v>11</v>
      </c>
      <c r="E1014">
        <v>157214</v>
      </c>
      <c r="F1014">
        <v>75719</v>
      </c>
      <c r="G1014">
        <v>147187</v>
      </c>
      <c r="H1014">
        <v>4.3</v>
      </c>
      <c r="I1014">
        <v>2</v>
      </c>
      <c r="J1014">
        <f t="shared" si="45"/>
        <v>81495</v>
      </c>
      <c r="K1014" s="2">
        <f t="shared" si="46"/>
        <v>1.0681242229272965</v>
      </c>
      <c r="L1014" s="2">
        <f t="shared" si="47"/>
        <v>0.51836986527917361</v>
      </c>
    </row>
    <row r="1015" spans="1:12" x14ac:dyDescent="0.3">
      <c r="A1015" s="1">
        <v>45844</v>
      </c>
      <c r="B1015" t="s">
        <v>12</v>
      </c>
      <c r="C1015" t="s">
        <v>18</v>
      </c>
      <c r="D1015" t="s">
        <v>11</v>
      </c>
      <c r="E1015">
        <v>14331</v>
      </c>
      <c r="F1015">
        <v>8073</v>
      </c>
      <c r="G1015">
        <v>12944</v>
      </c>
      <c r="H1015">
        <v>4.9000000000000004</v>
      </c>
      <c r="I1015">
        <v>8</v>
      </c>
      <c r="J1015">
        <f t="shared" si="45"/>
        <v>6258</v>
      </c>
      <c r="K1015" s="2">
        <f t="shared" si="46"/>
        <v>1.1071538936959209</v>
      </c>
      <c r="L1015" s="2">
        <f t="shared" si="47"/>
        <v>0.4366757379108227</v>
      </c>
    </row>
    <row r="1016" spans="1:12" x14ac:dyDescent="0.3">
      <c r="A1016" s="1">
        <v>45300</v>
      </c>
      <c r="B1016" t="s">
        <v>9</v>
      </c>
      <c r="C1016" t="s">
        <v>10</v>
      </c>
      <c r="D1016" t="s">
        <v>14</v>
      </c>
      <c r="E1016">
        <v>194544</v>
      </c>
      <c r="F1016">
        <v>82380</v>
      </c>
      <c r="G1016">
        <v>169126</v>
      </c>
      <c r="H1016">
        <v>5</v>
      </c>
      <c r="I1016">
        <v>2</v>
      </c>
      <c r="J1016">
        <f t="shared" si="45"/>
        <v>112164</v>
      </c>
      <c r="K1016" s="2">
        <f t="shared" si="46"/>
        <v>1.1502903160956919</v>
      </c>
      <c r="L1016" s="2">
        <f t="shared" si="47"/>
        <v>0.57654823587466075</v>
      </c>
    </row>
    <row r="1017" spans="1:12" x14ac:dyDescent="0.3">
      <c r="A1017" s="1">
        <v>45353</v>
      </c>
      <c r="B1017" t="s">
        <v>19</v>
      </c>
      <c r="C1017" t="s">
        <v>16</v>
      </c>
      <c r="D1017" t="s">
        <v>17</v>
      </c>
      <c r="E1017">
        <v>421811</v>
      </c>
      <c r="F1017">
        <v>178333</v>
      </c>
      <c r="G1017">
        <v>391984</v>
      </c>
      <c r="H1017">
        <v>3.9</v>
      </c>
      <c r="I1017">
        <v>3</v>
      </c>
      <c r="J1017">
        <f t="shared" si="45"/>
        <v>243478</v>
      </c>
      <c r="K1017" s="2">
        <f t="shared" si="46"/>
        <v>1.0760923915261846</v>
      </c>
      <c r="L1017" s="2">
        <f t="shared" si="47"/>
        <v>0.57722060354044824</v>
      </c>
    </row>
    <row r="1018" spans="1:12" x14ac:dyDescent="0.3">
      <c r="A1018" s="1">
        <v>45888</v>
      </c>
      <c r="B1018" t="s">
        <v>9</v>
      </c>
      <c r="C1018" t="s">
        <v>13</v>
      </c>
      <c r="D1018" t="s">
        <v>17</v>
      </c>
      <c r="E1018">
        <v>267231</v>
      </c>
      <c r="F1018">
        <v>114636</v>
      </c>
      <c r="G1018">
        <v>291825</v>
      </c>
      <c r="H1018">
        <v>3.7</v>
      </c>
      <c r="I1018">
        <v>5</v>
      </c>
      <c r="J1018">
        <f t="shared" si="45"/>
        <v>152595</v>
      </c>
      <c r="K1018" s="2">
        <f t="shared" si="46"/>
        <v>0.91572346440503727</v>
      </c>
      <c r="L1018" s="2">
        <f t="shared" si="47"/>
        <v>0.5710228229509301</v>
      </c>
    </row>
    <row r="1019" spans="1:12" x14ac:dyDescent="0.3">
      <c r="A1019" s="1">
        <v>45392</v>
      </c>
      <c r="B1019" t="s">
        <v>19</v>
      </c>
      <c r="C1019" t="s">
        <v>18</v>
      </c>
      <c r="D1019" t="s">
        <v>17</v>
      </c>
      <c r="E1019">
        <v>48409</v>
      </c>
      <c r="F1019">
        <v>27908</v>
      </c>
      <c r="G1019">
        <v>47336</v>
      </c>
      <c r="H1019">
        <v>4.3</v>
      </c>
      <c r="I1019">
        <v>9</v>
      </c>
      <c r="J1019">
        <f t="shared" si="45"/>
        <v>20501</v>
      </c>
      <c r="K1019" s="2">
        <f t="shared" si="46"/>
        <v>1.0226677370288997</v>
      </c>
      <c r="L1019" s="2">
        <f t="shared" si="47"/>
        <v>0.42349563097771076</v>
      </c>
    </row>
    <row r="1020" spans="1:12" x14ac:dyDescent="0.3">
      <c r="A1020" s="1">
        <v>45479</v>
      </c>
      <c r="B1020" t="s">
        <v>19</v>
      </c>
      <c r="C1020" t="s">
        <v>13</v>
      </c>
      <c r="D1020" t="s">
        <v>17</v>
      </c>
      <c r="E1020">
        <v>91238</v>
      </c>
      <c r="F1020">
        <v>30440</v>
      </c>
      <c r="G1020">
        <v>101143</v>
      </c>
      <c r="H1020">
        <v>4.3</v>
      </c>
      <c r="I1020">
        <v>8</v>
      </c>
      <c r="J1020">
        <f t="shared" si="45"/>
        <v>60798</v>
      </c>
      <c r="K1020" s="2">
        <f t="shared" si="46"/>
        <v>0.90206934735967892</v>
      </c>
      <c r="L1020" s="2">
        <f t="shared" si="47"/>
        <v>0.66636708389048427</v>
      </c>
    </row>
    <row r="1021" spans="1:12" x14ac:dyDescent="0.3">
      <c r="A1021" s="1">
        <v>45608</v>
      </c>
      <c r="B1021" t="s">
        <v>15</v>
      </c>
      <c r="C1021" t="s">
        <v>16</v>
      </c>
      <c r="D1021" t="s">
        <v>14</v>
      </c>
      <c r="E1021">
        <v>464988</v>
      </c>
      <c r="F1021">
        <v>256702</v>
      </c>
      <c r="G1021">
        <v>430764</v>
      </c>
      <c r="H1021">
        <v>5</v>
      </c>
      <c r="I1021">
        <v>15</v>
      </c>
      <c r="J1021">
        <f t="shared" si="45"/>
        <v>208286</v>
      </c>
      <c r="K1021" s="2">
        <f t="shared" si="46"/>
        <v>1.0794495361729393</v>
      </c>
      <c r="L1021" s="2">
        <f t="shared" si="47"/>
        <v>0.44793844142214423</v>
      </c>
    </row>
    <row r="1022" spans="1:12" x14ac:dyDescent="0.3">
      <c r="A1022" s="1">
        <v>45912</v>
      </c>
      <c r="B1022" t="s">
        <v>12</v>
      </c>
      <c r="C1022" t="s">
        <v>10</v>
      </c>
      <c r="D1022" t="s">
        <v>14</v>
      </c>
      <c r="E1022">
        <v>235121</v>
      </c>
      <c r="F1022">
        <v>105818</v>
      </c>
      <c r="G1022">
        <v>244140</v>
      </c>
      <c r="H1022">
        <v>4</v>
      </c>
      <c r="I1022">
        <v>12</v>
      </c>
      <c r="J1022">
        <f t="shared" si="45"/>
        <v>129303</v>
      </c>
      <c r="K1022" s="2">
        <f t="shared" si="46"/>
        <v>0.96305808142868843</v>
      </c>
      <c r="L1022" s="2">
        <f t="shared" si="47"/>
        <v>0.5499423700988002</v>
      </c>
    </row>
    <row r="1023" spans="1:12" x14ac:dyDescent="0.3">
      <c r="A1023" s="1">
        <v>45608</v>
      </c>
      <c r="B1023" t="s">
        <v>12</v>
      </c>
      <c r="C1023" t="s">
        <v>13</v>
      </c>
      <c r="D1023" t="s">
        <v>11</v>
      </c>
      <c r="E1023">
        <v>486752</v>
      </c>
      <c r="F1023">
        <v>165800</v>
      </c>
      <c r="G1023">
        <v>534103</v>
      </c>
      <c r="H1023">
        <v>4.3</v>
      </c>
      <c r="I1023">
        <v>14</v>
      </c>
      <c r="J1023">
        <f t="shared" si="45"/>
        <v>320952</v>
      </c>
      <c r="K1023" s="2">
        <f t="shared" si="46"/>
        <v>0.91134481551311264</v>
      </c>
      <c r="L1023" s="2">
        <f t="shared" si="47"/>
        <v>0.65937479455657089</v>
      </c>
    </row>
    <row r="1024" spans="1:12" x14ac:dyDescent="0.3">
      <c r="A1024" s="1">
        <v>46000</v>
      </c>
      <c r="B1024" t="s">
        <v>15</v>
      </c>
      <c r="C1024" t="s">
        <v>16</v>
      </c>
      <c r="D1024" t="s">
        <v>11</v>
      </c>
      <c r="E1024">
        <v>33984</v>
      </c>
      <c r="F1024">
        <v>16545</v>
      </c>
      <c r="G1024">
        <v>30220</v>
      </c>
      <c r="H1024">
        <v>3.9</v>
      </c>
      <c r="I1024">
        <v>15</v>
      </c>
      <c r="J1024">
        <f t="shared" si="45"/>
        <v>17439</v>
      </c>
      <c r="K1024" s="2">
        <f t="shared" si="46"/>
        <v>1.1245532759761747</v>
      </c>
      <c r="L1024" s="2">
        <f t="shared" si="47"/>
        <v>0.51315324858757061</v>
      </c>
    </row>
    <row r="1025" spans="1:12" x14ac:dyDescent="0.3">
      <c r="A1025" s="1">
        <v>45345</v>
      </c>
      <c r="B1025" t="s">
        <v>15</v>
      </c>
      <c r="C1025" t="s">
        <v>10</v>
      </c>
      <c r="D1025" t="s">
        <v>11</v>
      </c>
      <c r="E1025">
        <v>303128</v>
      </c>
      <c r="F1025">
        <v>141228</v>
      </c>
      <c r="G1025">
        <v>346345</v>
      </c>
      <c r="H1025">
        <v>4.9000000000000004</v>
      </c>
      <c r="I1025">
        <v>11</v>
      </c>
      <c r="J1025">
        <f t="shared" si="45"/>
        <v>161900</v>
      </c>
      <c r="K1025" s="2">
        <f t="shared" si="46"/>
        <v>0.87521979529082272</v>
      </c>
      <c r="L1025" s="2">
        <f t="shared" si="47"/>
        <v>0.53409780686706609</v>
      </c>
    </row>
    <row r="1026" spans="1:12" x14ac:dyDescent="0.3">
      <c r="A1026" s="1">
        <v>45421</v>
      </c>
      <c r="B1026" t="s">
        <v>15</v>
      </c>
      <c r="C1026" t="s">
        <v>16</v>
      </c>
      <c r="D1026" t="s">
        <v>17</v>
      </c>
      <c r="E1026">
        <v>201375</v>
      </c>
      <c r="F1026">
        <v>104920</v>
      </c>
      <c r="G1026">
        <v>222697</v>
      </c>
      <c r="H1026">
        <v>4.0999999999999996</v>
      </c>
      <c r="I1026">
        <v>4</v>
      </c>
      <c r="J1026">
        <f t="shared" si="45"/>
        <v>96455</v>
      </c>
      <c r="K1026" s="2">
        <f t="shared" si="46"/>
        <v>0.9042555580003323</v>
      </c>
      <c r="L1026" s="2">
        <f t="shared" si="47"/>
        <v>0.47898199875853509</v>
      </c>
    </row>
    <row r="1027" spans="1:12" x14ac:dyDescent="0.3">
      <c r="A1027" s="1">
        <v>45811</v>
      </c>
      <c r="B1027" t="s">
        <v>15</v>
      </c>
      <c r="C1027" t="s">
        <v>16</v>
      </c>
      <c r="D1027" t="s">
        <v>14</v>
      </c>
      <c r="E1027">
        <v>160641</v>
      </c>
      <c r="F1027">
        <v>68154</v>
      </c>
      <c r="G1027">
        <v>144226</v>
      </c>
      <c r="H1027">
        <v>5</v>
      </c>
      <c r="I1027">
        <v>5</v>
      </c>
      <c r="J1027">
        <f t="shared" ref="J1027:J1090" si="48">E1027-F1027</f>
        <v>92487</v>
      </c>
      <c r="K1027" s="2">
        <f t="shared" ref="K1027:K1090" si="49">E1027/G1027</f>
        <v>1.1138144301304898</v>
      </c>
      <c r="L1027" s="2">
        <f t="shared" ref="L1027:L1090" si="50">J1027/E1027</f>
        <v>0.5757372028311577</v>
      </c>
    </row>
    <row r="1028" spans="1:12" x14ac:dyDescent="0.3">
      <c r="A1028" s="1">
        <v>45469</v>
      </c>
      <c r="B1028" t="s">
        <v>15</v>
      </c>
      <c r="C1028" t="s">
        <v>16</v>
      </c>
      <c r="D1028" t="s">
        <v>17</v>
      </c>
      <c r="E1028">
        <v>216749</v>
      </c>
      <c r="F1028">
        <v>76461</v>
      </c>
      <c r="G1028">
        <v>204385</v>
      </c>
      <c r="H1028">
        <v>4.3</v>
      </c>
      <c r="I1028">
        <v>2</v>
      </c>
      <c r="J1028">
        <f t="shared" si="48"/>
        <v>140288</v>
      </c>
      <c r="K1028" s="2">
        <f t="shared" si="49"/>
        <v>1.0604936761504025</v>
      </c>
      <c r="L1028" s="2">
        <f t="shared" si="50"/>
        <v>0.64723712681488732</v>
      </c>
    </row>
    <row r="1029" spans="1:12" x14ac:dyDescent="0.3">
      <c r="A1029" s="1">
        <v>45617</v>
      </c>
      <c r="B1029" t="s">
        <v>15</v>
      </c>
      <c r="C1029" t="s">
        <v>13</v>
      </c>
      <c r="D1029" t="s">
        <v>17</v>
      </c>
      <c r="E1029">
        <v>155006</v>
      </c>
      <c r="F1029">
        <v>60925</v>
      </c>
      <c r="G1029">
        <v>159769</v>
      </c>
      <c r="H1029">
        <v>3.7</v>
      </c>
      <c r="I1029">
        <v>0</v>
      </c>
      <c r="J1029">
        <f t="shared" si="48"/>
        <v>94081</v>
      </c>
      <c r="K1029" s="2">
        <f t="shared" si="49"/>
        <v>0.97018820922707161</v>
      </c>
      <c r="L1029" s="2">
        <f t="shared" si="50"/>
        <v>0.60695069868263163</v>
      </c>
    </row>
    <row r="1030" spans="1:12" x14ac:dyDescent="0.3">
      <c r="A1030" s="1">
        <v>45768</v>
      </c>
      <c r="B1030" t="s">
        <v>12</v>
      </c>
      <c r="C1030" t="s">
        <v>13</v>
      </c>
      <c r="D1030" t="s">
        <v>17</v>
      </c>
      <c r="E1030">
        <v>50088</v>
      </c>
      <c r="F1030">
        <v>21300</v>
      </c>
      <c r="G1030">
        <v>48138</v>
      </c>
      <c r="H1030">
        <v>3.8</v>
      </c>
      <c r="I1030">
        <v>7</v>
      </c>
      <c r="J1030">
        <f t="shared" si="48"/>
        <v>28788</v>
      </c>
      <c r="K1030" s="2">
        <f t="shared" si="49"/>
        <v>1.040508537953384</v>
      </c>
      <c r="L1030" s="2">
        <f t="shared" si="50"/>
        <v>0.57474844274077619</v>
      </c>
    </row>
    <row r="1031" spans="1:12" x14ac:dyDescent="0.3">
      <c r="A1031" s="1">
        <v>45636</v>
      </c>
      <c r="B1031" t="s">
        <v>12</v>
      </c>
      <c r="C1031" t="s">
        <v>18</v>
      </c>
      <c r="D1031" t="s">
        <v>17</v>
      </c>
      <c r="E1031">
        <v>198058</v>
      </c>
      <c r="F1031">
        <v>110082</v>
      </c>
      <c r="G1031">
        <v>210840</v>
      </c>
      <c r="H1031">
        <v>4</v>
      </c>
      <c r="I1031">
        <v>8</v>
      </c>
      <c r="J1031">
        <f t="shared" si="48"/>
        <v>87976</v>
      </c>
      <c r="K1031" s="2">
        <f t="shared" si="49"/>
        <v>0.93937583001328018</v>
      </c>
      <c r="L1031" s="2">
        <f t="shared" si="50"/>
        <v>0.44419311514808796</v>
      </c>
    </row>
    <row r="1032" spans="1:12" x14ac:dyDescent="0.3">
      <c r="A1032" s="1">
        <v>45997</v>
      </c>
      <c r="B1032" t="s">
        <v>9</v>
      </c>
      <c r="C1032" t="s">
        <v>10</v>
      </c>
      <c r="D1032" t="s">
        <v>14</v>
      </c>
      <c r="E1032">
        <v>119407</v>
      </c>
      <c r="F1032">
        <v>70584</v>
      </c>
      <c r="G1032">
        <v>123705</v>
      </c>
      <c r="H1032">
        <v>4</v>
      </c>
      <c r="I1032">
        <v>8</v>
      </c>
      <c r="J1032">
        <f t="shared" si="48"/>
        <v>48823</v>
      </c>
      <c r="K1032" s="2">
        <f t="shared" si="49"/>
        <v>0.96525605270603454</v>
      </c>
      <c r="L1032" s="2">
        <f t="shared" si="50"/>
        <v>0.40887887644777943</v>
      </c>
    </row>
    <row r="1033" spans="1:12" x14ac:dyDescent="0.3">
      <c r="A1033" s="1">
        <v>45747</v>
      </c>
      <c r="B1033" t="s">
        <v>12</v>
      </c>
      <c r="C1033" t="s">
        <v>10</v>
      </c>
      <c r="D1033" t="s">
        <v>17</v>
      </c>
      <c r="E1033">
        <v>416757</v>
      </c>
      <c r="F1033">
        <v>201839</v>
      </c>
      <c r="G1033">
        <v>442284</v>
      </c>
      <c r="H1033">
        <v>3.5</v>
      </c>
      <c r="I1033">
        <v>15</v>
      </c>
      <c r="J1033">
        <f t="shared" si="48"/>
        <v>214918</v>
      </c>
      <c r="K1033" s="2">
        <f t="shared" si="49"/>
        <v>0.94228369102205822</v>
      </c>
      <c r="L1033" s="2">
        <f t="shared" si="50"/>
        <v>0.51569139810489084</v>
      </c>
    </row>
    <row r="1034" spans="1:12" x14ac:dyDescent="0.3">
      <c r="A1034" s="1">
        <v>45996</v>
      </c>
      <c r="B1034" t="s">
        <v>19</v>
      </c>
      <c r="C1034" t="s">
        <v>16</v>
      </c>
      <c r="D1034" t="s">
        <v>11</v>
      </c>
      <c r="E1034">
        <v>92029</v>
      </c>
      <c r="F1034">
        <v>31995</v>
      </c>
      <c r="G1034">
        <v>78359</v>
      </c>
      <c r="H1034">
        <v>4.9000000000000004</v>
      </c>
      <c r="I1034">
        <v>2</v>
      </c>
      <c r="J1034">
        <f t="shared" si="48"/>
        <v>60034</v>
      </c>
      <c r="K1034" s="2">
        <f t="shared" si="49"/>
        <v>1.1744534769458519</v>
      </c>
      <c r="L1034" s="2">
        <f t="shared" si="50"/>
        <v>0.65233785002553546</v>
      </c>
    </row>
    <row r="1035" spans="1:12" x14ac:dyDescent="0.3">
      <c r="A1035" s="1">
        <v>45687</v>
      </c>
      <c r="B1035" t="s">
        <v>19</v>
      </c>
      <c r="C1035" t="s">
        <v>10</v>
      </c>
      <c r="D1035" t="s">
        <v>11</v>
      </c>
      <c r="E1035">
        <v>428241</v>
      </c>
      <c r="F1035">
        <v>206337</v>
      </c>
      <c r="G1035">
        <v>479727</v>
      </c>
      <c r="H1035">
        <v>4.9000000000000004</v>
      </c>
      <c r="I1035">
        <v>10</v>
      </c>
      <c r="J1035">
        <f t="shared" si="48"/>
        <v>221904</v>
      </c>
      <c r="K1035" s="2">
        <f t="shared" si="49"/>
        <v>0.89267645973647514</v>
      </c>
      <c r="L1035" s="2">
        <f t="shared" si="50"/>
        <v>0.51817551332077028</v>
      </c>
    </row>
    <row r="1036" spans="1:12" x14ac:dyDescent="0.3">
      <c r="A1036" s="1">
        <v>45530</v>
      </c>
      <c r="B1036" t="s">
        <v>15</v>
      </c>
      <c r="C1036" t="s">
        <v>16</v>
      </c>
      <c r="D1036" t="s">
        <v>14</v>
      </c>
      <c r="E1036">
        <v>283438</v>
      </c>
      <c r="F1036">
        <v>107008</v>
      </c>
      <c r="G1036">
        <v>285937</v>
      </c>
      <c r="H1036">
        <v>4.2</v>
      </c>
      <c r="I1036">
        <v>9</v>
      </c>
      <c r="J1036">
        <f t="shared" si="48"/>
        <v>176430</v>
      </c>
      <c r="K1036" s="2">
        <f t="shared" si="49"/>
        <v>0.99126031258633895</v>
      </c>
      <c r="L1036" s="2">
        <f t="shared" si="50"/>
        <v>0.62246417205879245</v>
      </c>
    </row>
    <row r="1037" spans="1:12" x14ac:dyDescent="0.3">
      <c r="A1037" s="1">
        <v>45544</v>
      </c>
      <c r="B1037" t="s">
        <v>12</v>
      </c>
      <c r="C1037" t="s">
        <v>13</v>
      </c>
      <c r="D1037" t="s">
        <v>11</v>
      </c>
      <c r="E1037">
        <v>141074</v>
      </c>
      <c r="F1037">
        <v>52820</v>
      </c>
      <c r="G1037">
        <v>134990</v>
      </c>
      <c r="H1037">
        <v>3.9</v>
      </c>
      <c r="I1037">
        <v>2</v>
      </c>
      <c r="J1037">
        <f t="shared" si="48"/>
        <v>88254</v>
      </c>
      <c r="K1037" s="2">
        <f t="shared" si="49"/>
        <v>1.0450700051855693</v>
      </c>
      <c r="L1037" s="2">
        <f t="shared" si="50"/>
        <v>0.62558657158654318</v>
      </c>
    </row>
    <row r="1038" spans="1:12" x14ac:dyDescent="0.3">
      <c r="A1038" s="1">
        <v>45945</v>
      </c>
      <c r="B1038" t="s">
        <v>12</v>
      </c>
      <c r="C1038" t="s">
        <v>10</v>
      </c>
      <c r="D1038" t="s">
        <v>17</v>
      </c>
      <c r="E1038">
        <v>77421</v>
      </c>
      <c r="F1038">
        <v>45453</v>
      </c>
      <c r="G1038">
        <v>67160</v>
      </c>
      <c r="H1038">
        <v>4.9000000000000004</v>
      </c>
      <c r="I1038">
        <v>4</v>
      </c>
      <c r="J1038">
        <f t="shared" si="48"/>
        <v>31968</v>
      </c>
      <c r="K1038" s="2">
        <f t="shared" si="49"/>
        <v>1.1527843954734962</v>
      </c>
      <c r="L1038" s="2">
        <f t="shared" si="50"/>
        <v>0.41291122563645521</v>
      </c>
    </row>
    <row r="1039" spans="1:12" x14ac:dyDescent="0.3">
      <c r="A1039" s="1">
        <v>45344</v>
      </c>
      <c r="B1039" t="s">
        <v>12</v>
      </c>
      <c r="C1039" t="s">
        <v>16</v>
      </c>
      <c r="D1039" t="s">
        <v>11</v>
      </c>
      <c r="E1039">
        <v>248515</v>
      </c>
      <c r="F1039">
        <v>102463</v>
      </c>
      <c r="G1039">
        <v>250841</v>
      </c>
      <c r="H1039">
        <v>3.6</v>
      </c>
      <c r="I1039">
        <v>7</v>
      </c>
      <c r="J1039">
        <f t="shared" si="48"/>
        <v>146052</v>
      </c>
      <c r="K1039" s="2">
        <f t="shared" si="49"/>
        <v>0.99072719372032481</v>
      </c>
      <c r="L1039" s="2">
        <f t="shared" si="50"/>
        <v>0.58769893165402487</v>
      </c>
    </row>
    <row r="1040" spans="1:12" x14ac:dyDescent="0.3">
      <c r="A1040" s="1">
        <v>45385</v>
      </c>
      <c r="B1040" t="s">
        <v>9</v>
      </c>
      <c r="C1040" t="s">
        <v>13</v>
      </c>
      <c r="D1040" t="s">
        <v>11</v>
      </c>
      <c r="E1040">
        <v>315364</v>
      </c>
      <c r="F1040">
        <v>137572</v>
      </c>
      <c r="G1040">
        <v>326296</v>
      </c>
      <c r="H1040">
        <v>3.6</v>
      </c>
      <c r="I1040">
        <v>3</v>
      </c>
      <c r="J1040">
        <f t="shared" si="48"/>
        <v>177792</v>
      </c>
      <c r="K1040" s="2">
        <f t="shared" si="49"/>
        <v>0.96649667786304461</v>
      </c>
      <c r="L1040" s="2">
        <f t="shared" si="50"/>
        <v>0.56376758285663553</v>
      </c>
    </row>
    <row r="1041" spans="1:12" x14ac:dyDescent="0.3">
      <c r="A1041" s="1">
        <v>45364</v>
      </c>
      <c r="B1041" t="s">
        <v>9</v>
      </c>
      <c r="C1041" t="s">
        <v>13</v>
      </c>
      <c r="D1041" t="s">
        <v>14</v>
      </c>
      <c r="E1041">
        <v>321372</v>
      </c>
      <c r="F1041">
        <v>140940</v>
      </c>
      <c r="G1041">
        <v>304072</v>
      </c>
      <c r="H1041">
        <v>3.6</v>
      </c>
      <c r="I1041">
        <v>15</v>
      </c>
      <c r="J1041">
        <f t="shared" si="48"/>
        <v>180432</v>
      </c>
      <c r="K1041" s="2">
        <f t="shared" si="49"/>
        <v>1.0568944197426926</v>
      </c>
      <c r="L1041" s="2">
        <f t="shared" si="50"/>
        <v>0.56144281393525264</v>
      </c>
    </row>
    <row r="1042" spans="1:12" x14ac:dyDescent="0.3">
      <c r="A1042" s="1">
        <v>45767</v>
      </c>
      <c r="B1042" t="s">
        <v>15</v>
      </c>
      <c r="C1042" t="s">
        <v>18</v>
      </c>
      <c r="D1042" t="s">
        <v>11</v>
      </c>
      <c r="E1042">
        <v>66176</v>
      </c>
      <c r="F1042">
        <v>29593</v>
      </c>
      <c r="G1042">
        <v>63847</v>
      </c>
      <c r="H1042">
        <v>4.5999999999999996</v>
      </c>
      <c r="I1042">
        <v>9</v>
      </c>
      <c r="J1042">
        <f t="shared" si="48"/>
        <v>36583</v>
      </c>
      <c r="K1042" s="2">
        <f t="shared" si="49"/>
        <v>1.036477829811894</v>
      </c>
      <c r="L1042" s="2">
        <f t="shared" si="50"/>
        <v>0.55281370889748549</v>
      </c>
    </row>
    <row r="1043" spans="1:12" x14ac:dyDescent="0.3">
      <c r="A1043" s="1">
        <v>46008</v>
      </c>
      <c r="B1043" t="s">
        <v>15</v>
      </c>
      <c r="C1043" t="s">
        <v>10</v>
      </c>
      <c r="D1043" t="s">
        <v>14</v>
      </c>
      <c r="E1043">
        <v>454537</v>
      </c>
      <c r="F1043">
        <v>265578</v>
      </c>
      <c r="G1043">
        <v>425951</v>
      </c>
      <c r="H1043">
        <v>4.8</v>
      </c>
      <c r="I1043">
        <v>3</v>
      </c>
      <c r="J1043">
        <f t="shared" si="48"/>
        <v>188959</v>
      </c>
      <c r="K1043" s="2">
        <f t="shared" si="49"/>
        <v>1.0671110057260107</v>
      </c>
      <c r="L1043" s="2">
        <f t="shared" si="50"/>
        <v>0.41571753234610165</v>
      </c>
    </row>
    <row r="1044" spans="1:12" x14ac:dyDescent="0.3">
      <c r="A1044" s="1">
        <v>45737</v>
      </c>
      <c r="B1044" t="s">
        <v>19</v>
      </c>
      <c r="C1044" t="s">
        <v>16</v>
      </c>
      <c r="D1044" t="s">
        <v>11</v>
      </c>
      <c r="E1044">
        <v>439358</v>
      </c>
      <c r="F1044">
        <v>172592</v>
      </c>
      <c r="G1044">
        <v>405476</v>
      </c>
      <c r="H1044">
        <v>4.9000000000000004</v>
      </c>
      <c r="I1044">
        <v>15</v>
      </c>
      <c r="J1044">
        <f t="shared" si="48"/>
        <v>266766</v>
      </c>
      <c r="K1044" s="2">
        <f t="shared" si="49"/>
        <v>1.0835610492359598</v>
      </c>
      <c r="L1044" s="2">
        <f t="shared" si="50"/>
        <v>0.60717228319502548</v>
      </c>
    </row>
    <row r="1045" spans="1:12" x14ac:dyDescent="0.3">
      <c r="A1045" s="1">
        <v>45294</v>
      </c>
      <c r="B1045" t="s">
        <v>19</v>
      </c>
      <c r="C1045" t="s">
        <v>13</v>
      </c>
      <c r="D1045" t="s">
        <v>17</v>
      </c>
      <c r="E1045">
        <v>312138</v>
      </c>
      <c r="F1045">
        <v>162360</v>
      </c>
      <c r="G1045">
        <v>300442</v>
      </c>
      <c r="H1045">
        <v>4.3</v>
      </c>
      <c r="I1045">
        <v>4</v>
      </c>
      <c r="J1045">
        <f t="shared" si="48"/>
        <v>149778</v>
      </c>
      <c r="K1045" s="2">
        <f t="shared" si="49"/>
        <v>1.0389293108153987</v>
      </c>
      <c r="L1045" s="2">
        <f t="shared" si="50"/>
        <v>0.47984545297272363</v>
      </c>
    </row>
    <row r="1046" spans="1:12" x14ac:dyDescent="0.3">
      <c r="A1046" s="1">
        <v>45537</v>
      </c>
      <c r="B1046" t="s">
        <v>19</v>
      </c>
      <c r="C1046" t="s">
        <v>16</v>
      </c>
      <c r="D1046" t="s">
        <v>11</v>
      </c>
      <c r="E1046">
        <v>414811</v>
      </c>
      <c r="F1046">
        <v>152152</v>
      </c>
      <c r="G1046">
        <v>405083</v>
      </c>
      <c r="H1046">
        <v>4.5</v>
      </c>
      <c r="I1046">
        <v>14</v>
      </c>
      <c r="J1046">
        <f t="shared" si="48"/>
        <v>262659</v>
      </c>
      <c r="K1046" s="2">
        <f t="shared" si="49"/>
        <v>1.0240148315283535</v>
      </c>
      <c r="L1046" s="2">
        <f t="shared" si="50"/>
        <v>0.63320162676496039</v>
      </c>
    </row>
    <row r="1047" spans="1:12" x14ac:dyDescent="0.3">
      <c r="A1047" s="1">
        <v>45897</v>
      </c>
      <c r="B1047" t="s">
        <v>19</v>
      </c>
      <c r="C1047" t="s">
        <v>10</v>
      </c>
      <c r="D1047" t="s">
        <v>17</v>
      </c>
      <c r="E1047">
        <v>97502</v>
      </c>
      <c r="F1047">
        <v>56383</v>
      </c>
      <c r="G1047">
        <v>85088</v>
      </c>
      <c r="H1047">
        <v>4.4000000000000004</v>
      </c>
      <c r="I1047">
        <v>6</v>
      </c>
      <c r="J1047">
        <f t="shared" si="48"/>
        <v>41119</v>
      </c>
      <c r="K1047" s="2">
        <f t="shared" si="49"/>
        <v>1.1458960135389245</v>
      </c>
      <c r="L1047" s="2">
        <f t="shared" si="50"/>
        <v>0.42172468257061396</v>
      </c>
    </row>
    <row r="1048" spans="1:12" x14ac:dyDescent="0.3">
      <c r="A1048" s="1">
        <v>45540</v>
      </c>
      <c r="B1048" t="s">
        <v>15</v>
      </c>
      <c r="C1048" t="s">
        <v>13</v>
      </c>
      <c r="D1048" t="s">
        <v>11</v>
      </c>
      <c r="E1048">
        <v>491436</v>
      </c>
      <c r="F1048">
        <v>250596</v>
      </c>
      <c r="G1048">
        <v>437250</v>
      </c>
      <c r="H1048">
        <v>4.5</v>
      </c>
      <c r="I1048">
        <v>8</v>
      </c>
      <c r="J1048">
        <f t="shared" si="48"/>
        <v>240840</v>
      </c>
      <c r="K1048" s="2">
        <f t="shared" si="49"/>
        <v>1.1239245283018868</v>
      </c>
      <c r="L1048" s="2">
        <f t="shared" si="50"/>
        <v>0.49007398725368106</v>
      </c>
    </row>
    <row r="1049" spans="1:12" x14ac:dyDescent="0.3">
      <c r="A1049" s="1">
        <v>45953</v>
      </c>
      <c r="B1049" t="s">
        <v>9</v>
      </c>
      <c r="C1049" t="s">
        <v>10</v>
      </c>
      <c r="D1049" t="s">
        <v>14</v>
      </c>
      <c r="E1049">
        <v>89944</v>
      </c>
      <c r="F1049">
        <v>41394</v>
      </c>
      <c r="G1049">
        <v>100127</v>
      </c>
      <c r="H1049">
        <v>3.6</v>
      </c>
      <c r="I1049">
        <v>1</v>
      </c>
      <c r="J1049">
        <f t="shared" si="48"/>
        <v>48550</v>
      </c>
      <c r="K1049" s="2">
        <f t="shared" si="49"/>
        <v>0.89829916006671529</v>
      </c>
      <c r="L1049" s="2">
        <f t="shared" si="50"/>
        <v>0.53978030774704255</v>
      </c>
    </row>
    <row r="1050" spans="1:12" x14ac:dyDescent="0.3">
      <c r="A1050" s="1">
        <v>45811</v>
      </c>
      <c r="B1050" t="s">
        <v>9</v>
      </c>
      <c r="C1050" t="s">
        <v>16</v>
      </c>
      <c r="D1050" t="s">
        <v>14</v>
      </c>
      <c r="E1050">
        <v>24963</v>
      </c>
      <c r="F1050">
        <v>13774</v>
      </c>
      <c r="G1050">
        <v>23015</v>
      </c>
      <c r="H1050">
        <v>3.6</v>
      </c>
      <c r="I1050">
        <v>12</v>
      </c>
      <c r="J1050">
        <f t="shared" si="48"/>
        <v>11189</v>
      </c>
      <c r="K1050" s="2">
        <f t="shared" si="49"/>
        <v>1.0846404518792092</v>
      </c>
      <c r="L1050" s="2">
        <f t="shared" si="50"/>
        <v>0.44822337058847095</v>
      </c>
    </row>
    <row r="1051" spans="1:12" x14ac:dyDescent="0.3">
      <c r="A1051" s="1">
        <v>45583</v>
      </c>
      <c r="B1051" t="s">
        <v>15</v>
      </c>
      <c r="C1051" t="s">
        <v>18</v>
      </c>
      <c r="D1051" t="s">
        <v>14</v>
      </c>
      <c r="E1051">
        <v>264289</v>
      </c>
      <c r="F1051">
        <v>93491</v>
      </c>
      <c r="G1051">
        <v>243384</v>
      </c>
      <c r="H1051">
        <v>4.5</v>
      </c>
      <c r="I1051">
        <v>0</v>
      </c>
      <c r="J1051">
        <f t="shared" si="48"/>
        <v>170798</v>
      </c>
      <c r="K1051" s="2">
        <f t="shared" si="49"/>
        <v>1.085893074318772</v>
      </c>
      <c r="L1051" s="2">
        <f t="shared" si="50"/>
        <v>0.64625466818520638</v>
      </c>
    </row>
    <row r="1052" spans="1:12" x14ac:dyDescent="0.3">
      <c r="A1052" s="1">
        <v>45916</v>
      </c>
      <c r="B1052" t="s">
        <v>19</v>
      </c>
      <c r="C1052" t="s">
        <v>18</v>
      </c>
      <c r="D1052" t="s">
        <v>11</v>
      </c>
      <c r="E1052">
        <v>253768</v>
      </c>
      <c r="F1052">
        <v>127126</v>
      </c>
      <c r="G1052">
        <v>256322</v>
      </c>
      <c r="H1052">
        <v>3.5</v>
      </c>
      <c r="I1052">
        <v>7</v>
      </c>
      <c r="J1052">
        <f t="shared" si="48"/>
        <v>126642</v>
      </c>
      <c r="K1052" s="2">
        <f t="shared" si="49"/>
        <v>0.9900359703810051</v>
      </c>
      <c r="L1052" s="2">
        <f t="shared" si="50"/>
        <v>0.49904637306516186</v>
      </c>
    </row>
    <row r="1053" spans="1:12" x14ac:dyDescent="0.3">
      <c r="A1053" s="1">
        <v>45367</v>
      </c>
      <c r="B1053" t="s">
        <v>15</v>
      </c>
      <c r="C1053" t="s">
        <v>13</v>
      </c>
      <c r="D1053" t="s">
        <v>14</v>
      </c>
      <c r="E1053">
        <v>79672</v>
      </c>
      <c r="F1053">
        <v>31013</v>
      </c>
      <c r="G1053">
        <v>68224</v>
      </c>
      <c r="H1053">
        <v>3.6</v>
      </c>
      <c r="I1053">
        <v>1</v>
      </c>
      <c r="J1053">
        <f t="shared" si="48"/>
        <v>48659</v>
      </c>
      <c r="K1053" s="2">
        <f t="shared" si="49"/>
        <v>1.1678001876172608</v>
      </c>
      <c r="L1053" s="2">
        <f t="shared" si="50"/>
        <v>0.61074154031529271</v>
      </c>
    </row>
    <row r="1054" spans="1:12" x14ac:dyDescent="0.3">
      <c r="A1054" s="1">
        <v>45304</v>
      </c>
      <c r="B1054" t="s">
        <v>9</v>
      </c>
      <c r="C1054" t="s">
        <v>18</v>
      </c>
      <c r="D1054" t="s">
        <v>11</v>
      </c>
      <c r="E1054">
        <v>83535</v>
      </c>
      <c r="F1054">
        <v>44904</v>
      </c>
      <c r="G1054">
        <v>89549</v>
      </c>
      <c r="H1054">
        <v>4</v>
      </c>
      <c r="I1054">
        <v>3</v>
      </c>
      <c r="J1054">
        <f t="shared" si="48"/>
        <v>38631</v>
      </c>
      <c r="K1054" s="2">
        <f t="shared" si="49"/>
        <v>0.93284123775809891</v>
      </c>
      <c r="L1054" s="2">
        <f t="shared" si="50"/>
        <v>0.46245286406895314</v>
      </c>
    </row>
    <row r="1055" spans="1:12" x14ac:dyDescent="0.3">
      <c r="A1055" s="1">
        <v>45342</v>
      </c>
      <c r="B1055" t="s">
        <v>19</v>
      </c>
      <c r="C1055" t="s">
        <v>10</v>
      </c>
      <c r="D1055" t="s">
        <v>11</v>
      </c>
      <c r="E1055">
        <v>248188</v>
      </c>
      <c r="F1055">
        <v>152878</v>
      </c>
      <c r="G1055">
        <v>284248</v>
      </c>
      <c r="H1055">
        <v>4.0999999999999996</v>
      </c>
      <c r="I1055">
        <v>14</v>
      </c>
      <c r="J1055">
        <f t="shared" si="48"/>
        <v>95310</v>
      </c>
      <c r="K1055" s="2">
        <f t="shared" si="49"/>
        <v>0.87313894908671297</v>
      </c>
      <c r="L1055" s="2">
        <f t="shared" si="50"/>
        <v>0.38402340161490484</v>
      </c>
    </row>
    <row r="1056" spans="1:12" x14ac:dyDescent="0.3">
      <c r="A1056" s="1">
        <v>45711</v>
      </c>
      <c r="B1056" t="s">
        <v>12</v>
      </c>
      <c r="C1056" t="s">
        <v>13</v>
      </c>
      <c r="D1056" t="s">
        <v>14</v>
      </c>
      <c r="E1056">
        <v>476441</v>
      </c>
      <c r="F1056">
        <v>204996</v>
      </c>
      <c r="G1056">
        <v>488842</v>
      </c>
      <c r="H1056">
        <v>4.2</v>
      </c>
      <c r="I1056">
        <v>3</v>
      </c>
      <c r="J1056">
        <f t="shared" si="48"/>
        <v>271445</v>
      </c>
      <c r="K1056" s="2">
        <f t="shared" si="49"/>
        <v>0.97463188514898469</v>
      </c>
      <c r="L1056" s="2">
        <f t="shared" si="50"/>
        <v>0.56973476254142696</v>
      </c>
    </row>
    <row r="1057" spans="1:12" x14ac:dyDescent="0.3">
      <c r="A1057" s="1">
        <v>45943</v>
      </c>
      <c r="B1057" t="s">
        <v>15</v>
      </c>
      <c r="C1057" t="s">
        <v>16</v>
      </c>
      <c r="D1057" t="s">
        <v>17</v>
      </c>
      <c r="E1057">
        <v>113915</v>
      </c>
      <c r="F1057">
        <v>48859</v>
      </c>
      <c r="G1057">
        <v>123619</v>
      </c>
      <c r="H1057">
        <v>4.0999999999999996</v>
      </c>
      <c r="I1057">
        <v>14</v>
      </c>
      <c r="J1057">
        <f t="shared" si="48"/>
        <v>65056</v>
      </c>
      <c r="K1057" s="2">
        <f t="shared" si="49"/>
        <v>0.92150074017748085</v>
      </c>
      <c r="L1057" s="2">
        <f t="shared" si="50"/>
        <v>0.57109248123600931</v>
      </c>
    </row>
    <row r="1058" spans="1:12" x14ac:dyDescent="0.3">
      <c r="A1058" s="1">
        <v>45611</v>
      </c>
      <c r="B1058" t="s">
        <v>19</v>
      </c>
      <c r="C1058" t="s">
        <v>16</v>
      </c>
      <c r="D1058" t="s">
        <v>17</v>
      </c>
      <c r="E1058">
        <v>142797</v>
      </c>
      <c r="F1058">
        <v>73266</v>
      </c>
      <c r="G1058">
        <v>152629</v>
      </c>
      <c r="H1058">
        <v>3.5</v>
      </c>
      <c r="I1058">
        <v>14</v>
      </c>
      <c r="J1058">
        <f t="shared" si="48"/>
        <v>69531</v>
      </c>
      <c r="K1058" s="2">
        <f t="shared" si="49"/>
        <v>0.93558235983987315</v>
      </c>
      <c r="L1058" s="2">
        <f t="shared" si="50"/>
        <v>0.48692199415954118</v>
      </c>
    </row>
    <row r="1059" spans="1:12" x14ac:dyDescent="0.3">
      <c r="A1059" s="1">
        <v>45548</v>
      </c>
      <c r="B1059" t="s">
        <v>19</v>
      </c>
      <c r="C1059" t="s">
        <v>10</v>
      </c>
      <c r="D1059" t="s">
        <v>11</v>
      </c>
      <c r="E1059">
        <v>347735</v>
      </c>
      <c r="F1059">
        <v>156419</v>
      </c>
      <c r="G1059">
        <v>392579</v>
      </c>
      <c r="H1059">
        <v>4.2</v>
      </c>
      <c r="I1059">
        <v>4</v>
      </c>
      <c r="J1059">
        <f t="shared" si="48"/>
        <v>191316</v>
      </c>
      <c r="K1059" s="2">
        <f t="shared" si="49"/>
        <v>0.88577076206317706</v>
      </c>
      <c r="L1059" s="2">
        <f t="shared" si="50"/>
        <v>0.55017757775317411</v>
      </c>
    </row>
    <row r="1060" spans="1:12" x14ac:dyDescent="0.3">
      <c r="A1060" s="1">
        <v>45921</v>
      </c>
      <c r="B1060" t="s">
        <v>15</v>
      </c>
      <c r="C1060" t="s">
        <v>16</v>
      </c>
      <c r="D1060" t="s">
        <v>14</v>
      </c>
      <c r="E1060">
        <v>208017</v>
      </c>
      <c r="F1060">
        <v>99600</v>
      </c>
      <c r="G1060">
        <v>205528</v>
      </c>
      <c r="H1060">
        <v>3.5</v>
      </c>
      <c r="I1060">
        <v>0</v>
      </c>
      <c r="J1060">
        <f t="shared" si="48"/>
        <v>108417</v>
      </c>
      <c r="K1060" s="2">
        <f t="shared" si="49"/>
        <v>1.0121102720797166</v>
      </c>
      <c r="L1060" s="2">
        <f t="shared" si="50"/>
        <v>0.52119297941995124</v>
      </c>
    </row>
    <row r="1061" spans="1:12" x14ac:dyDescent="0.3">
      <c r="A1061" s="1">
        <v>45463</v>
      </c>
      <c r="B1061" t="s">
        <v>9</v>
      </c>
      <c r="C1061" t="s">
        <v>16</v>
      </c>
      <c r="D1061" t="s">
        <v>14</v>
      </c>
      <c r="E1061">
        <v>152487</v>
      </c>
      <c r="F1061">
        <v>68270</v>
      </c>
      <c r="G1061">
        <v>131182</v>
      </c>
      <c r="H1061">
        <v>4.2</v>
      </c>
      <c r="I1061">
        <v>14</v>
      </c>
      <c r="J1061">
        <f t="shared" si="48"/>
        <v>84217</v>
      </c>
      <c r="K1061" s="2">
        <f t="shared" si="49"/>
        <v>1.1624079523105304</v>
      </c>
      <c r="L1061" s="2">
        <f t="shared" si="50"/>
        <v>0.55228970338455086</v>
      </c>
    </row>
    <row r="1062" spans="1:12" x14ac:dyDescent="0.3">
      <c r="A1062" s="1">
        <v>45574</v>
      </c>
      <c r="B1062" t="s">
        <v>15</v>
      </c>
      <c r="C1062" t="s">
        <v>18</v>
      </c>
      <c r="D1062" t="s">
        <v>11</v>
      </c>
      <c r="E1062">
        <v>559254</v>
      </c>
      <c r="F1062">
        <v>175668</v>
      </c>
      <c r="G1062">
        <v>512520</v>
      </c>
      <c r="H1062">
        <v>4.7</v>
      </c>
      <c r="I1062">
        <v>3</v>
      </c>
      <c r="J1062">
        <f t="shared" si="48"/>
        <v>383586</v>
      </c>
      <c r="K1062" s="2">
        <f t="shared" si="49"/>
        <v>1.0911847342542731</v>
      </c>
      <c r="L1062" s="2">
        <f t="shared" si="50"/>
        <v>0.68588870173481098</v>
      </c>
    </row>
    <row r="1063" spans="1:12" x14ac:dyDescent="0.3">
      <c r="A1063" s="1">
        <v>45615</v>
      </c>
      <c r="B1063" t="s">
        <v>9</v>
      </c>
      <c r="C1063" t="s">
        <v>18</v>
      </c>
      <c r="D1063" t="s">
        <v>14</v>
      </c>
      <c r="E1063">
        <v>304768</v>
      </c>
      <c r="F1063">
        <v>120843</v>
      </c>
      <c r="G1063">
        <v>289737</v>
      </c>
      <c r="H1063">
        <v>4.5999999999999996</v>
      </c>
      <c r="I1063">
        <v>9</v>
      </c>
      <c r="J1063">
        <f t="shared" si="48"/>
        <v>183925</v>
      </c>
      <c r="K1063" s="2">
        <f t="shared" si="49"/>
        <v>1.0518780825369214</v>
      </c>
      <c r="L1063" s="2">
        <f t="shared" si="50"/>
        <v>0.60349183641327175</v>
      </c>
    </row>
    <row r="1064" spans="1:12" x14ac:dyDescent="0.3">
      <c r="A1064" s="1">
        <v>46010</v>
      </c>
      <c r="B1064" t="s">
        <v>19</v>
      </c>
      <c r="C1064" t="s">
        <v>13</v>
      </c>
      <c r="D1064" t="s">
        <v>17</v>
      </c>
      <c r="E1064">
        <v>170970</v>
      </c>
      <c r="F1064">
        <v>102324</v>
      </c>
      <c r="G1064">
        <v>178868</v>
      </c>
      <c r="H1064">
        <v>4.4000000000000004</v>
      </c>
      <c r="I1064">
        <v>2</v>
      </c>
      <c r="J1064">
        <f t="shared" si="48"/>
        <v>68646</v>
      </c>
      <c r="K1064" s="2">
        <f t="shared" si="49"/>
        <v>0.95584453339893105</v>
      </c>
      <c r="L1064" s="2">
        <f t="shared" si="50"/>
        <v>0.40150903667310056</v>
      </c>
    </row>
    <row r="1065" spans="1:12" x14ac:dyDescent="0.3">
      <c r="A1065" s="1">
        <v>45306</v>
      </c>
      <c r="B1065" t="s">
        <v>15</v>
      </c>
      <c r="C1065" t="s">
        <v>10</v>
      </c>
      <c r="D1065" t="s">
        <v>11</v>
      </c>
      <c r="E1065">
        <v>235864</v>
      </c>
      <c r="F1065">
        <v>114702</v>
      </c>
      <c r="G1065">
        <v>203539</v>
      </c>
      <c r="H1065">
        <v>4</v>
      </c>
      <c r="I1065">
        <v>11</v>
      </c>
      <c r="J1065">
        <f t="shared" si="48"/>
        <v>121162</v>
      </c>
      <c r="K1065" s="2">
        <f t="shared" si="49"/>
        <v>1.1588147725988631</v>
      </c>
      <c r="L1065" s="2">
        <f t="shared" si="50"/>
        <v>0.51369433232710371</v>
      </c>
    </row>
    <row r="1066" spans="1:12" x14ac:dyDescent="0.3">
      <c r="A1066" s="1">
        <v>45520</v>
      </c>
      <c r="B1066" t="s">
        <v>15</v>
      </c>
      <c r="C1066" t="s">
        <v>10</v>
      </c>
      <c r="D1066" t="s">
        <v>17</v>
      </c>
      <c r="E1066">
        <v>246974</v>
      </c>
      <c r="F1066">
        <v>76482</v>
      </c>
      <c r="G1066">
        <v>233751</v>
      </c>
      <c r="H1066">
        <v>5</v>
      </c>
      <c r="I1066">
        <v>0</v>
      </c>
      <c r="J1066">
        <f t="shared" si="48"/>
        <v>170492</v>
      </c>
      <c r="K1066" s="2">
        <f t="shared" si="49"/>
        <v>1.0565687419519061</v>
      </c>
      <c r="L1066" s="2">
        <f t="shared" si="50"/>
        <v>0.69032367779604331</v>
      </c>
    </row>
    <row r="1067" spans="1:12" x14ac:dyDescent="0.3">
      <c r="A1067" s="1">
        <v>45666</v>
      </c>
      <c r="B1067" t="s">
        <v>15</v>
      </c>
      <c r="C1067" t="s">
        <v>16</v>
      </c>
      <c r="D1067" t="s">
        <v>11</v>
      </c>
      <c r="E1067">
        <v>424750</v>
      </c>
      <c r="F1067">
        <v>230459</v>
      </c>
      <c r="G1067">
        <v>473360</v>
      </c>
      <c r="H1067">
        <v>4.0999999999999996</v>
      </c>
      <c r="I1067">
        <v>8</v>
      </c>
      <c r="J1067">
        <f t="shared" si="48"/>
        <v>194291</v>
      </c>
      <c r="K1067" s="2">
        <f t="shared" si="49"/>
        <v>0.89730860233226295</v>
      </c>
      <c r="L1067" s="2">
        <f t="shared" si="50"/>
        <v>0.45742436727486757</v>
      </c>
    </row>
    <row r="1068" spans="1:12" x14ac:dyDescent="0.3">
      <c r="A1068" s="1">
        <v>45449</v>
      </c>
      <c r="B1068" t="s">
        <v>19</v>
      </c>
      <c r="C1068" t="s">
        <v>18</v>
      </c>
      <c r="D1068" t="s">
        <v>11</v>
      </c>
      <c r="E1068">
        <v>359937</v>
      </c>
      <c r="F1068">
        <v>202506</v>
      </c>
      <c r="G1068">
        <v>361785</v>
      </c>
      <c r="H1068">
        <v>4.9000000000000004</v>
      </c>
      <c r="I1068">
        <v>10</v>
      </c>
      <c r="J1068">
        <f t="shared" si="48"/>
        <v>157431</v>
      </c>
      <c r="K1068" s="2">
        <f t="shared" si="49"/>
        <v>0.99489199386375882</v>
      </c>
      <c r="L1068" s="2">
        <f t="shared" si="50"/>
        <v>0.43738487568657847</v>
      </c>
    </row>
    <row r="1069" spans="1:12" x14ac:dyDescent="0.3">
      <c r="A1069" s="1">
        <v>45684</v>
      </c>
      <c r="B1069" t="s">
        <v>12</v>
      </c>
      <c r="C1069" t="s">
        <v>16</v>
      </c>
      <c r="D1069" t="s">
        <v>14</v>
      </c>
      <c r="E1069">
        <v>484902</v>
      </c>
      <c r="F1069">
        <v>192087</v>
      </c>
      <c r="G1069">
        <v>483719</v>
      </c>
      <c r="H1069">
        <v>4.7</v>
      </c>
      <c r="I1069">
        <v>14</v>
      </c>
      <c r="J1069">
        <f t="shared" si="48"/>
        <v>292815</v>
      </c>
      <c r="K1069" s="2">
        <f t="shared" si="49"/>
        <v>1.0024456347590234</v>
      </c>
      <c r="L1069" s="2">
        <f t="shared" si="50"/>
        <v>0.60386428597943498</v>
      </c>
    </row>
    <row r="1070" spans="1:12" x14ac:dyDescent="0.3">
      <c r="A1070" s="1">
        <v>45726</v>
      </c>
      <c r="B1070" t="s">
        <v>15</v>
      </c>
      <c r="C1070" t="s">
        <v>16</v>
      </c>
      <c r="D1070" t="s">
        <v>17</v>
      </c>
      <c r="E1070">
        <v>127408</v>
      </c>
      <c r="F1070">
        <v>58147</v>
      </c>
      <c r="G1070">
        <v>114884</v>
      </c>
      <c r="H1070">
        <v>4.5999999999999996</v>
      </c>
      <c r="I1070">
        <v>0</v>
      </c>
      <c r="J1070">
        <f t="shared" si="48"/>
        <v>69261</v>
      </c>
      <c r="K1070" s="2">
        <f t="shared" si="49"/>
        <v>1.109014310086696</v>
      </c>
      <c r="L1070" s="2">
        <f t="shared" si="50"/>
        <v>0.5436157855079744</v>
      </c>
    </row>
    <row r="1071" spans="1:12" x14ac:dyDescent="0.3">
      <c r="A1071" s="1">
        <v>45893</v>
      </c>
      <c r="B1071" t="s">
        <v>9</v>
      </c>
      <c r="C1071" t="s">
        <v>16</v>
      </c>
      <c r="D1071" t="s">
        <v>17</v>
      </c>
      <c r="E1071">
        <v>327798</v>
      </c>
      <c r="F1071">
        <v>152775</v>
      </c>
      <c r="G1071">
        <v>351255</v>
      </c>
      <c r="H1071">
        <v>4.8</v>
      </c>
      <c r="I1071">
        <v>6</v>
      </c>
      <c r="J1071">
        <f t="shared" si="48"/>
        <v>175023</v>
      </c>
      <c r="K1071" s="2">
        <f t="shared" si="49"/>
        <v>0.93321945595080502</v>
      </c>
      <c r="L1071" s="2">
        <f t="shared" si="50"/>
        <v>0.53393553346878264</v>
      </c>
    </row>
    <row r="1072" spans="1:12" x14ac:dyDescent="0.3">
      <c r="A1072" s="1">
        <v>45560</v>
      </c>
      <c r="B1072" t="s">
        <v>15</v>
      </c>
      <c r="C1072" t="s">
        <v>18</v>
      </c>
      <c r="D1072" t="s">
        <v>11</v>
      </c>
      <c r="E1072">
        <v>34544</v>
      </c>
      <c r="F1072">
        <v>18949</v>
      </c>
      <c r="G1072">
        <v>39037</v>
      </c>
      <c r="H1072">
        <v>4.5999999999999996</v>
      </c>
      <c r="I1072">
        <v>14</v>
      </c>
      <c r="J1072">
        <f t="shared" si="48"/>
        <v>15595</v>
      </c>
      <c r="K1072" s="2">
        <f t="shared" si="49"/>
        <v>0.88490406537387611</v>
      </c>
      <c r="L1072" s="2">
        <f t="shared" si="50"/>
        <v>0.45145321908290875</v>
      </c>
    </row>
    <row r="1073" spans="1:12" x14ac:dyDescent="0.3">
      <c r="A1073" s="1">
        <v>45387</v>
      </c>
      <c r="B1073" t="s">
        <v>15</v>
      </c>
      <c r="C1073" t="s">
        <v>16</v>
      </c>
      <c r="D1073" t="s">
        <v>14</v>
      </c>
      <c r="E1073">
        <v>75888</v>
      </c>
      <c r="F1073">
        <v>43469</v>
      </c>
      <c r="G1073">
        <v>86414</v>
      </c>
      <c r="H1073">
        <v>4.8</v>
      </c>
      <c r="I1073">
        <v>2</v>
      </c>
      <c r="J1073">
        <f t="shared" si="48"/>
        <v>32419</v>
      </c>
      <c r="K1073" s="2">
        <f t="shared" si="49"/>
        <v>0.8781910338602541</v>
      </c>
      <c r="L1073" s="2">
        <f t="shared" si="50"/>
        <v>0.42719534050179214</v>
      </c>
    </row>
    <row r="1074" spans="1:12" x14ac:dyDescent="0.3">
      <c r="A1074" s="1">
        <v>45483</v>
      </c>
      <c r="B1074" t="s">
        <v>12</v>
      </c>
      <c r="C1074" t="s">
        <v>16</v>
      </c>
      <c r="D1074" t="s">
        <v>11</v>
      </c>
      <c r="E1074">
        <v>67450</v>
      </c>
      <c r="F1074">
        <v>32879</v>
      </c>
      <c r="G1074">
        <v>63695</v>
      </c>
      <c r="H1074">
        <v>4.4000000000000004</v>
      </c>
      <c r="I1074">
        <v>13</v>
      </c>
      <c r="J1074">
        <f t="shared" si="48"/>
        <v>34571</v>
      </c>
      <c r="K1074" s="2">
        <f t="shared" si="49"/>
        <v>1.0589528220425466</v>
      </c>
      <c r="L1074" s="2">
        <f t="shared" si="50"/>
        <v>0.5125426241660489</v>
      </c>
    </row>
    <row r="1075" spans="1:12" x14ac:dyDescent="0.3">
      <c r="A1075" s="1">
        <v>45829</v>
      </c>
      <c r="B1075" t="s">
        <v>15</v>
      </c>
      <c r="C1075" t="s">
        <v>13</v>
      </c>
      <c r="D1075" t="s">
        <v>14</v>
      </c>
      <c r="E1075">
        <v>414470</v>
      </c>
      <c r="F1075">
        <v>254654</v>
      </c>
      <c r="G1075">
        <v>459201</v>
      </c>
      <c r="H1075">
        <v>4.2</v>
      </c>
      <c r="I1075">
        <v>15</v>
      </c>
      <c r="J1075">
        <f t="shared" si="48"/>
        <v>159816</v>
      </c>
      <c r="K1075" s="2">
        <f t="shared" si="49"/>
        <v>0.90258949784517017</v>
      </c>
      <c r="L1075" s="2">
        <f t="shared" si="50"/>
        <v>0.38559123700147174</v>
      </c>
    </row>
    <row r="1076" spans="1:12" x14ac:dyDescent="0.3">
      <c r="A1076" s="1">
        <v>45477</v>
      </c>
      <c r="B1076" t="s">
        <v>9</v>
      </c>
      <c r="C1076" t="s">
        <v>10</v>
      </c>
      <c r="D1076" t="s">
        <v>14</v>
      </c>
      <c r="E1076">
        <v>446522</v>
      </c>
      <c r="F1076">
        <v>231352</v>
      </c>
      <c r="G1076">
        <v>487745</v>
      </c>
      <c r="H1076">
        <v>4</v>
      </c>
      <c r="I1076">
        <v>11</v>
      </c>
      <c r="J1076">
        <f t="shared" si="48"/>
        <v>215170</v>
      </c>
      <c r="K1076" s="2">
        <f t="shared" si="49"/>
        <v>0.91548247547386441</v>
      </c>
      <c r="L1076" s="2">
        <f t="shared" si="50"/>
        <v>0.48187995216361118</v>
      </c>
    </row>
    <row r="1077" spans="1:12" x14ac:dyDescent="0.3">
      <c r="A1077" s="1">
        <v>45571</v>
      </c>
      <c r="B1077" t="s">
        <v>15</v>
      </c>
      <c r="C1077" t="s">
        <v>10</v>
      </c>
      <c r="D1077" t="s">
        <v>17</v>
      </c>
      <c r="E1077">
        <v>233607</v>
      </c>
      <c r="F1077">
        <v>106423</v>
      </c>
      <c r="G1077">
        <v>214938</v>
      </c>
      <c r="H1077">
        <v>4.0999999999999996</v>
      </c>
      <c r="I1077">
        <v>3</v>
      </c>
      <c r="J1077">
        <f t="shared" si="48"/>
        <v>127184</v>
      </c>
      <c r="K1077" s="2">
        <f t="shared" si="49"/>
        <v>1.0868576054490131</v>
      </c>
      <c r="L1077" s="2">
        <f t="shared" si="50"/>
        <v>0.54443574036736908</v>
      </c>
    </row>
    <row r="1078" spans="1:12" x14ac:dyDescent="0.3">
      <c r="A1078" s="1">
        <v>45864</v>
      </c>
      <c r="B1078" t="s">
        <v>12</v>
      </c>
      <c r="C1078" t="s">
        <v>10</v>
      </c>
      <c r="D1078" t="s">
        <v>17</v>
      </c>
      <c r="E1078">
        <v>414888</v>
      </c>
      <c r="F1078">
        <v>201880</v>
      </c>
      <c r="G1078">
        <v>374533</v>
      </c>
      <c r="H1078">
        <v>3.7</v>
      </c>
      <c r="I1078">
        <v>14</v>
      </c>
      <c r="J1078">
        <f t="shared" si="48"/>
        <v>213008</v>
      </c>
      <c r="K1078" s="2">
        <f t="shared" si="49"/>
        <v>1.1077475149052287</v>
      </c>
      <c r="L1078" s="2">
        <f t="shared" si="50"/>
        <v>0.51341084822891958</v>
      </c>
    </row>
    <row r="1079" spans="1:12" x14ac:dyDescent="0.3">
      <c r="A1079" s="1">
        <v>46001</v>
      </c>
      <c r="B1079" t="s">
        <v>15</v>
      </c>
      <c r="C1079" t="s">
        <v>13</v>
      </c>
      <c r="D1079" t="s">
        <v>11</v>
      </c>
      <c r="E1079">
        <v>93746</v>
      </c>
      <c r="F1079">
        <v>35879</v>
      </c>
      <c r="G1079">
        <v>102457</v>
      </c>
      <c r="H1079">
        <v>4.8</v>
      </c>
      <c r="I1079">
        <v>5</v>
      </c>
      <c r="J1079">
        <f t="shared" si="48"/>
        <v>57867</v>
      </c>
      <c r="K1079" s="2">
        <f t="shared" si="49"/>
        <v>0.91497896678606638</v>
      </c>
      <c r="L1079" s="2">
        <f t="shared" si="50"/>
        <v>0.61727433703838031</v>
      </c>
    </row>
    <row r="1080" spans="1:12" x14ac:dyDescent="0.3">
      <c r="A1080" s="1">
        <v>45999</v>
      </c>
      <c r="B1080" t="s">
        <v>19</v>
      </c>
      <c r="C1080" t="s">
        <v>10</v>
      </c>
      <c r="D1080" t="s">
        <v>11</v>
      </c>
      <c r="E1080">
        <v>277744</v>
      </c>
      <c r="F1080">
        <v>148446</v>
      </c>
      <c r="G1080">
        <v>297267</v>
      </c>
      <c r="H1080">
        <v>4.5</v>
      </c>
      <c r="I1080">
        <v>7</v>
      </c>
      <c r="J1080">
        <f t="shared" si="48"/>
        <v>129298</v>
      </c>
      <c r="K1080" s="2">
        <f t="shared" si="49"/>
        <v>0.93432503439668713</v>
      </c>
      <c r="L1080" s="2">
        <f t="shared" si="50"/>
        <v>0.46552940837605855</v>
      </c>
    </row>
    <row r="1081" spans="1:12" x14ac:dyDescent="0.3">
      <c r="A1081" s="1">
        <v>45650</v>
      </c>
      <c r="B1081" t="s">
        <v>15</v>
      </c>
      <c r="C1081" t="s">
        <v>16</v>
      </c>
      <c r="D1081" t="s">
        <v>17</v>
      </c>
      <c r="E1081">
        <v>240153</v>
      </c>
      <c r="F1081">
        <v>114983</v>
      </c>
      <c r="G1081">
        <v>235730</v>
      </c>
      <c r="H1081">
        <v>4.5999999999999996</v>
      </c>
      <c r="I1081">
        <v>13</v>
      </c>
      <c r="J1081">
        <f t="shared" si="48"/>
        <v>125170</v>
      </c>
      <c r="K1081" s="2">
        <f t="shared" si="49"/>
        <v>1.0187629915581387</v>
      </c>
      <c r="L1081" s="2">
        <f t="shared" si="50"/>
        <v>0.52120939567692259</v>
      </c>
    </row>
    <row r="1082" spans="1:12" x14ac:dyDescent="0.3">
      <c r="A1082" s="1">
        <v>45983</v>
      </c>
      <c r="B1082" t="s">
        <v>15</v>
      </c>
      <c r="C1082" t="s">
        <v>18</v>
      </c>
      <c r="D1082" t="s">
        <v>17</v>
      </c>
      <c r="E1082">
        <v>499464</v>
      </c>
      <c r="F1082">
        <v>235380</v>
      </c>
      <c r="G1082">
        <v>446638</v>
      </c>
      <c r="H1082">
        <v>4.4000000000000004</v>
      </c>
      <c r="I1082">
        <v>12</v>
      </c>
      <c r="J1082">
        <f t="shared" si="48"/>
        <v>264084</v>
      </c>
      <c r="K1082" s="2">
        <f t="shared" si="49"/>
        <v>1.1182747549469594</v>
      </c>
      <c r="L1082" s="2">
        <f t="shared" si="50"/>
        <v>0.52873480370957671</v>
      </c>
    </row>
    <row r="1083" spans="1:12" x14ac:dyDescent="0.3">
      <c r="A1083" s="1">
        <v>45494</v>
      </c>
      <c r="B1083" t="s">
        <v>19</v>
      </c>
      <c r="C1083" t="s">
        <v>10</v>
      </c>
      <c r="D1083" t="s">
        <v>14</v>
      </c>
      <c r="E1083">
        <v>364547</v>
      </c>
      <c r="F1083">
        <v>123334</v>
      </c>
      <c r="G1083">
        <v>413331</v>
      </c>
      <c r="H1083">
        <v>3.9</v>
      </c>
      <c r="I1083">
        <v>6</v>
      </c>
      <c r="J1083">
        <f t="shared" si="48"/>
        <v>241213</v>
      </c>
      <c r="K1083" s="2">
        <f t="shared" si="49"/>
        <v>0.88197352726991196</v>
      </c>
      <c r="L1083" s="2">
        <f t="shared" si="50"/>
        <v>0.66167874101281865</v>
      </c>
    </row>
    <row r="1084" spans="1:12" x14ac:dyDescent="0.3">
      <c r="A1084" s="1">
        <v>45671</v>
      </c>
      <c r="B1084" t="s">
        <v>19</v>
      </c>
      <c r="C1084" t="s">
        <v>16</v>
      </c>
      <c r="D1084" t="s">
        <v>17</v>
      </c>
      <c r="E1084">
        <v>247403</v>
      </c>
      <c r="F1084">
        <v>88189</v>
      </c>
      <c r="G1084">
        <v>250846</v>
      </c>
      <c r="H1084">
        <v>4.4000000000000004</v>
      </c>
      <c r="I1084">
        <v>7</v>
      </c>
      <c r="J1084">
        <f t="shared" si="48"/>
        <v>159214</v>
      </c>
      <c r="K1084" s="2">
        <f t="shared" si="49"/>
        <v>0.98627444727043689</v>
      </c>
      <c r="L1084" s="2">
        <f t="shared" si="50"/>
        <v>0.64354110499872674</v>
      </c>
    </row>
    <row r="1085" spans="1:12" x14ac:dyDescent="0.3">
      <c r="A1085" s="1">
        <v>45795</v>
      </c>
      <c r="B1085" t="s">
        <v>15</v>
      </c>
      <c r="C1085" t="s">
        <v>18</v>
      </c>
      <c r="D1085" t="s">
        <v>14</v>
      </c>
      <c r="E1085">
        <v>56940</v>
      </c>
      <c r="F1085">
        <v>25898</v>
      </c>
      <c r="G1085">
        <v>54182</v>
      </c>
      <c r="H1085">
        <v>4.2</v>
      </c>
      <c r="I1085">
        <v>9</v>
      </c>
      <c r="J1085">
        <f t="shared" si="48"/>
        <v>31042</v>
      </c>
      <c r="K1085" s="2">
        <f t="shared" si="49"/>
        <v>1.0509025137499539</v>
      </c>
      <c r="L1085" s="2">
        <f t="shared" si="50"/>
        <v>0.5451703547593959</v>
      </c>
    </row>
    <row r="1086" spans="1:12" x14ac:dyDescent="0.3">
      <c r="A1086" s="1">
        <v>45733</v>
      </c>
      <c r="B1086" t="s">
        <v>19</v>
      </c>
      <c r="C1086" t="s">
        <v>18</v>
      </c>
      <c r="D1086" t="s">
        <v>17</v>
      </c>
      <c r="E1086">
        <v>404775</v>
      </c>
      <c r="F1086">
        <v>143422</v>
      </c>
      <c r="G1086">
        <v>358601</v>
      </c>
      <c r="H1086">
        <v>4.3</v>
      </c>
      <c r="I1086">
        <v>13</v>
      </c>
      <c r="J1086">
        <f t="shared" si="48"/>
        <v>261353</v>
      </c>
      <c r="K1086" s="2">
        <f t="shared" si="49"/>
        <v>1.1287614925781022</v>
      </c>
      <c r="L1086" s="2">
        <f t="shared" si="50"/>
        <v>0.64567475758137238</v>
      </c>
    </row>
    <row r="1087" spans="1:12" x14ac:dyDescent="0.3">
      <c r="A1087" s="1">
        <v>45958</v>
      </c>
      <c r="B1087" t="s">
        <v>19</v>
      </c>
      <c r="C1087" t="s">
        <v>16</v>
      </c>
      <c r="D1087" t="s">
        <v>17</v>
      </c>
      <c r="E1087">
        <v>395114</v>
      </c>
      <c r="F1087">
        <v>139541</v>
      </c>
      <c r="G1087">
        <v>355156</v>
      </c>
      <c r="H1087">
        <v>4.7</v>
      </c>
      <c r="I1087">
        <v>6</v>
      </c>
      <c r="J1087">
        <f t="shared" si="48"/>
        <v>255573</v>
      </c>
      <c r="K1087" s="2">
        <f t="shared" si="49"/>
        <v>1.1125083062091026</v>
      </c>
      <c r="L1087" s="2">
        <f t="shared" si="50"/>
        <v>0.64683357208299375</v>
      </c>
    </row>
    <row r="1088" spans="1:12" x14ac:dyDescent="0.3">
      <c r="A1088" s="1">
        <v>45448</v>
      </c>
      <c r="B1088" t="s">
        <v>19</v>
      </c>
      <c r="C1088" t="s">
        <v>10</v>
      </c>
      <c r="D1088" t="s">
        <v>11</v>
      </c>
      <c r="E1088">
        <v>122945</v>
      </c>
      <c r="F1088">
        <v>43622</v>
      </c>
      <c r="G1088">
        <v>116330</v>
      </c>
      <c r="H1088">
        <v>4.3</v>
      </c>
      <c r="I1088">
        <v>13</v>
      </c>
      <c r="J1088">
        <f t="shared" si="48"/>
        <v>79323</v>
      </c>
      <c r="K1088" s="2">
        <f t="shared" si="49"/>
        <v>1.0568640935270353</v>
      </c>
      <c r="L1088" s="2">
        <f t="shared" si="50"/>
        <v>0.64519093903778113</v>
      </c>
    </row>
    <row r="1089" spans="1:12" x14ac:dyDescent="0.3">
      <c r="A1089" s="1">
        <v>45967</v>
      </c>
      <c r="B1089" t="s">
        <v>9</v>
      </c>
      <c r="C1089" t="s">
        <v>18</v>
      </c>
      <c r="D1089" t="s">
        <v>17</v>
      </c>
      <c r="E1089">
        <v>165887</v>
      </c>
      <c r="F1089">
        <v>78739</v>
      </c>
      <c r="G1089">
        <v>153758</v>
      </c>
      <c r="H1089">
        <v>3.8</v>
      </c>
      <c r="I1089">
        <v>4</v>
      </c>
      <c r="J1089">
        <f t="shared" si="48"/>
        <v>87148</v>
      </c>
      <c r="K1089" s="2">
        <f t="shared" si="49"/>
        <v>1.0788837003603065</v>
      </c>
      <c r="L1089" s="2">
        <f t="shared" si="50"/>
        <v>0.52534556656036946</v>
      </c>
    </row>
    <row r="1090" spans="1:12" x14ac:dyDescent="0.3">
      <c r="A1090" s="1">
        <v>45921</v>
      </c>
      <c r="B1090" t="s">
        <v>15</v>
      </c>
      <c r="C1090" t="s">
        <v>10</v>
      </c>
      <c r="D1090" t="s">
        <v>17</v>
      </c>
      <c r="E1090">
        <v>461127</v>
      </c>
      <c r="F1090">
        <v>253874</v>
      </c>
      <c r="G1090">
        <v>445389</v>
      </c>
      <c r="H1090">
        <v>4.2</v>
      </c>
      <c r="I1090">
        <v>4</v>
      </c>
      <c r="J1090">
        <f t="shared" si="48"/>
        <v>207253</v>
      </c>
      <c r="K1090" s="2">
        <f t="shared" si="49"/>
        <v>1.0353354034338522</v>
      </c>
      <c r="L1090" s="2">
        <f t="shared" si="50"/>
        <v>0.44944885031672405</v>
      </c>
    </row>
    <row r="1091" spans="1:12" x14ac:dyDescent="0.3">
      <c r="A1091" s="1">
        <v>45722</v>
      </c>
      <c r="B1091" t="s">
        <v>15</v>
      </c>
      <c r="C1091" t="s">
        <v>10</v>
      </c>
      <c r="D1091" t="s">
        <v>17</v>
      </c>
      <c r="E1091">
        <v>219699</v>
      </c>
      <c r="F1091">
        <v>136865</v>
      </c>
      <c r="G1091">
        <v>215096</v>
      </c>
      <c r="H1091">
        <v>4.8</v>
      </c>
      <c r="I1091">
        <v>15</v>
      </c>
      <c r="J1091">
        <f t="shared" ref="J1091:J1154" si="51">E1091-F1091</f>
        <v>82834</v>
      </c>
      <c r="K1091" s="2">
        <f t="shared" ref="K1091:K1154" si="52">E1091/G1091</f>
        <v>1.0213997470896716</v>
      </c>
      <c r="L1091" s="2">
        <f t="shared" ref="L1091:L1154" si="53">J1091/E1091</f>
        <v>0.3770340329268681</v>
      </c>
    </row>
    <row r="1092" spans="1:12" x14ac:dyDescent="0.3">
      <c r="A1092" s="1">
        <v>45351</v>
      </c>
      <c r="B1092" t="s">
        <v>19</v>
      </c>
      <c r="C1092" t="s">
        <v>10</v>
      </c>
      <c r="D1092" t="s">
        <v>14</v>
      </c>
      <c r="E1092">
        <v>253950</v>
      </c>
      <c r="F1092">
        <v>108920</v>
      </c>
      <c r="G1092">
        <v>219939</v>
      </c>
      <c r="H1092">
        <v>3.7</v>
      </c>
      <c r="I1092">
        <v>0</v>
      </c>
      <c r="J1092">
        <f t="shared" si="51"/>
        <v>145030</v>
      </c>
      <c r="K1092" s="2">
        <f t="shared" si="52"/>
        <v>1.1546383315373807</v>
      </c>
      <c r="L1092" s="2">
        <f t="shared" si="53"/>
        <v>0.57109667257334118</v>
      </c>
    </row>
    <row r="1093" spans="1:12" x14ac:dyDescent="0.3">
      <c r="A1093" s="1">
        <v>45708</v>
      </c>
      <c r="B1093" t="s">
        <v>19</v>
      </c>
      <c r="C1093" t="s">
        <v>18</v>
      </c>
      <c r="D1093" t="s">
        <v>14</v>
      </c>
      <c r="E1093">
        <v>189357</v>
      </c>
      <c r="F1093">
        <v>85690</v>
      </c>
      <c r="G1093">
        <v>177058</v>
      </c>
      <c r="H1093">
        <v>4.9000000000000004</v>
      </c>
      <c r="I1093">
        <v>8</v>
      </c>
      <c r="J1093">
        <f t="shared" si="51"/>
        <v>103667</v>
      </c>
      <c r="K1093" s="2">
        <f t="shared" si="52"/>
        <v>1.0694631137819246</v>
      </c>
      <c r="L1093" s="2">
        <f t="shared" si="53"/>
        <v>0.5474685382637029</v>
      </c>
    </row>
    <row r="1094" spans="1:12" x14ac:dyDescent="0.3">
      <c r="A1094" s="1">
        <v>45868</v>
      </c>
      <c r="B1094" t="s">
        <v>9</v>
      </c>
      <c r="C1094" t="s">
        <v>10</v>
      </c>
      <c r="D1094" t="s">
        <v>17</v>
      </c>
      <c r="E1094">
        <v>228712</v>
      </c>
      <c r="F1094">
        <v>103415</v>
      </c>
      <c r="G1094">
        <v>205432</v>
      </c>
      <c r="H1094">
        <v>5</v>
      </c>
      <c r="I1094">
        <v>0</v>
      </c>
      <c r="J1094">
        <f t="shared" si="51"/>
        <v>125297</v>
      </c>
      <c r="K1094" s="2">
        <f t="shared" si="52"/>
        <v>1.1133221698664277</v>
      </c>
      <c r="L1094" s="2">
        <f t="shared" si="53"/>
        <v>0.54783745496519642</v>
      </c>
    </row>
    <row r="1095" spans="1:12" x14ac:dyDescent="0.3">
      <c r="A1095" s="1">
        <v>45340</v>
      </c>
      <c r="B1095" t="s">
        <v>12</v>
      </c>
      <c r="C1095" t="s">
        <v>13</v>
      </c>
      <c r="D1095" t="s">
        <v>11</v>
      </c>
      <c r="E1095">
        <v>471212</v>
      </c>
      <c r="F1095">
        <v>193283</v>
      </c>
      <c r="G1095">
        <v>418771</v>
      </c>
      <c r="H1095">
        <v>4.0999999999999996</v>
      </c>
      <c r="I1095">
        <v>1</v>
      </c>
      <c r="J1095">
        <f t="shared" si="51"/>
        <v>277929</v>
      </c>
      <c r="K1095" s="2">
        <f t="shared" si="52"/>
        <v>1.1252259588175877</v>
      </c>
      <c r="L1095" s="2">
        <f t="shared" si="53"/>
        <v>0.58981732213950411</v>
      </c>
    </row>
    <row r="1096" spans="1:12" x14ac:dyDescent="0.3">
      <c r="A1096" s="1">
        <v>45711</v>
      </c>
      <c r="B1096" t="s">
        <v>19</v>
      </c>
      <c r="C1096" t="s">
        <v>10</v>
      </c>
      <c r="D1096" t="s">
        <v>14</v>
      </c>
      <c r="E1096">
        <v>260699</v>
      </c>
      <c r="F1096">
        <v>90692</v>
      </c>
      <c r="G1096">
        <v>286742</v>
      </c>
      <c r="H1096">
        <v>3.9</v>
      </c>
      <c r="I1096">
        <v>11</v>
      </c>
      <c r="J1096">
        <f t="shared" si="51"/>
        <v>170007</v>
      </c>
      <c r="K1096" s="2">
        <f t="shared" si="52"/>
        <v>0.90917619323294108</v>
      </c>
      <c r="L1096" s="2">
        <f t="shared" si="53"/>
        <v>0.65211987771337832</v>
      </c>
    </row>
    <row r="1097" spans="1:12" x14ac:dyDescent="0.3">
      <c r="A1097" s="1">
        <v>45469</v>
      </c>
      <c r="B1097" t="s">
        <v>19</v>
      </c>
      <c r="C1097" t="s">
        <v>16</v>
      </c>
      <c r="D1097" t="s">
        <v>17</v>
      </c>
      <c r="E1097">
        <v>463902</v>
      </c>
      <c r="F1097">
        <v>236133</v>
      </c>
      <c r="G1097">
        <v>444777</v>
      </c>
      <c r="H1097">
        <v>3.6</v>
      </c>
      <c r="I1097">
        <v>0</v>
      </c>
      <c r="J1097">
        <f t="shared" si="51"/>
        <v>227769</v>
      </c>
      <c r="K1097" s="2">
        <f t="shared" si="52"/>
        <v>1.0429990759414269</v>
      </c>
      <c r="L1097" s="2">
        <f t="shared" si="53"/>
        <v>0.49098516497018768</v>
      </c>
    </row>
    <row r="1098" spans="1:12" x14ac:dyDescent="0.3">
      <c r="A1098" s="1">
        <v>45928</v>
      </c>
      <c r="B1098" t="s">
        <v>9</v>
      </c>
      <c r="C1098" t="s">
        <v>16</v>
      </c>
      <c r="D1098" t="s">
        <v>17</v>
      </c>
      <c r="E1098">
        <v>219633</v>
      </c>
      <c r="F1098">
        <v>110646</v>
      </c>
      <c r="G1098">
        <v>243856</v>
      </c>
      <c r="H1098">
        <v>3.8</v>
      </c>
      <c r="I1098">
        <v>0</v>
      </c>
      <c r="J1098">
        <f t="shared" si="51"/>
        <v>108987</v>
      </c>
      <c r="K1098" s="2">
        <f t="shared" si="52"/>
        <v>0.90066678695623648</v>
      </c>
      <c r="L1098" s="2">
        <f t="shared" si="53"/>
        <v>0.49622324514075755</v>
      </c>
    </row>
    <row r="1099" spans="1:12" x14ac:dyDescent="0.3">
      <c r="A1099" s="1">
        <v>45673</v>
      </c>
      <c r="B1099" t="s">
        <v>19</v>
      </c>
      <c r="C1099" t="s">
        <v>13</v>
      </c>
      <c r="D1099" t="s">
        <v>14</v>
      </c>
      <c r="E1099">
        <v>353822</v>
      </c>
      <c r="F1099">
        <v>135152</v>
      </c>
      <c r="G1099">
        <v>379597</v>
      </c>
      <c r="H1099">
        <v>4.5</v>
      </c>
      <c r="I1099">
        <v>13</v>
      </c>
      <c r="J1099">
        <f t="shared" si="51"/>
        <v>218670</v>
      </c>
      <c r="K1099" s="2">
        <f t="shared" si="52"/>
        <v>0.93209904187862391</v>
      </c>
      <c r="L1099" s="2">
        <f t="shared" si="53"/>
        <v>0.61802262154416632</v>
      </c>
    </row>
    <row r="1100" spans="1:12" x14ac:dyDescent="0.3">
      <c r="A1100" s="1">
        <v>45834</v>
      </c>
      <c r="B1100" t="s">
        <v>12</v>
      </c>
      <c r="C1100" t="s">
        <v>13</v>
      </c>
      <c r="D1100" t="s">
        <v>17</v>
      </c>
      <c r="E1100">
        <v>480430</v>
      </c>
      <c r="F1100">
        <v>222869</v>
      </c>
      <c r="G1100">
        <v>435517</v>
      </c>
      <c r="H1100">
        <v>3.6</v>
      </c>
      <c r="I1100">
        <v>15</v>
      </c>
      <c r="J1100">
        <f t="shared" si="51"/>
        <v>257561</v>
      </c>
      <c r="K1100" s="2">
        <f t="shared" si="52"/>
        <v>1.1031257103626264</v>
      </c>
      <c r="L1100" s="2">
        <f t="shared" si="53"/>
        <v>0.53610515579793105</v>
      </c>
    </row>
    <row r="1101" spans="1:12" x14ac:dyDescent="0.3">
      <c r="A1101" s="1">
        <v>45849</v>
      </c>
      <c r="B1101" t="s">
        <v>19</v>
      </c>
      <c r="C1101" t="s">
        <v>16</v>
      </c>
      <c r="D1101" t="s">
        <v>11</v>
      </c>
      <c r="E1101">
        <v>493075</v>
      </c>
      <c r="F1101">
        <v>276853</v>
      </c>
      <c r="G1101">
        <v>561203</v>
      </c>
      <c r="H1101">
        <v>3.7</v>
      </c>
      <c r="I1101">
        <v>10</v>
      </c>
      <c r="J1101">
        <f t="shared" si="51"/>
        <v>216222</v>
      </c>
      <c r="K1101" s="2">
        <f t="shared" si="52"/>
        <v>0.87860364253220313</v>
      </c>
      <c r="L1101" s="2">
        <f t="shared" si="53"/>
        <v>0.43851746691679766</v>
      </c>
    </row>
    <row r="1102" spans="1:12" x14ac:dyDescent="0.3">
      <c r="A1102" s="1">
        <v>45583</v>
      </c>
      <c r="B1102" t="s">
        <v>15</v>
      </c>
      <c r="C1102" t="s">
        <v>16</v>
      </c>
      <c r="D1102" t="s">
        <v>11</v>
      </c>
      <c r="E1102">
        <v>288910</v>
      </c>
      <c r="F1102">
        <v>155915</v>
      </c>
      <c r="G1102">
        <v>285005</v>
      </c>
      <c r="H1102">
        <v>4.2</v>
      </c>
      <c r="I1102">
        <v>10</v>
      </c>
      <c r="J1102">
        <f t="shared" si="51"/>
        <v>132995</v>
      </c>
      <c r="K1102" s="2">
        <f t="shared" si="52"/>
        <v>1.0137015140085261</v>
      </c>
      <c r="L1102" s="2">
        <f t="shared" si="53"/>
        <v>0.46033366792426705</v>
      </c>
    </row>
    <row r="1103" spans="1:12" x14ac:dyDescent="0.3">
      <c r="A1103" s="1">
        <v>45846</v>
      </c>
      <c r="B1103" t="s">
        <v>9</v>
      </c>
      <c r="C1103" t="s">
        <v>18</v>
      </c>
      <c r="D1103" t="s">
        <v>11</v>
      </c>
      <c r="E1103">
        <v>429364</v>
      </c>
      <c r="F1103">
        <v>263346</v>
      </c>
      <c r="G1103">
        <v>428886</v>
      </c>
      <c r="H1103">
        <v>4.3</v>
      </c>
      <c r="I1103">
        <v>13</v>
      </c>
      <c r="J1103">
        <f t="shared" si="51"/>
        <v>166018</v>
      </c>
      <c r="K1103" s="2">
        <f t="shared" si="52"/>
        <v>1.0011145152791185</v>
      </c>
      <c r="L1103" s="2">
        <f t="shared" si="53"/>
        <v>0.38666026960807148</v>
      </c>
    </row>
    <row r="1104" spans="1:12" x14ac:dyDescent="0.3">
      <c r="A1104" s="1">
        <v>45438</v>
      </c>
      <c r="B1104" t="s">
        <v>15</v>
      </c>
      <c r="C1104" t="s">
        <v>10</v>
      </c>
      <c r="D1104" t="s">
        <v>14</v>
      </c>
      <c r="E1104">
        <v>198057</v>
      </c>
      <c r="F1104">
        <v>108483</v>
      </c>
      <c r="G1104">
        <v>184369</v>
      </c>
      <c r="H1104">
        <v>4.5</v>
      </c>
      <c r="I1104">
        <v>9</v>
      </c>
      <c r="J1104">
        <f t="shared" si="51"/>
        <v>89574</v>
      </c>
      <c r="K1104" s="2">
        <f t="shared" si="52"/>
        <v>1.074242416024386</v>
      </c>
      <c r="L1104" s="2">
        <f t="shared" si="53"/>
        <v>0.45226374225601723</v>
      </c>
    </row>
    <row r="1105" spans="1:12" x14ac:dyDescent="0.3">
      <c r="A1105" s="1">
        <v>45718</v>
      </c>
      <c r="B1105" t="s">
        <v>19</v>
      </c>
      <c r="C1105" t="s">
        <v>16</v>
      </c>
      <c r="D1105" t="s">
        <v>14</v>
      </c>
      <c r="E1105">
        <v>491959</v>
      </c>
      <c r="F1105">
        <v>277344</v>
      </c>
      <c r="G1105">
        <v>544447</v>
      </c>
      <c r="H1105">
        <v>4.3</v>
      </c>
      <c r="I1105">
        <v>5</v>
      </c>
      <c r="J1105">
        <f t="shared" si="51"/>
        <v>214615</v>
      </c>
      <c r="K1105" s="2">
        <f t="shared" si="52"/>
        <v>0.9035939219060809</v>
      </c>
      <c r="L1105" s="2">
        <f t="shared" si="53"/>
        <v>0.43624570340211277</v>
      </c>
    </row>
    <row r="1106" spans="1:12" x14ac:dyDescent="0.3">
      <c r="A1106" s="1">
        <v>45755</v>
      </c>
      <c r="B1106" t="s">
        <v>9</v>
      </c>
      <c r="C1106" t="s">
        <v>18</v>
      </c>
      <c r="D1106" t="s">
        <v>17</v>
      </c>
      <c r="E1106">
        <v>397435</v>
      </c>
      <c r="F1106">
        <v>232162</v>
      </c>
      <c r="G1106">
        <v>409855</v>
      </c>
      <c r="H1106">
        <v>3.7</v>
      </c>
      <c r="I1106">
        <v>7</v>
      </c>
      <c r="J1106">
        <f t="shared" si="51"/>
        <v>165273</v>
      </c>
      <c r="K1106" s="2">
        <f t="shared" si="52"/>
        <v>0.96969660001707925</v>
      </c>
      <c r="L1106" s="2">
        <f t="shared" si="53"/>
        <v>0.4158491325625574</v>
      </c>
    </row>
    <row r="1107" spans="1:12" x14ac:dyDescent="0.3">
      <c r="A1107" s="1">
        <v>45763</v>
      </c>
      <c r="B1107" t="s">
        <v>12</v>
      </c>
      <c r="C1107" t="s">
        <v>16</v>
      </c>
      <c r="D1107" t="s">
        <v>14</v>
      </c>
      <c r="E1107">
        <v>289826</v>
      </c>
      <c r="F1107">
        <v>169615</v>
      </c>
      <c r="G1107">
        <v>283825</v>
      </c>
      <c r="H1107">
        <v>3.8</v>
      </c>
      <c r="I1107">
        <v>6</v>
      </c>
      <c r="J1107">
        <f t="shared" si="51"/>
        <v>120211</v>
      </c>
      <c r="K1107" s="2">
        <f t="shared" si="52"/>
        <v>1.0211433101382894</v>
      </c>
      <c r="L1107" s="2">
        <f t="shared" si="53"/>
        <v>0.41476955138600402</v>
      </c>
    </row>
    <row r="1108" spans="1:12" x14ac:dyDescent="0.3">
      <c r="A1108" s="1">
        <v>45864</v>
      </c>
      <c r="B1108" t="s">
        <v>12</v>
      </c>
      <c r="C1108" t="s">
        <v>16</v>
      </c>
      <c r="D1108" t="s">
        <v>17</v>
      </c>
      <c r="E1108">
        <v>176129</v>
      </c>
      <c r="F1108">
        <v>94252</v>
      </c>
      <c r="G1108">
        <v>196993</v>
      </c>
      <c r="H1108">
        <v>3.5</v>
      </c>
      <c r="I1108">
        <v>10</v>
      </c>
      <c r="J1108">
        <f t="shared" si="51"/>
        <v>81877</v>
      </c>
      <c r="K1108" s="2">
        <f t="shared" si="52"/>
        <v>0.89408760717385893</v>
      </c>
      <c r="L1108" s="2">
        <f t="shared" si="53"/>
        <v>0.4648694990603478</v>
      </c>
    </row>
    <row r="1109" spans="1:12" x14ac:dyDescent="0.3">
      <c r="A1109" s="1">
        <v>45675</v>
      </c>
      <c r="B1109" t="s">
        <v>12</v>
      </c>
      <c r="C1109" t="s">
        <v>13</v>
      </c>
      <c r="D1109" t="s">
        <v>11</v>
      </c>
      <c r="E1109">
        <v>177932</v>
      </c>
      <c r="F1109">
        <v>68845</v>
      </c>
      <c r="G1109">
        <v>179884</v>
      </c>
      <c r="H1109">
        <v>3.9</v>
      </c>
      <c r="I1109">
        <v>15</v>
      </c>
      <c r="J1109">
        <f t="shared" si="51"/>
        <v>109087</v>
      </c>
      <c r="K1109" s="2">
        <f t="shared" si="52"/>
        <v>0.98914856240688442</v>
      </c>
      <c r="L1109" s="2">
        <f t="shared" si="53"/>
        <v>0.6130825259087741</v>
      </c>
    </row>
    <row r="1110" spans="1:12" x14ac:dyDescent="0.3">
      <c r="A1110" s="1">
        <v>45910</v>
      </c>
      <c r="B1110" t="s">
        <v>9</v>
      </c>
      <c r="C1110" t="s">
        <v>18</v>
      </c>
      <c r="D1110" t="s">
        <v>14</v>
      </c>
      <c r="E1110">
        <v>71562</v>
      </c>
      <c r="F1110">
        <v>29497</v>
      </c>
      <c r="G1110">
        <v>66192</v>
      </c>
      <c r="H1110">
        <v>3.6</v>
      </c>
      <c r="I1110">
        <v>9</v>
      </c>
      <c r="J1110">
        <f t="shared" si="51"/>
        <v>42065</v>
      </c>
      <c r="K1110" s="2">
        <f t="shared" si="52"/>
        <v>1.0811276287164613</v>
      </c>
      <c r="L1110" s="2">
        <f t="shared" si="53"/>
        <v>0.58781196724518603</v>
      </c>
    </row>
    <row r="1111" spans="1:12" x14ac:dyDescent="0.3">
      <c r="A1111" s="1">
        <v>45898</v>
      </c>
      <c r="B1111" t="s">
        <v>9</v>
      </c>
      <c r="C1111" t="s">
        <v>18</v>
      </c>
      <c r="D1111" t="s">
        <v>17</v>
      </c>
      <c r="E1111">
        <v>441989</v>
      </c>
      <c r="F1111">
        <v>228471</v>
      </c>
      <c r="G1111">
        <v>404439</v>
      </c>
      <c r="H1111">
        <v>4.5</v>
      </c>
      <c r="I1111">
        <v>13</v>
      </c>
      <c r="J1111">
        <f t="shared" si="51"/>
        <v>213518</v>
      </c>
      <c r="K1111" s="2">
        <f t="shared" si="52"/>
        <v>1.09284465642532</v>
      </c>
      <c r="L1111" s="2">
        <f t="shared" si="53"/>
        <v>0.48308442065300267</v>
      </c>
    </row>
    <row r="1112" spans="1:12" x14ac:dyDescent="0.3">
      <c r="A1112" s="1">
        <v>45507</v>
      </c>
      <c r="B1112" t="s">
        <v>12</v>
      </c>
      <c r="C1112" t="s">
        <v>10</v>
      </c>
      <c r="D1112" t="s">
        <v>14</v>
      </c>
      <c r="E1112">
        <v>193206</v>
      </c>
      <c r="F1112">
        <v>94258</v>
      </c>
      <c r="G1112">
        <v>184847</v>
      </c>
      <c r="H1112">
        <v>4.3</v>
      </c>
      <c r="I1112">
        <v>9</v>
      </c>
      <c r="J1112">
        <f t="shared" si="51"/>
        <v>98948</v>
      </c>
      <c r="K1112" s="2">
        <f t="shared" si="52"/>
        <v>1.0452211829242564</v>
      </c>
      <c r="L1112" s="2">
        <f t="shared" si="53"/>
        <v>0.51213730422450654</v>
      </c>
    </row>
    <row r="1113" spans="1:12" x14ac:dyDescent="0.3">
      <c r="A1113" s="1">
        <v>45824</v>
      </c>
      <c r="B1113" t="s">
        <v>9</v>
      </c>
      <c r="C1113" t="s">
        <v>16</v>
      </c>
      <c r="D1113" t="s">
        <v>11</v>
      </c>
      <c r="E1113">
        <v>325315</v>
      </c>
      <c r="F1113">
        <v>178746</v>
      </c>
      <c r="G1113">
        <v>284902</v>
      </c>
      <c r="H1113">
        <v>4.5999999999999996</v>
      </c>
      <c r="I1113">
        <v>2</v>
      </c>
      <c r="J1113">
        <f t="shared" si="51"/>
        <v>146569</v>
      </c>
      <c r="K1113" s="2">
        <f t="shared" si="52"/>
        <v>1.1418487760703682</v>
      </c>
      <c r="L1113" s="2">
        <f t="shared" si="53"/>
        <v>0.45054485652367704</v>
      </c>
    </row>
    <row r="1114" spans="1:12" x14ac:dyDescent="0.3">
      <c r="A1114" s="1">
        <v>45523</v>
      </c>
      <c r="B1114" t="s">
        <v>12</v>
      </c>
      <c r="C1114" t="s">
        <v>10</v>
      </c>
      <c r="D1114" t="s">
        <v>17</v>
      </c>
      <c r="E1114">
        <v>270123</v>
      </c>
      <c r="F1114">
        <v>152202</v>
      </c>
      <c r="G1114">
        <v>274523</v>
      </c>
      <c r="H1114">
        <v>4.3</v>
      </c>
      <c r="I1114">
        <v>4</v>
      </c>
      <c r="J1114">
        <f t="shared" si="51"/>
        <v>117921</v>
      </c>
      <c r="K1114" s="2">
        <f t="shared" si="52"/>
        <v>0.98397219905071709</v>
      </c>
      <c r="L1114" s="2">
        <f t="shared" si="53"/>
        <v>0.43654557368309993</v>
      </c>
    </row>
    <row r="1115" spans="1:12" x14ac:dyDescent="0.3">
      <c r="A1115" s="1">
        <v>45911</v>
      </c>
      <c r="B1115" t="s">
        <v>12</v>
      </c>
      <c r="C1115" t="s">
        <v>16</v>
      </c>
      <c r="D1115" t="s">
        <v>11</v>
      </c>
      <c r="E1115">
        <v>248569</v>
      </c>
      <c r="F1115">
        <v>100198</v>
      </c>
      <c r="G1115">
        <v>227400</v>
      </c>
      <c r="H1115">
        <v>3.8</v>
      </c>
      <c r="I1115">
        <v>7</v>
      </c>
      <c r="J1115">
        <f t="shared" si="51"/>
        <v>148371</v>
      </c>
      <c r="K1115" s="2">
        <f t="shared" si="52"/>
        <v>1.0930914687774846</v>
      </c>
      <c r="L1115" s="2">
        <f t="shared" si="53"/>
        <v>0.59690065937425829</v>
      </c>
    </row>
    <row r="1116" spans="1:12" x14ac:dyDescent="0.3">
      <c r="A1116" s="1">
        <v>45477</v>
      </c>
      <c r="B1116" t="s">
        <v>12</v>
      </c>
      <c r="C1116" t="s">
        <v>18</v>
      </c>
      <c r="D1116" t="s">
        <v>14</v>
      </c>
      <c r="E1116">
        <v>87442</v>
      </c>
      <c r="F1116">
        <v>47287</v>
      </c>
      <c r="G1116">
        <v>80294</v>
      </c>
      <c r="H1116">
        <v>3.9</v>
      </c>
      <c r="I1116">
        <v>2</v>
      </c>
      <c r="J1116">
        <f t="shared" si="51"/>
        <v>40155</v>
      </c>
      <c r="K1116" s="2">
        <f t="shared" si="52"/>
        <v>1.0890228410591078</v>
      </c>
      <c r="L1116" s="2">
        <f t="shared" si="53"/>
        <v>0.45921868209784772</v>
      </c>
    </row>
    <row r="1117" spans="1:12" x14ac:dyDescent="0.3">
      <c r="A1117" s="1">
        <v>45480</v>
      </c>
      <c r="B1117" t="s">
        <v>19</v>
      </c>
      <c r="C1117" t="s">
        <v>16</v>
      </c>
      <c r="D1117" t="s">
        <v>17</v>
      </c>
      <c r="E1117">
        <v>309395</v>
      </c>
      <c r="F1117">
        <v>173180</v>
      </c>
      <c r="G1117">
        <v>322831</v>
      </c>
      <c r="H1117">
        <v>4</v>
      </c>
      <c r="I1117">
        <v>0</v>
      </c>
      <c r="J1117">
        <f t="shared" si="51"/>
        <v>136215</v>
      </c>
      <c r="K1117" s="2">
        <f t="shared" si="52"/>
        <v>0.95838070073815707</v>
      </c>
      <c r="L1117" s="2">
        <f t="shared" si="53"/>
        <v>0.44026244768014999</v>
      </c>
    </row>
    <row r="1118" spans="1:12" x14ac:dyDescent="0.3">
      <c r="A1118" s="1">
        <v>45678</v>
      </c>
      <c r="B1118" t="s">
        <v>12</v>
      </c>
      <c r="C1118" t="s">
        <v>10</v>
      </c>
      <c r="D1118" t="s">
        <v>14</v>
      </c>
      <c r="E1118">
        <v>180646</v>
      </c>
      <c r="F1118">
        <v>74200</v>
      </c>
      <c r="G1118">
        <v>159850</v>
      </c>
      <c r="H1118">
        <v>4.3</v>
      </c>
      <c r="I1118">
        <v>3</v>
      </c>
      <c r="J1118">
        <f t="shared" si="51"/>
        <v>106446</v>
      </c>
      <c r="K1118" s="2">
        <f t="shared" si="52"/>
        <v>1.1300969659055364</v>
      </c>
      <c r="L1118" s="2">
        <f t="shared" si="53"/>
        <v>0.5892519070447173</v>
      </c>
    </row>
    <row r="1119" spans="1:12" x14ac:dyDescent="0.3">
      <c r="A1119" s="1">
        <v>45332</v>
      </c>
      <c r="B1119" t="s">
        <v>15</v>
      </c>
      <c r="C1119" t="s">
        <v>18</v>
      </c>
      <c r="D1119" t="s">
        <v>17</v>
      </c>
      <c r="E1119">
        <v>14695</v>
      </c>
      <c r="F1119">
        <v>4766</v>
      </c>
      <c r="G1119">
        <v>15170</v>
      </c>
      <c r="H1119">
        <v>4.0999999999999996</v>
      </c>
      <c r="I1119">
        <v>12</v>
      </c>
      <c r="J1119">
        <f t="shared" si="51"/>
        <v>9929</v>
      </c>
      <c r="K1119" s="2">
        <f t="shared" si="52"/>
        <v>0.96868820039551751</v>
      </c>
      <c r="L1119" s="2">
        <f t="shared" si="53"/>
        <v>0.67567199727798566</v>
      </c>
    </row>
    <row r="1120" spans="1:12" x14ac:dyDescent="0.3">
      <c r="A1120" s="1">
        <v>45352</v>
      </c>
      <c r="B1120" t="s">
        <v>15</v>
      </c>
      <c r="C1120" t="s">
        <v>18</v>
      </c>
      <c r="D1120" t="s">
        <v>17</v>
      </c>
      <c r="E1120">
        <v>374464</v>
      </c>
      <c r="F1120">
        <v>122021</v>
      </c>
      <c r="G1120">
        <v>359668</v>
      </c>
      <c r="H1120">
        <v>4.0999999999999996</v>
      </c>
      <c r="I1120">
        <v>0</v>
      </c>
      <c r="J1120">
        <f t="shared" si="51"/>
        <v>252443</v>
      </c>
      <c r="K1120" s="2">
        <f t="shared" si="52"/>
        <v>1.0411379383208959</v>
      </c>
      <c r="L1120" s="2">
        <f t="shared" si="53"/>
        <v>0.67414491112630315</v>
      </c>
    </row>
    <row r="1121" spans="1:12" x14ac:dyDescent="0.3">
      <c r="A1121" s="1">
        <v>45624</v>
      </c>
      <c r="B1121" t="s">
        <v>15</v>
      </c>
      <c r="C1121" t="s">
        <v>10</v>
      </c>
      <c r="D1121" t="s">
        <v>11</v>
      </c>
      <c r="E1121">
        <v>152181</v>
      </c>
      <c r="F1121">
        <v>53967</v>
      </c>
      <c r="G1121">
        <v>131105</v>
      </c>
      <c r="H1121">
        <v>4.8</v>
      </c>
      <c r="I1121">
        <v>0</v>
      </c>
      <c r="J1121">
        <f t="shared" si="51"/>
        <v>98214</v>
      </c>
      <c r="K1121" s="2">
        <f t="shared" si="52"/>
        <v>1.1607566454368636</v>
      </c>
      <c r="L1121" s="2">
        <f t="shared" si="53"/>
        <v>0.64537622962130625</v>
      </c>
    </row>
    <row r="1122" spans="1:12" x14ac:dyDescent="0.3">
      <c r="A1122" s="1">
        <v>45403</v>
      </c>
      <c r="B1122" t="s">
        <v>15</v>
      </c>
      <c r="C1122" t="s">
        <v>10</v>
      </c>
      <c r="D1122" t="s">
        <v>14</v>
      </c>
      <c r="E1122">
        <v>466243</v>
      </c>
      <c r="F1122">
        <v>212021</v>
      </c>
      <c r="G1122">
        <v>397426</v>
      </c>
      <c r="H1122">
        <v>3.6</v>
      </c>
      <c r="I1122">
        <v>9</v>
      </c>
      <c r="J1122">
        <f t="shared" si="51"/>
        <v>254222</v>
      </c>
      <c r="K1122" s="2">
        <f t="shared" si="52"/>
        <v>1.1731567637748914</v>
      </c>
      <c r="L1122" s="2">
        <f t="shared" si="53"/>
        <v>0.54525644352837466</v>
      </c>
    </row>
    <row r="1123" spans="1:12" x14ac:dyDescent="0.3">
      <c r="A1123" s="1">
        <v>45855</v>
      </c>
      <c r="B1123" t="s">
        <v>15</v>
      </c>
      <c r="C1123" t="s">
        <v>10</v>
      </c>
      <c r="D1123" t="s">
        <v>11</v>
      </c>
      <c r="E1123">
        <v>469350</v>
      </c>
      <c r="F1123">
        <v>197315</v>
      </c>
      <c r="G1123">
        <v>458211</v>
      </c>
      <c r="H1123">
        <v>4.9000000000000004</v>
      </c>
      <c r="I1123">
        <v>12</v>
      </c>
      <c r="J1123">
        <f t="shared" si="51"/>
        <v>272035</v>
      </c>
      <c r="K1123" s="2">
        <f t="shared" si="52"/>
        <v>1.0243097612235412</v>
      </c>
      <c r="L1123" s="2">
        <f t="shared" si="53"/>
        <v>0.5795994460423991</v>
      </c>
    </row>
    <row r="1124" spans="1:12" x14ac:dyDescent="0.3">
      <c r="A1124" s="1">
        <v>45358</v>
      </c>
      <c r="B1124" t="s">
        <v>19</v>
      </c>
      <c r="C1124" t="s">
        <v>13</v>
      </c>
      <c r="D1124" t="s">
        <v>11</v>
      </c>
      <c r="E1124">
        <v>452263</v>
      </c>
      <c r="F1124">
        <v>230117</v>
      </c>
      <c r="G1124">
        <v>430126</v>
      </c>
      <c r="H1124">
        <v>4.4000000000000004</v>
      </c>
      <c r="I1124">
        <v>14</v>
      </c>
      <c r="J1124">
        <f t="shared" si="51"/>
        <v>222146</v>
      </c>
      <c r="K1124" s="2">
        <f t="shared" si="52"/>
        <v>1.0514663145217913</v>
      </c>
      <c r="L1124" s="2">
        <f t="shared" si="53"/>
        <v>0.49118764966402295</v>
      </c>
    </row>
    <row r="1125" spans="1:12" x14ac:dyDescent="0.3">
      <c r="A1125" s="1">
        <v>45899</v>
      </c>
      <c r="B1125" t="s">
        <v>9</v>
      </c>
      <c r="C1125" t="s">
        <v>10</v>
      </c>
      <c r="D1125" t="s">
        <v>11</v>
      </c>
      <c r="E1125">
        <v>353136</v>
      </c>
      <c r="F1125">
        <v>122847</v>
      </c>
      <c r="G1125">
        <v>401092</v>
      </c>
      <c r="H1125">
        <v>4.0999999999999996</v>
      </c>
      <c r="I1125">
        <v>4</v>
      </c>
      <c r="J1125">
        <f t="shared" si="51"/>
        <v>230289</v>
      </c>
      <c r="K1125" s="2">
        <f t="shared" si="52"/>
        <v>0.88043640860450967</v>
      </c>
      <c r="L1125" s="2">
        <f t="shared" si="53"/>
        <v>0.6521255267092565</v>
      </c>
    </row>
    <row r="1126" spans="1:12" x14ac:dyDescent="0.3">
      <c r="A1126" s="1">
        <v>45423</v>
      </c>
      <c r="B1126" t="s">
        <v>15</v>
      </c>
      <c r="C1126" t="s">
        <v>10</v>
      </c>
      <c r="D1126" t="s">
        <v>14</v>
      </c>
      <c r="E1126">
        <v>105428</v>
      </c>
      <c r="F1126">
        <v>35222</v>
      </c>
      <c r="G1126">
        <v>102739</v>
      </c>
      <c r="H1126">
        <v>4</v>
      </c>
      <c r="I1126">
        <v>9</v>
      </c>
      <c r="J1126">
        <f t="shared" si="51"/>
        <v>70206</v>
      </c>
      <c r="K1126" s="2">
        <f t="shared" si="52"/>
        <v>1.026173118290036</v>
      </c>
      <c r="L1126" s="2">
        <f t="shared" si="53"/>
        <v>0.66591417839663092</v>
      </c>
    </row>
    <row r="1127" spans="1:12" x14ac:dyDescent="0.3">
      <c r="A1127" s="1">
        <v>45765</v>
      </c>
      <c r="B1127" t="s">
        <v>19</v>
      </c>
      <c r="C1127" t="s">
        <v>10</v>
      </c>
      <c r="D1127" t="s">
        <v>14</v>
      </c>
      <c r="E1127">
        <v>331196</v>
      </c>
      <c r="F1127">
        <v>107148</v>
      </c>
      <c r="G1127">
        <v>357987</v>
      </c>
      <c r="H1127">
        <v>4.2</v>
      </c>
      <c r="I1127">
        <v>6</v>
      </c>
      <c r="J1127">
        <f t="shared" si="51"/>
        <v>224048</v>
      </c>
      <c r="K1127" s="2">
        <f t="shared" si="52"/>
        <v>0.92516208689142343</v>
      </c>
      <c r="L1127" s="2">
        <f t="shared" si="53"/>
        <v>0.67648160001932389</v>
      </c>
    </row>
    <row r="1128" spans="1:12" x14ac:dyDescent="0.3">
      <c r="A1128" s="1">
        <v>45791</v>
      </c>
      <c r="B1128" t="s">
        <v>15</v>
      </c>
      <c r="C1128" t="s">
        <v>13</v>
      </c>
      <c r="D1128" t="s">
        <v>14</v>
      </c>
      <c r="E1128">
        <v>484857</v>
      </c>
      <c r="F1128">
        <v>247851</v>
      </c>
      <c r="G1128">
        <v>485701</v>
      </c>
      <c r="H1128">
        <v>4.3</v>
      </c>
      <c r="I1128">
        <v>11</v>
      </c>
      <c r="J1128">
        <f t="shared" si="51"/>
        <v>237006</v>
      </c>
      <c r="K1128" s="2">
        <f t="shared" si="52"/>
        <v>0.99826230541011862</v>
      </c>
      <c r="L1128" s="2">
        <f t="shared" si="53"/>
        <v>0.48881629016390399</v>
      </c>
    </row>
    <row r="1129" spans="1:12" x14ac:dyDescent="0.3">
      <c r="A1129" s="1">
        <v>45763</v>
      </c>
      <c r="B1129" t="s">
        <v>15</v>
      </c>
      <c r="C1129" t="s">
        <v>16</v>
      </c>
      <c r="D1129" t="s">
        <v>14</v>
      </c>
      <c r="E1129">
        <v>67730</v>
      </c>
      <c r="F1129">
        <v>29646</v>
      </c>
      <c r="G1129">
        <v>70584</v>
      </c>
      <c r="H1129">
        <v>3.9</v>
      </c>
      <c r="I1129">
        <v>1</v>
      </c>
      <c r="J1129">
        <f t="shared" si="51"/>
        <v>38084</v>
      </c>
      <c r="K1129" s="2">
        <f t="shared" si="52"/>
        <v>0.95956590728777058</v>
      </c>
      <c r="L1129" s="2">
        <f t="shared" si="53"/>
        <v>0.56229145135095226</v>
      </c>
    </row>
    <row r="1130" spans="1:12" x14ac:dyDescent="0.3">
      <c r="A1130" s="1">
        <v>45930</v>
      </c>
      <c r="B1130" t="s">
        <v>19</v>
      </c>
      <c r="C1130" t="s">
        <v>18</v>
      </c>
      <c r="D1130" t="s">
        <v>14</v>
      </c>
      <c r="E1130">
        <v>418366</v>
      </c>
      <c r="F1130">
        <v>192423</v>
      </c>
      <c r="G1130">
        <v>461094</v>
      </c>
      <c r="H1130">
        <v>4.5999999999999996</v>
      </c>
      <c r="I1130">
        <v>5</v>
      </c>
      <c r="J1130">
        <f t="shared" si="51"/>
        <v>225943</v>
      </c>
      <c r="K1130" s="2">
        <f t="shared" si="52"/>
        <v>0.90733342875856116</v>
      </c>
      <c r="L1130" s="2">
        <f t="shared" si="53"/>
        <v>0.54006061678052231</v>
      </c>
    </row>
    <row r="1131" spans="1:12" x14ac:dyDescent="0.3">
      <c r="A1131" s="1">
        <v>45458</v>
      </c>
      <c r="B1131" t="s">
        <v>9</v>
      </c>
      <c r="C1131" t="s">
        <v>13</v>
      </c>
      <c r="D1131" t="s">
        <v>17</v>
      </c>
      <c r="E1131">
        <v>348916</v>
      </c>
      <c r="F1131">
        <v>184323</v>
      </c>
      <c r="G1131">
        <v>388158</v>
      </c>
      <c r="H1131">
        <v>4.7</v>
      </c>
      <c r="I1131">
        <v>8</v>
      </c>
      <c r="J1131">
        <f t="shared" si="51"/>
        <v>164593</v>
      </c>
      <c r="K1131" s="2">
        <f t="shared" si="52"/>
        <v>0.8989019935181034</v>
      </c>
      <c r="L1131" s="2">
        <f t="shared" si="53"/>
        <v>0.4717267193249951</v>
      </c>
    </row>
    <row r="1132" spans="1:12" x14ac:dyDescent="0.3">
      <c r="A1132" s="1">
        <v>45311</v>
      </c>
      <c r="B1132" t="s">
        <v>15</v>
      </c>
      <c r="C1132" t="s">
        <v>10</v>
      </c>
      <c r="D1132" t="s">
        <v>17</v>
      </c>
      <c r="E1132">
        <v>502488</v>
      </c>
      <c r="F1132">
        <v>164542</v>
      </c>
      <c r="G1132">
        <v>518127</v>
      </c>
      <c r="H1132">
        <v>3.7</v>
      </c>
      <c r="I1132">
        <v>5</v>
      </c>
      <c r="J1132">
        <f t="shared" si="51"/>
        <v>337946</v>
      </c>
      <c r="K1132" s="2">
        <f t="shared" si="52"/>
        <v>0.9698162805644176</v>
      </c>
      <c r="L1132" s="2">
        <f t="shared" si="53"/>
        <v>0.67254541401983725</v>
      </c>
    </row>
    <row r="1133" spans="1:12" x14ac:dyDescent="0.3">
      <c r="A1133" s="1">
        <v>45445</v>
      </c>
      <c r="B1133" t="s">
        <v>9</v>
      </c>
      <c r="C1133" t="s">
        <v>13</v>
      </c>
      <c r="D1133" t="s">
        <v>14</v>
      </c>
      <c r="E1133">
        <v>420334</v>
      </c>
      <c r="F1133">
        <v>198868</v>
      </c>
      <c r="G1133">
        <v>381070</v>
      </c>
      <c r="H1133">
        <v>4.3</v>
      </c>
      <c r="I1133">
        <v>4</v>
      </c>
      <c r="J1133">
        <f t="shared" si="51"/>
        <v>221466</v>
      </c>
      <c r="K1133" s="2">
        <f t="shared" si="52"/>
        <v>1.1030361875770855</v>
      </c>
      <c r="L1133" s="2">
        <f t="shared" si="53"/>
        <v>0.52688100415383954</v>
      </c>
    </row>
    <row r="1134" spans="1:12" x14ac:dyDescent="0.3">
      <c r="A1134" s="1">
        <v>45931</v>
      </c>
      <c r="B1134" t="s">
        <v>15</v>
      </c>
      <c r="C1134" t="s">
        <v>13</v>
      </c>
      <c r="D1134" t="s">
        <v>17</v>
      </c>
      <c r="E1134">
        <v>419442</v>
      </c>
      <c r="F1134">
        <v>166021</v>
      </c>
      <c r="G1134">
        <v>419480</v>
      </c>
      <c r="H1134">
        <v>4.8</v>
      </c>
      <c r="I1134">
        <v>6</v>
      </c>
      <c r="J1134">
        <f t="shared" si="51"/>
        <v>253421</v>
      </c>
      <c r="K1134" s="2">
        <f t="shared" si="52"/>
        <v>0.99990941165252212</v>
      </c>
      <c r="L1134" s="2">
        <f t="shared" si="53"/>
        <v>0.60418603764048429</v>
      </c>
    </row>
    <row r="1135" spans="1:12" x14ac:dyDescent="0.3">
      <c r="A1135" s="1">
        <v>45635</v>
      </c>
      <c r="B1135" t="s">
        <v>9</v>
      </c>
      <c r="C1135" t="s">
        <v>13</v>
      </c>
      <c r="D1135" t="s">
        <v>14</v>
      </c>
      <c r="E1135">
        <v>449650</v>
      </c>
      <c r="F1135">
        <v>274597</v>
      </c>
      <c r="G1135">
        <v>431731</v>
      </c>
      <c r="H1135">
        <v>4.3</v>
      </c>
      <c r="I1135">
        <v>11</v>
      </c>
      <c r="J1135">
        <f t="shared" si="51"/>
        <v>175053</v>
      </c>
      <c r="K1135" s="2">
        <f t="shared" si="52"/>
        <v>1.0415050112222657</v>
      </c>
      <c r="L1135" s="2">
        <f t="shared" si="53"/>
        <v>0.38930946291560103</v>
      </c>
    </row>
    <row r="1136" spans="1:12" x14ac:dyDescent="0.3">
      <c r="A1136" s="1">
        <v>45836</v>
      </c>
      <c r="B1136" t="s">
        <v>15</v>
      </c>
      <c r="C1136" t="s">
        <v>13</v>
      </c>
      <c r="D1136" t="s">
        <v>17</v>
      </c>
      <c r="E1136">
        <v>110931</v>
      </c>
      <c r="F1136">
        <v>52977</v>
      </c>
      <c r="G1136">
        <v>115272</v>
      </c>
      <c r="H1136">
        <v>4.5999999999999996</v>
      </c>
      <c r="I1136">
        <v>12</v>
      </c>
      <c r="J1136">
        <f t="shared" si="51"/>
        <v>57954</v>
      </c>
      <c r="K1136" s="2">
        <f t="shared" si="52"/>
        <v>0.96234124505517382</v>
      </c>
      <c r="L1136" s="2">
        <f t="shared" si="53"/>
        <v>0.52243286367201236</v>
      </c>
    </row>
    <row r="1137" spans="1:12" x14ac:dyDescent="0.3">
      <c r="A1137" s="1">
        <v>45952</v>
      </c>
      <c r="B1137" t="s">
        <v>15</v>
      </c>
      <c r="C1137" t="s">
        <v>10</v>
      </c>
      <c r="D1137" t="s">
        <v>14</v>
      </c>
      <c r="E1137">
        <v>190680</v>
      </c>
      <c r="F1137">
        <v>79982</v>
      </c>
      <c r="G1137">
        <v>185957</v>
      </c>
      <c r="H1137">
        <v>4.5999999999999996</v>
      </c>
      <c r="I1137">
        <v>11</v>
      </c>
      <c r="J1137">
        <f t="shared" si="51"/>
        <v>110698</v>
      </c>
      <c r="K1137" s="2">
        <f t="shared" si="52"/>
        <v>1.0253983447786317</v>
      </c>
      <c r="L1137" s="2">
        <f t="shared" si="53"/>
        <v>0.58054331864904551</v>
      </c>
    </row>
    <row r="1138" spans="1:12" x14ac:dyDescent="0.3">
      <c r="A1138" s="1">
        <v>45414</v>
      </c>
      <c r="B1138" t="s">
        <v>19</v>
      </c>
      <c r="C1138" t="s">
        <v>10</v>
      </c>
      <c r="D1138" t="s">
        <v>17</v>
      </c>
      <c r="E1138">
        <v>122424</v>
      </c>
      <c r="F1138">
        <v>73166</v>
      </c>
      <c r="G1138">
        <v>135284</v>
      </c>
      <c r="H1138">
        <v>5</v>
      </c>
      <c r="I1138">
        <v>6</v>
      </c>
      <c r="J1138">
        <f t="shared" si="51"/>
        <v>49258</v>
      </c>
      <c r="K1138" s="2">
        <f t="shared" si="52"/>
        <v>0.90494071730581593</v>
      </c>
      <c r="L1138" s="2">
        <f t="shared" si="53"/>
        <v>0.40235574723910345</v>
      </c>
    </row>
    <row r="1139" spans="1:12" x14ac:dyDescent="0.3">
      <c r="A1139" s="1">
        <v>45630</v>
      </c>
      <c r="B1139" t="s">
        <v>15</v>
      </c>
      <c r="C1139" t="s">
        <v>10</v>
      </c>
      <c r="D1139" t="s">
        <v>11</v>
      </c>
      <c r="E1139">
        <v>594442</v>
      </c>
      <c r="F1139">
        <v>307105</v>
      </c>
      <c r="G1139">
        <v>536669</v>
      </c>
      <c r="H1139">
        <v>4.7</v>
      </c>
      <c r="I1139">
        <v>4</v>
      </c>
      <c r="J1139">
        <f t="shared" si="51"/>
        <v>287337</v>
      </c>
      <c r="K1139" s="2">
        <f t="shared" si="52"/>
        <v>1.1076510847468366</v>
      </c>
      <c r="L1139" s="2">
        <f t="shared" si="53"/>
        <v>0.483372641906191</v>
      </c>
    </row>
    <row r="1140" spans="1:12" x14ac:dyDescent="0.3">
      <c r="A1140" s="1">
        <v>45386</v>
      </c>
      <c r="B1140" t="s">
        <v>19</v>
      </c>
      <c r="C1140" t="s">
        <v>18</v>
      </c>
      <c r="D1140" t="s">
        <v>17</v>
      </c>
      <c r="E1140">
        <v>252556</v>
      </c>
      <c r="F1140">
        <v>91351</v>
      </c>
      <c r="G1140">
        <v>273131</v>
      </c>
      <c r="H1140">
        <v>4.8</v>
      </c>
      <c r="I1140">
        <v>8</v>
      </c>
      <c r="J1140">
        <f t="shared" si="51"/>
        <v>161205</v>
      </c>
      <c r="K1140" s="2">
        <f t="shared" si="52"/>
        <v>0.92466984706972111</v>
      </c>
      <c r="L1140" s="2">
        <f t="shared" si="53"/>
        <v>0.63829408131265941</v>
      </c>
    </row>
    <row r="1141" spans="1:12" x14ac:dyDescent="0.3">
      <c r="A1141" s="1">
        <v>45716</v>
      </c>
      <c r="B1141" t="s">
        <v>12</v>
      </c>
      <c r="C1141" t="s">
        <v>16</v>
      </c>
      <c r="D1141" t="s">
        <v>11</v>
      </c>
      <c r="E1141">
        <v>209092</v>
      </c>
      <c r="F1141">
        <v>75594</v>
      </c>
      <c r="G1141">
        <v>230457</v>
      </c>
      <c r="H1141">
        <v>4.2</v>
      </c>
      <c r="I1141">
        <v>14</v>
      </c>
      <c r="J1141">
        <f t="shared" si="51"/>
        <v>133498</v>
      </c>
      <c r="K1141" s="2">
        <f t="shared" si="52"/>
        <v>0.90729290062788281</v>
      </c>
      <c r="L1141" s="2">
        <f t="shared" si="53"/>
        <v>0.63846536452853286</v>
      </c>
    </row>
    <row r="1142" spans="1:12" x14ac:dyDescent="0.3">
      <c r="A1142" s="1">
        <v>45832</v>
      </c>
      <c r="B1142" t="s">
        <v>9</v>
      </c>
      <c r="C1142" t="s">
        <v>13</v>
      </c>
      <c r="D1142" t="s">
        <v>14</v>
      </c>
      <c r="E1142">
        <v>54772</v>
      </c>
      <c r="F1142">
        <v>18705</v>
      </c>
      <c r="G1142">
        <v>49669</v>
      </c>
      <c r="H1142">
        <v>4.5</v>
      </c>
      <c r="I1142">
        <v>15</v>
      </c>
      <c r="J1142">
        <f t="shared" si="51"/>
        <v>36067</v>
      </c>
      <c r="K1142" s="2">
        <f t="shared" si="52"/>
        <v>1.1027401397249794</v>
      </c>
      <c r="L1142" s="2">
        <f t="shared" si="53"/>
        <v>0.65849339078361202</v>
      </c>
    </row>
    <row r="1143" spans="1:12" x14ac:dyDescent="0.3">
      <c r="A1143" s="1">
        <v>45559</v>
      </c>
      <c r="B1143" t="s">
        <v>19</v>
      </c>
      <c r="C1143" t="s">
        <v>18</v>
      </c>
      <c r="D1143" t="s">
        <v>11</v>
      </c>
      <c r="E1143">
        <v>39048</v>
      </c>
      <c r="F1143">
        <v>16197</v>
      </c>
      <c r="G1143">
        <v>43612</v>
      </c>
      <c r="H1143">
        <v>4.2</v>
      </c>
      <c r="I1143">
        <v>5</v>
      </c>
      <c r="J1143">
        <f t="shared" si="51"/>
        <v>22851</v>
      </c>
      <c r="K1143" s="2">
        <f t="shared" si="52"/>
        <v>0.89534990369623035</v>
      </c>
      <c r="L1143" s="2">
        <f t="shared" si="53"/>
        <v>0.58520282728948991</v>
      </c>
    </row>
    <row r="1144" spans="1:12" x14ac:dyDescent="0.3">
      <c r="A1144" s="1">
        <v>45320</v>
      </c>
      <c r="B1144" t="s">
        <v>12</v>
      </c>
      <c r="C1144" t="s">
        <v>18</v>
      </c>
      <c r="D1144" t="s">
        <v>14</v>
      </c>
      <c r="E1144">
        <v>322336</v>
      </c>
      <c r="F1144">
        <v>166430</v>
      </c>
      <c r="G1144">
        <v>369100</v>
      </c>
      <c r="H1144">
        <v>4.5</v>
      </c>
      <c r="I1144">
        <v>7</v>
      </c>
      <c r="J1144">
        <f t="shared" si="51"/>
        <v>155906</v>
      </c>
      <c r="K1144" s="2">
        <f t="shared" si="52"/>
        <v>0.87330262801408831</v>
      </c>
      <c r="L1144" s="2">
        <f t="shared" si="53"/>
        <v>0.48367541943810188</v>
      </c>
    </row>
    <row r="1145" spans="1:12" x14ac:dyDescent="0.3">
      <c r="A1145" s="1">
        <v>45314</v>
      </c>
      <c r="B1145" t="s">
        <v>12</v>
      </c>
      <c r="C1145" t="s">
        <v>16</v>
      </c>
      <c r="D1145" t="s">
        <v>17</v>
      </c>
      <c r="E1145">
        <v>110588</v>
      </c>
      <c r="F1145">
        <v>67137</v>
      </c>
      <c r="G1145">
        <v>94792</v>
      </c>
      <c r="H1145">
        <v>4.2</v>
      </c>
      <c r="I1145">
        <v>12</v>
      </c>
      <c r="J1145">
        <f t="shared" si="51"/>
        <v>43451</v>
      </c>
      <c r="K1145" s="2">
        <f t="shared" si="52"/>
        <v>1.1666385348974597</v>
      </c>
      <c r="L1145" s="2">
        <f t="shared" si="53"/>
        <v>0.39290881469960576</v>
      </c>
    </row>
    <row r="1146" spans="1:12" x14ac:dyDescent="0.3">
      <c r="A1146" s="1">
        <v>45844</v>
      </c>
      <c r="B1146" t="s">
        <v>15</v>
      </c>
      <c r="C1146" t="s">
        <v>18</v>
      </c>
      <c r="D1146" t="s">
        <v>14</v>
      </c>
      <c r="E1146">
        <v>202828</v>
      </c>
      <c r="F1146">
        <v>90385</v>
      </c>
      <c r="G1146">
        <v>184582</v>
      </c>
      <c r="H1146">
        <v>4</v>
      </c>
      <c r="I1146">
        <v>0</v>
      </c>
      <c r="J1146">
        <f t="shared" si="51"/>
        <v>112443</v>
      </c>
      <c r="K1146" s="2">
        <f t="shared" si="52"/>
        <v>1.0988503754428927</v>
      </c>
      <c r="L1146" s="2">
        <f t="shared" si="53"/>
        <v>0.55437612164001027</v>
      </c>
    </row>
    <row r="1147" spans="1:12" x14ac:dyDescent="0.3">
      <c r="A1147" s="1">
        <v>45549</v>
      </c>
      <c r="B1147" t="s">
        <v>9</v>
      </c>
      <c r="C1147" t="s">
        <v>13</v>
      </c>
      <c r="D1147" t="s">
        <v>17</v>
      </c>
      <c r="E1147">
        <v>391050</v>
      </c>
      <c r="F1147">
        <v>171755</v>
      </c>
      <c r="G1147">
        <v>427641</v>
      </c>
      <c r="H1147">
        <v>4.7</v>
      </c>
      <c r="I1147">
        <v>5</v>
      </c>
      <c r="J1147">
        <f t="shared" si="51"/>
        <v>219295</v>
      </c>
      <c r="K1147" s="2">
        <f t="shared" si="52"/>
        <v>0.91443523890365985</v>
      </c>
      <c r="L1147" s="2">
        <f t="shared" si="53"/>
        <v>0.56078506584835697</v>
      </c>
    </row>
    <row r="1148" spans="1:12" x14ac:dyDescent="0.3">
      <c r="A1148" s="1">
        <v>45551</v>
      </c>
      <c r="B1148" t="s">
        <v>19</v>
      </c>
      <c r="C1148" t="s">
        <v>10</v>
      </c>
      <c r="D1148" t="s">
        <v>11</v>
      </c>
      <c r="E1148">
        <v>281484</v>
      </c>
      <c r="F1148">
        <v>119156</v>
      </c>
      <c r="G1148">
        <v>242500</v>
      </c>
      <c r="H1148">
        <v>4.4000000000000004</v>
      </c>
      <c r="I1148">
        <v>8</v>
      </c>
      <c r="J1148">
        <f t="shared" si="51"/>
        <v>162328</v>
      </c>
      <c r="K1148" s="2">
        <f t="shared" si="52"/>
        <v>1.1607587628865979</v>
      </c>
      <c r="L1148" s="2">
        <f t="shared" si="53"/>
        <v>0.57668641912151308</v>
      </c>
    </row>
    <row r="1149" spans="1:12" x14ac:dyDescent="0.3">
      <c r="A1149" s="1">
        <v>45872</v>
      </c>
      <c r="B1149" t="s">
        <v>19</v>
      </c>
      <c r="C1149" t="s">
        <v>10</v>
      </c>
      <c r="D1149" t="s">
        <v>17</v>
      </c>
      <c r="E1149">
        <v>402776</v>
      </c>
      <c r="F1149">
        <v>212171</v>
      </c>
      <c r="G1149">
        <v>420031</v>
      </c>
      <c r="H1149">
        <v>4.5</v>
      </c>
      <c r="I1149">
        <v>5</v>
      </c>
      <c r="J1149">
        <f t="shared" si="51"/>
        <v>190605</v>
      </c>
      <c r="K1149" s="2">
        <f t="shared" si="52"/>
        <v>0.95891969878413741</v>
      </c>
      <c r="L1149" s="2">
        <f t="shared" si="53"/>
        <v>0.47322829562833935</v>
      </c>
    </row>
    <row r="1150" spans="1:12" x14ac:dyDescent="0.3">
      <c r="A1150" s="1">
        <v>45584</v>
      </c>
      <c r="B1150" t="s">
        <v>12</v>
      </c>
      <c r="C1150" t="s">
        <v>10</v>
      </c>
      <c r="D1150" t="s">
        <v>14</v>
      </c>
      <c r="E1150">
        <v>226351</v>
      </c>
      <c r="F1150">
        <v>119359</v>
      </c>
      <c r="G1150">
        <v>258558</v>
      </c>
      <c r="H1150">
        <v>5</v>
      </c>
      <c r="I1150">
        <v>12</v>
      </c>
      <c r="J1150">
        <f t="shared" si="51"/>
        <v>106992</v>
      </c>
      <c r="K1150" s="2">
        <f t="shared" si="52"/>
        <v>0.87543607237060928</v>
      </c>
      <c r="L1150" s="2">
        <f t="shared" si="53"/>
        <v>0.47268180834191148</v>
      </c>
    </row>
    <row r="1151" spans="1:12" x14ac:dyDescent="0.3">
      <c r="A1151" s="1">
        <v>45711</v>
      </c>
      <c r="B1151" t="s">
        <v>15</v>
      </c>
      <c r="C1151" t="s">
        <v>16</v>
      </c>
      <c r="D1151" t="s">
        <v>11</v>
      </c>
      <c r="E1151">
        <v>119920</v>
      </c>
      <c r="F1151">
        <v>65228</v>
      </c>
      <c r="G1151">
        <v>135371</v>
      </c>
      <c r="H1151">
        <v>3.8</v>
      </c>
      <c r="I1151">
        <v>12</v>
      </c>
      <c r="J1151">
        <f t="shared" si="51"/>
        <v>54692</v>
      </c>
      <c r="K1151" s="2">
        <f t="shared" si="52"/>
        <v>0.88586181678498344</v>
      </c>
      <c r="L1151" s="2">
        <f t="shared" si="53"/>
        <v>0.45607071380920616</v>
      </c>
    </row>
    <row r="1152" spans="1:12" x14ac:dyDescent="0.3">
      <c r="A1152" s="1">
        <v>45454</v>
      </c>
      <c r="B1152" t="s">
        <v>12</v>
      </c>
      <c r="C1152" t="s">
        <v>13</v>
      </c>
      <c r="D1152" t="s">
        <v>11</v>
      </c>
      <c r="E1152">
        <v>136812</v>
      </c>
      <c r="F1152">
        <v>54119</v>
      </c>
      <c r="G1152">
        <v>146958</v>
      </c>
      <c r="H1152">
        <v>4</v>
      </c>
      <c r="I1152">
        <v>13</v>
      </c>
      <c r="J1152">
        <f t="shared" si="51"/>
        <v>82693</v>
      </c>
      <c r="K1152" s="2">
        <f t="shared" si="52"/>
        <v>0.93095986608418735</v>
      </c>
      <c r="L1152" s="2">
        <f t="shared" si="53"/>
        <v>0.60442797415431393</v>
      </c>
    </row>
    <row r="1153" spans="1:12" x14ac:dyDescent="0.3">
      <c r="A1153" s="1">
        <v>45777</v>
      </c>
      <c r="B1153" t="s">
        <v>9</v>
      </c>
      <c r="C1153" t="s">
        <v>10</v>
      </c>
      <c r="D1153" t="s">
        <v>14</v>
      </c>
      <c r="E1153">
        <v>403545</v>
      </c>
      <c r="F1153">
        <v>144335</v>
      </c>
      <c r="G1153">
        <v>374085</v>
      </c>
      <c r="H1153">
        <v>4.4000000000000004</v>
      </c>
      <c r="I1153">
        <v>11</v>
      </c>
      <c r="J1153">
        <f t="shared" si="51"/>
        <v>259210</v>
      </c>
      <c r="K1153" s="2">
        <f t="shared" si="52"/>
        <v>1.0787521552588315</v>
      </c>
      <c r="L1153" s="2">
        <f t="shared" si="53"/>
        <v>0.64233232972778753</v>
      </c>
    </row>
    <row r="1154" spans="1:12" x14ac:dyDescent="0.3">
      <c r="A1154" s="1">
        <v>45434</v>
      </c>
      <c r="B1154" t="s">
        <v>19</v>
      </c>
      <c r="C1154" t="s">
        <v>10</v>
      </c>
      <c r="D1154" t="s">
        <v>11</v>
      </c>
      <c r="E1154">
        <v>14722</v>
      </c>
      <c r="F1154">
        <v>6141</v>
      </c>
      <c r="G1154">
        <v>14032</v>
      </c>
      <c r="H1154">
        <v>3.9</v>
      </c>
      <c r="I1154">
        <v>12</v>
      </c>
      <c r="J1154">
        <f t="shared" si="51"/>
        <v>8581</v>
      </c>
      <c r="K1154" s="2">
        <f t="shared" si="52"/>
        <v>1.0491733181299887</v>
      </c>
      <c r="L1154" s="2">
        <f t="shared" si="53"/>
        <v>0.58286917538377936</v>
      </c>
    </row>
    <row r="1155" spans="1:12" x14ac:dyDescent="0.3">
      <c r="A1155" s="1">
        <v>45964</v>
      </c>
      <c r="B1155" t="s">
        <v>19</v>
      </c>
      <c r="C1155" t="s">
        <v>10</v>
      </c>
      <c r="D1155" t="s">
        <v>17</v>
      </c>
      <c r="E1155">
        <v>296298</v>
      </c>
      <c r="F1155">
        <v>149752</v>
      </c>
      <c r="G1155">
        <v>256223</v>
      </c>
      <c r="H1155">
        <v>3.5</v>
      </c>
      <c r="I1155">
        <v>6</v>
      </c>
      <c r="J1155">
        <f t="shared" ref="J1155:J1201" si="54">E1155-F1155</f>
        <v>146546</v>
      </c>
      <c r="K1155" s="2">
        <f t="shared" ref="K1155:K1201" si="55">E1155/G1155</f>
        <v>1.1564067238304134</v>
      </c>
      <c r="L1155" s="2">
        <f t="shared" ref="L1155:L1201" si="56">J1155/E1155</f>
        <v>0.49458990610803988</v>
      </c>
    </row>
    <row r="1156" spans="1:12" x14ac:dyDescent="0.3">
      <c r="A1156" s="1">
        <v>45978</v>
      </c>
      <c r="B1156" t="s">
        <v>15</v>
      </c>
      <c r="C1156" t="s">
        <v>13</v>
      </c>
      <c r="D1156" t="s">
        <v>17</v>
      </c>
      <c r="E1156">
        <v>419464</v>
      </c>
      <c r="F1156">
        <v>213923</v>
      </c>
      <c r="G1156">
        <v>411557</v>
      </c>
      <c r="H1156">
        <v>3.9</v>
      </c>
      <c r="I1156">
        <v>4</v>
      </c>
      <c r="J1156">
        <f t="shared" si="54"/>
        <v>205541</v>
      </c>
      <c r="K1156" s="2">
        <f t="shared" si="55"/>
        <v>1.0192124055720106</v>
      </c>
      <c r="L1156" s="2">
        <f t="shared" si="56"/>
        <v>0.49000867774111723</v>
      </c>
    </row>
    <row r="1157" spans="1:12" x14ac:dyDescent="0.3">
      <c r="A1157" s="1">
        <v>45915</v>
      </c>
      <c r="B1157" t="s">
        <v>12</v>
      </c>
      <c r="C1157" t="s">
        <v>10</v>
      </c>
      <c r="D1157" t="s">
        <v>11</v>
      </c>
      <c r="E1157">
        <v>486186</v>
      </c>
      <c r="F1157">
        <v>162049</v>
      </c>
      <c r="G1157">
        <v>475377</v>
      </c>
      <c r="H1157">
        <v>5</v>
      </c>
      <c r="I1157">
        <v>5</v>
      </c>
      <c r="J1157">
        <f t="shared" si="54"/>
        <v>324137</v>
      </c>
      <c r="K1157" s="2">
        <f t="shared" si="55"/>
        <v>1.0227377428861724</v>
      </c>
      <c r="L1157" s="2">
        <f t="shared" si="56"/>
        <v>0.66669340540451594</v>
      </c>
    </row>
    <row r="1158" spans="1:12" x14ac:dyDescent="0.3">
      <c r="A1158" s="1">
        <v>45597</v>
      </c>
      <c r="B1158" t="s">
        <v>9</v>
      </c>
      <c r="C1158" t="s">
        <v>18</v>
      </c>
      <c r="D1158" t="s">
        <v>14</v>
      </c>
      <c r="E1158">
        <v>439351</v>
      </c>
      <c r="F1158">
        <v>178169</v>
      </c>
      <c r="G1158">
        <v>492475</v>
      </c>
      <c r="H1158">
        <v>3.7</v>
      </c>
      <c r="I1158">
        <v>15</v>
      </c>
      <c r="J1158">
        <f t="shared" si="54"/>
        <v>261182</v>
      </c>
      <c r="K1158" s="2">
        <f t="shared" si="55"/>
        <v>0.89212853444337281</v>
      </c>
      <c r="L1158" s="2">
        <f t="shared" si="56"/>
        <v>0.5944723011897094</v>
      </c>
    </row>
    <row r="1159" spans="1:12" x14ac:dyDescent="0.3">
      <c r="A1159" s="1">
        <v>45339</v>
      </c>
      <c r="B1159" t="s">
        <v>12</v>
      </c>
      <c r="C1159" t="s">
        <v>18</v>
      </c>
      <c r="D1159" t="s">
        <v>14</v>
      </c>
      <c r="E1159">
        <v>375750</v>
      </c>
      <c r="F1159">
        <v>165812</v>
      </c>
      <c r="G1159">
        <v>378845</v>
      </c>
      <c r="H1159">
        <v>3.7</v>
      </c>
      <c r="I1159">
        <v>2</v>
      </c>
      <c r="J1159">
        <f t="shared" si="54"/>
        <v>209938</v>
      </c>
      <c r="K1159" s="2">
        <f t="shared" si="55"/>
        <v>0.99183043197085874</v>
      </c>
      <c r="L1159" s="2">
        <f t="shared" si="56"/>
        <v>0.5587172322022621</v>
      </c>
    </row>
    <row r="1160" spans="1:12" x14ac:dyDescent="0.3">
      <c r="A1160" s="1">
        <v>45747</v>
      </c>
      <c r="B1160" t="s">
        <v>19</v>
      </c>
      <c r="C1160" t="s">
        <v>16</v>
      </c>
      <c r="D1160" t="s">
        <v>17</v>
      </c>
      <c r="E1160">
        <v>225375</v>
      </c>
      <c r="F1160">
        <v>98679</v>
      </c>
      <c r="G1160">
        <v>253408</v>
      </c>
      <c r="H1160">
        <v>3.8</v>
      </c>
      <c r="I1160">
        <v>14</v>
      </c>
      <c r="J1160">
        <f t="shared" si="54"/>
        <v>126696</v>
      </c>
      <c r="K1160" s="2">
        <f t="shared" si="55"/>
        <v>0.8893760260133855</v>
      </c>
      <c r="L1160" s="2">
        <f t="shared" si="56"/>
        <v>0.56215640599001659</v>
      </c>
    </row>
    <row r="1161" spans="1:12" x14ac:dyDescent="0.3">
      <c r="A1161" s="1">
        <v>45831</v>
      </c>
      <c r="B1161" t="s">
        <v>9</v>
      </c>
      <c r="C1161" t="s">
        <v>16</v>
      </c>
      <c r="D1161" t="s">
        <v>14</v>
      </c>
      <c r="E1161">
        <v>207687</v>
      </c>
      <c r="F1161">
        <v>78140</v>
      </c>
      <c r="G1161">
        <v>238200</v>
      </c>
      <c r="H1161">
        <v>4.0999999999999996</v>
      </c>
      <c r="I1161">
        <v>9</v>
      </c>
      <c r="J1161">
        <f t="shared" si="54"/>
        <v>129547</v>
      </c>
      <c r="K1161" s="2">
        <f t="shared" si="55"/>
        <v>0.87190176322418134</v>
      </c>
      <c r="L1161" s="2">
        <f t="shared" si="56"/>
        <v>0.62376075536745201</v>
      </c>
    </row>
    <row r="1162" spans="1:12" x14ac:dyDescent="0.3">
      <c r="A1162" s="1">
        <v>45741</v>
      </c>
      <c r="B1162" t="s">
        <v>19</v>
      </c>
      <c r="C1162" t="s">
        <v>13</v>
      </c>
      <c r="D1162" t="s">
        <v>14</v>
      </c>
      <c r="E1162">
        <v>130385</v>
      </c>
      <c r="F1162">
        <v>54668</v>
      </c>
      <c r="G1162">
        <v>117018</v>
      </c>
      <c r="H1162">
        <v>4.5</v>
      </c>
      <c r="I1162">
        <v>9</v>
      </c>
      <c r="J1162">
        <f t="shared" si="54"/>
        <v>75717</v>
      </c>
      <c r="K1162" s="2">
        <f t="shared" si="55"/>
        <v>1.1142302893571929</v>
      </c>
      <c r="L1162" s="2">
        <f t="shared" si="56"/>
        <v>0.58071864094796177</v>
      </c>
    </row>
    <row r="1163" spans="1:12" x14ac:dyDescent="0.3">
      <c r="A1163" s="1">
        <v>45546</v>
      </c>
      <c r="B1163" t="s">
        <v>9</v>
      </c>
      <c r="C1163" t="s">
        <v>16</v>
      </c>
      <c r="D1163" t="s">
        <v>14</v>
      </c>
      <c r="E1163">
        <v>401337</v>
      </c>
      <c r="F1163">
        <v>169803</v>
      </c>
      <c r="G1163">
        <v>456887</v>
      </c>
      <c r="H1163">
        <v>4.4000000000000004</v>
      </c>
      <c r="I1163">
        <v>12</v>
      </c>
      <c r="J1163">
        <f t="shared" si="54"/>
        <v>231534</v>
      </c>
      <c r="K1163" s="2">
        <f t="shared" si="55"/>
        <v>0.87841632613753506</v>
      </c>
      <c r="L1163" s="2">
        <f t="shared" si="56"/>
        <v>0.57690668939071155</v>
      </c>
    </row>
    <row r="1164" spans="1:12" x14ac:dyDescent="0.3">
      <c r="A1164" s="1">
        <v>45629</v>
      </c>
      <c r="B1164" t="s">
        <v>9</v>
      </c>
      <c r="C1164" t="s">
        <v>13</v>
      </c>
      <c r="D1164" t="s">
        <v>11</v>
      </c>
      <c r="E1164">
        <v>100069</v>
      </c>
      <c r="F1164">
        <v>44115</v>
      </c>
      <c r="G1164">
        <v>113165</v>
      </c>
      <c r="H1164">
        <v>4.8</v>
      </c>
      <c r="I1164">
        <v>7</v>
      </c>
      <c r="J1164">
        <f t="shared" si="54"/>
        <v>55954</v>
      </c>
      <c r="K1164" s="2">
        <f t="shared" si="55"/>
        <v>0.88427517341934347</v>
      </c>
      <c r="L1164" s="2">
        <f t="shared" si="56"/>
        <v>0.55915418361330682</v>
      </c>
    </row>
    <row r="1165" spans="1:12" x14ac:dyDescent="0.3">
      <c r="A1165" s="1">
        <v>46002</v>
      </c>
      <c r="B1165" t="s">
        <v>19</v>
      </c>
      <c r="C1165" t="s">
        <v>16</v>
      </c>
      <c r="D1165" t="s">
        <v>17</v>
      </c>
      <c r="E1165">
        <v>502970</v>
      </c>
      <c r="F1165">
        <v>288260</v>
      </c>
      <c r="G1165">
        <v>536018</v>
      </c>
      <c r="H1165">
        <v>4.3</v>
      </c>
      <c r="I1165">
        <v>2</v>
      </c>
      <c r="J1165">
        <f t="shared" si="54"/>
        <v>214710</v>
      </c>
      <c r="K1165" s="2">
        <f t="shared" si="55"/>
        <v>0.93834535407393038</v>
      </c>
      <c r="L1165" s="2">
        <f t="shared" si="56"/>
        <v>0.42688430721514203</v>
      </c>
    </row>
    <row r="1166" spans="1:12" x14ac:dyDescent="0.3">
      <c r="A1166" s="1">
        <v>45832</v>
      </c>
      <c r="B1166" t="s">
        <v>15</v>
      </c>
      <c r="C1166" t="s">
        <v>10</v>
      </c>
      <c r="D1166" t="s">
        <v>14</v>
      </c>
      <c r="E1166">
        <v>428351</v>
      </c>
      <c r="F1166">
        <v>255415</v>
      </c>
      <c r="G1166">
        <v>407924</v>
      </c>
      <c r="H1166">
        <v>4.7</v>
      </c>
      <c r="I1166">
        <v>2</v>
      </c>
      <c r="J1166">
        <f t="shared" si="54"/>
        <v>172936</v>
      </c>
      <c r="K1166" s="2">
        <f t="shared" si="55"/>
        <v>1.0500755042605976</v>
      </c>
      <c r="L1166" s="2">
        <f t="shared" si="56"/>
        <v>0.4037249825493579</v>
      </c>
    </row>
    <row r="1167" spans="1:12" x14ac:dyDescent="0.3">
      <c r="A1167" s="1">
        <v>45966</v>
      </c>
      <c r="B1167" t="s">
        <v>19</v>
      </c>
      <c r="C1167" t="s">
        <v>10</v>
      </c>
      <c r="D1167" t="s">
        <v>17</v>
      </c>
      <c r="E1167">
        <v>256337</v>
      </c>
      <c r="F1167">
        <v>153995</v>
      </c>
      <c r="G1167">
        <v>285498</v>
      </c>
      <c r="H1167">
        <v>3.5</v>
      </c>
      <c r="I1167">
        <v>5</v>
      </c>
      <c r="J1167">
        <f t="shared" si="54"/>
        <v>102342</v>
      </c>
      <c r="K1167" s="2">
        <f t="shared" si="55"/>
        <v>0.89785917939880489</v>
      </c>
      <c r="L1167" s="2">
        <f t="shared" si="56"/>
        <v>0.39924786511506338</v>
      </c>
    </row>
    <row r="1168" spans="1:12" x14ac:dyDescent="0.3">
      <c r="A1168" s="1">
        <v>45331</v>
      </c>
      <c r="B1168" t="s">
        <v>12</v>
      </c>
      <c r="C1168" t="s">
        <v>16</v>
      </c>
      <c r="D1168" t="s">
        <v>11</v>
      </c>
      <c r="E1168">
        <v>76770</v>
      </c>
      <c r="F1168">
        <v>26772</v>
      </c>
      <c r="G1168">
        <v>65816</v>
      </c>
      <c r="H1168">
        <v>4.4000000000000004</v>
      </c>
      <c r="I1168">
        <v>13</v>
      </c>
      <c r="J1168">
        <f t="shared" si="54"/>
        <v>49998</v>
      </c>
      <c r="K1168" s="2">
        <f t="shared" si="55"/>
        <v>1.1664336939346056</v>
      </c>
      <c r="L1168" s="2">
        <f t="shared" si="56"/>
        <v>0.65127002735443529</v>
      </c>
    </row>
    <row r="1169" spans="1:12" x14ac:dyDescent="0.3">
      <c r="A1169" s="1">
        <v>45672</v>
      </c>
      <c r="B1169" t="s">
        <v>9</v>
      </c>
      <c r="C1169" t="s">
        <v>10</v>
      </c>
      <c r="D1169" t="s">
        <v>17</v>
      </c>
      <c r="E1169">
        <v>191762</v>
      </c>
      <c r="F1169">
        <v>77061</v>
      </c>
      <c r="G1169">
        <v>163038</v>
      </c>
      <c r="H1169">
        <v>4.9000000000000004</v>
      </c>
      <c r="I1169">
        <v>10</v>
      </c>
      <c r="J1169">
        <f t="shared" si="54"/>
        <v>114701</v>
      </c>
      <c r="K1169" s="2">
        <f t="shared" si="55"/>
        <v>1.1761797863074865</v>
      </c>
      <c r="L1169" s="2">
        <f t="shared" si="56"/>
        <v>0.59814248912714718</v>
      </c>
    </row>
    <row r="1170" spans="1:12" x14ac:dyDescent="0.3">
      <c r="A1170" s="1">
        <v>45730</v>
      </c>
      <c r="B1170" t="s">
        <v>19</v>
      </c>
      <c r="C1170" t="s">
        <v>13</v>
      </c>
      <c r="D1170" t="s">
        <v>11</v>
      </c>
      <c r="E1170">
        <v>206349</v>
      </c>
      <c r="F1170">
        <v>121468</v>
      </c>
      <c r="G1170">
        <v>183014</v>
      </c>
      <c r="H1170">
        <v>5</v>
      </c>
      <c r="I1170">
        <v>0</v>
      </c>
      <c r="J1170">
        <f t="shared" si="54"/>
        <v>84881</v>
      </c>
      <c r="K1170" s="2">
        <f t="shared" si="55"/>
        <v>1.1275039068049439</v>
      </c>
      <c r="L1170" s="2">
        <f t="shared" si="56"/>
        <v>0.4113467959621806</v>
      </c>
    </row>
    <row r="1171" spans="1:12" x14ac:dyDescent="0.3">
      <c r="A1171" s="1">
        <v>45466</v>
      </c>
      <c r="B1171" t="s">
        <v>9</v>
      </c>
      <c r="C1171" t="s">
        <v>10</v>
      </c>
      <c r="D1171" t="s">
        <v>14</v>
      </c>
      <c r="E1171">
        <v>490926</v>
      </c>
      <c r="F1171">
        <v>268887</v>
      </c>
      <c r="G1171">
        <v>491876</v>
      </c>
      <c r="H1171">
        <v>4.8</v>
      </c>
      <c r="I1171">
        <v>11</v>
      </c>
      <c r="J1171">
        <f t="shared" si="54"/>
        <v>222039</v>
      </c>
      <c r="K1171" s="2">
        <f t="shared" si="55"/>
        <v>0.9980686189202157</v>
      </c>
      <c r="L1171" s="2">
        <f t="shared" si="56"/>
        <v>0.45228608792363817</v>
      </c>
    </row>
    <row r="1172" spans="1:12" x14ac:dyDescent="0.3">
      <c r="A1172" s="1">
        <v>45668</v>
      </c>
      <c r="B1172" t="s">
        <v>12</v>
      </c>
      <c r="C1172" t="s">
        <v>10</v>
      </c>
      <c r="D1172" t="s">
        <v>11</v>
      </c>
      <c r="E1172">
        <v>15947</v>
      </c>
      <c r="F1172">
        <v>7535</v>
      </c>
      <c r="G1172">
        <v>14654</v>
      </c>
      <c r="H1172">
        <v>4.3</v>
      </c>
      <c r="I1172">
        <v>1</v>
      </c>
      <c r="J1172">
        <f t="shared" si="54"/>
        <v>8412</v>
      </c>
      <c r="K1172" s="2">
        <f t="shared" si="55"/>
        <v>1.088235294117647</v>
      </c>
      <c r="L1172" s="2">
        <f t="shared" si="56"/>
        <v>0.52749733492192885</v>
      </c>
    </row>
    <row r="1173" spans="1:12" x14ac:dyDescent="0.3">
      <c r="A1173" s="1">
        <v>45644</v>
      </c>
      <c r="B1173" t="s">
        <v>12</v>
      </c>
      <c r="C1173" t="s">
        <v>10</v>
      </c>
      <c r="D1173" t="s">
        <v>11</v>
      </c>
      <c r="E1173">
        <v>185388</v>
      </c>
      <c r="F1173">
        <v>96711</v>
      </c>
      <c r="G1173">
        <v>178777</v>
      </c>
      <c r="H1173">
        <v>4.0999999999999996</v>
      </c>
      <c r="I1173">
        <v>14</v>
      </c>
      <c r="J1173">
        <f t="shared" si="54"/>
        <v>88677</v>
      </c>
      <c r="K1173" s="2">
        <f t="shared" si="55"/>
        <v>1.0369790297409622</v>
      </c>
      <c r="L1173" s="2">
        <f t="shared" si="56"/>
        <v>0.47833193086931192</v>
      </c>
    </row>
    <row r="1174" spans="1:12" x14ac:dyDescent="0.3">
      <c r="A1174" s="1">
        <v>45857</v>
      </c>
      <c r="B1174" t="s">
        <v>19</v>
      </c>
      <c r="C1174" t="s">
        <v>18</v>
      </c>
      <c r="D1174" t="s">
        <v>17</v>
      </c>
      <c r="E1174">
        <v>85851</v>
      </c>
      <c r="F1174">
        <v>47109</v>
      </c>
      <c r="G1174">
        <v>84224</v>
      </c>
      <c r="H1174">
        <v>4.0999999999999996</v>
      </c>
      <c r="I1174">
        <v>2</v>
      </c>
      <c r="J1174">
        <f t="shared" si="54"/>
        <v>38742</v>
      </c>
      <c r="K1174" s="2">
        <f t="shared" si="55"/>
        <v>1.0193175341945289</v>
      </c>
      <c r="L1174" s="2">
        <f t="shared" si="56"/>
        <v>0.45127022399273159</v>
      </c>
    </row>
    <row r="1175" spans="1:12" x14ac:dyDescent="0.3">
      <c r="A1175" s="1">
        <v>45723</v>
      </c>
      <c r="B1175" t="s">
        <v>9</v>
      </c>
      <c r="C1175" t="s">
        <v>13</v>
      </c>
      <c r="D1175" t="s">
        <v>17</v>
      </c>
      <c r="E1175">
        <v>83438</v>
      </c>
      <c r="F1175">
        <v>49668</v>
      </c>
      <c r="G1175">
        <v>84144</v>
      </c>
      <c r="H1175">
        <v>4.5</v>
      </c>
      <c r="I1175">
        <v>3</v>
      </c>
      <c r="J1175">
        <f t="shared" si="54"/>
        <v>33770</v>
      </c>
      <c r="K1175" s="2">
        <f t="shared" si="55"/>
        <v>0.99160962160106481</v>
      </c>
      <c r="L1175" s="2">
        <f t="shared" si="56"/>
        <v>0.4047316570387593</v>
      </c>
    </row>
    <row r="1176" spans="1:12" x14ac:dyDescent="0.3">
      <c r="A1176" s="1">
        <v>45377</v>
      </c>
      <c r="B1176" t="s">
        <v>15</v>
      </c>
      <c r="C1176" t="s">
        <v>13</v>
      </c>
      <c r="D1176" t="s">
        <v>14</v>
      </c>
      <c r="E1176">
        <v>71821</v>
      </c>
      <c r="F1176">
        <v>39862</v>
      </c>
      <c r="G1176">
        <v>76776</v>
      </c>
      <c r="H1176">
        <v>3.7</v>
      </c>
      <c r="I1176">
        <v>13</v>
      </c>
      <c r="J1176">
        <f t="shared" si="54"/>
        <v>31959</v>
      </c>
      <c r="K1176" s="2">
        <f t="shared" si="55"/>
        <v>0.93546160258414091</v>
      </c>
      <c r="L1176" s="2">
        <f t="shared" si="56"/>
        <v>0.44498127288676015</v>
      </c>
    </row>
    <row r="1177" spans="1:12" x14ac:dyDescent="0.3">
      <c r="A1177" s="1">
        <v>45914</v>
      </c>
      <c r="B1177" t="s">
        <v>19</v>
      </c>
      <c r="C1177" t="s">
        <v>13</v>
      </c>
      <c r="D1177" t="s">
        <v>11</v>
      </c>
      <c r="E1177">
        <v>415429</v>
      </c>
      <c r="F1177">
        <v>257567</v>
      </c>
      <c r="G1177">
        <v>466874</v>
      </c>
      <c r="H1177">
        <v>3.7</v>
      </c>
      <c r="I1177">
        <v>15</v>
      </c>
      <c r="J1177">
        <f t="shared" si="54"/>
        <v>157862</v>
      </c>
      <c r="K1177" s="2">
        <f t="shared" si="55"/>
        <v>0.88980967027506352</v>
      </c>
      <c r="L1177" s="2">
        <f t="shared" si="56"/>
        <v>0.37999754470679709</v>
      </c>
    </row>
    <row r="1178" spans="1:12" x14ac:dyDescent="0.3">
      <c r="A1178" s="1">
        <v>45589</v>
      </c>
      <c r="B1178" t="s">
        <v>19</v>
      </c>
      <c r="C1178" t="s">
        <v>18</v>
      </c>
      <c r="D1178" t="s">
        <v>11</v>
      </c>
      <c r="E1178">
        <v>29515</v>
      </c>
      <c r="F1178">
        <v>13586</v>
      </c>
      <c r="G1178">
        <v>26285</v>
      </c>
      <c r="H1178">
        <v>4.4000000000000004</v>
      </c>
      <c r="I1178">
        <v>7</v>
      </c>
      <c r="J1178">
        <f t="shared" si="54"/>
        <v>15929</v>
      </c>
      <c r="K1178" s="2">
        <f t="shared" si="55"/>
        <v>1.1228837740155984</v>
      </c>
      <c r="L1178" s="2">
        <f t="shared" si="56"/>
        <v>0.53969168219549379</v>
      </c>
    </row>
    <row r="1179" spans="1:12" x14ac:dyDescent="0.3">
      <c r="A1179" s="1">
        <v>45986</v>
      </c>
      <c r="B1179" t="s">
        <v>19</v>
      </c>
      <c r="C1179" t="s">
        <v>13</v>
      </c>
      <c r="D1179" t="s">
        <v>14</v>
      </c>
      <c r="E1179">
        <v>299258</v>
      </c>
      <c r="F1179">
        <v>148786</v>
      </c>
      <c r="G1179">
        <v>280394</v>
      </c>
      <c r="H1179">
        <v>3.5</v>
      </c>
      <c r="I1179">
        <v>10</v>
      </c>
      <c r="J1179">
        <f t="shared" si="54"/>
        <v>150472</v>
      </c>
      <c r="K1179" s="2">
        <f t="shared" si="55"/>
        <v>1.0672767605583571</v>
      </c>
      <c r="L1179" s="2">
        <f t="shared" si="56"/>
        <v>0.50281696729911984</v>
      </c>
    </row>
    <row r="1180" spans="1:12" x14ac:dyDescent="0.3">
      <c r="A1180" s="1">
        <v>45987</v>
      </c>
      <c r="B1180" t="s">
        <v>9</v>
      </c>
      <c r="C1180" t="s">
        <v>10</v>
      </c>
      <c r="D1180" t="s">
        <v>17</v>
      </c>
      <c r="E1180">
        <v>76267</v>
      </c>
      <c r="F1180">
        <v>43862</v>
      </c>
      <c r="G1180">
        <v>74666</v>
      </c>
      <c r="H1180">
        <v>5</v>
      </c>
      <c r="I1180">
        <v>15</v>
      </c>
      <c r="J1180">
        <f t="shared" si="54"/>
        <v>32405</v>
      </c>
      <c r="K1180" s="2">
        <f t="shared" si="55"/>
        <v>1.0214421557335334</v>
      </c>
      <c r="L1180" s="2">
        <f t="shared" si="56"/>
        <v>0.42488887723392815</v>
      </c>
    </row>
    <row r="1181" spans="1:12" x14ac:dyDescent="0.3">
      <c r="A1181" s="1">
        <v>45748</v>
      </c>
      <c r="B1181" t="s">
        <v>12</v>
      </c>
      <c r="C1181" t="s">
        <v>16</v>
      </c>
      <c r="D1181" t="s">
        <v>11</v>
      </c>
      <c r="E1181">
        <v>62870</v>
      </c>
      <c r="F1181">
        <v>32526</v>
      </c>
      <c r="G1181">
        <v>64960</v>
      </c>
      <c r="H1181">
        <v>4.8</v>
      </c>
      <c r="I1181">
        <v>8</v>
      </c>
      <c r="J1181">
        <f t="shared" si="54"/>
        <v>30344</v>
      </c>
      <c r="K1181" s="2">
        <f t="shared" si="55"/>
        <v>0.96782635467980294</v>
      </c>
      <c r="L1181" s="2">
        <f t="shared" si="56"/>
        <v>0.48264673135040559</v>
      </c>
    </row>
    <row r="1182" spans="1:12" x14ac:dyDescent="0.3">
      <c r="A1182" s="1">
        <v>45512</v>
      </c>
      <c r="B1182" t="s">
        <v>15</v>
      </c>
      <c r="C1182" t="s">
        <v>13</v>
      </c>
      <c r="D1182" t="s">
        <v>17</v>
      </c>
      <c r="E1182">
        <v>33555</v>
      </c>
      <c r="F1182">
        <v>19924</v>
      </c>
      <c r="G1182">
        <v>33124</v>
      </c>
      <c r="H1182">
        <v>4.3</v>
      </c>
      <c r="I1182">
        <v>5</v>
      </c>
      <c r="J1182">
        <f t="shared" si="54"/>
        <v>13631</v>
      </c>
      <c r="K1182" s="2">
        <f t="shared" si="55"/>
        <v>1.013011713561164</v>
      </c>
      <c r="L1182" s="2">
        <f t="shared" si="56"/>
        <v>0.40622857994337652</v>
      </c>
    </row>
    <row r="1183" spans="1:12" x14ac:dyDescent="0.3">
      <c r="A1183" s="1">
        <v>45383</v>
      </c>
      <c r="B1183" t="s">
        <v>12</v>
      </c>
      <c r="C1183" t="s">
        <v>18</v>
      </c>
      <c r="D1183" t="s">
        <v>14</v>
      </c>
      <c r="E1183">
        <v>79109</v>
      </c>
      <c r="F1183">
        <v>42796</v>
      </c>
      <c r="G1183">
        <v>76595</v>
      </c>
      <c r="H1183">
        <v>4</v>
      </c>
      <c r="I1183">
        <v>2</v>
      </c>
      <c r="J1183">
        <f t="shared" si="54"/>
        <v>36313</v>
      </c>
      <c r="K1183" s="2">
        <f t="shared" si="55"/>
        <v>1.0328219857693062</v>
      </c>
      <c r="L1183" s="2">
        <f t="shared" si="56"/>
        <v>0.45902488970913552</v>
      </c>
    </row>
    <row r="1184" spans="1:12" x14ac:dyDescent="0.3">
      <c r="A1184" s="1">
        <v>45532</v>
      </c>
      <c r="B1184" t="s">
        <v>19</v>
      </c>
      <c r="C1184" t="s">
        <v>18</v>
      </c>
      <c r="D1184" t="s">
        <v>11</v>
      </c>
      <c r="E1184">
        <v>38834</v>
      </c>
      <c r="F1184">
        <v>15287</v>
      </c>
      <c r="G1184">
        <v>38636</v>
      </c>
      <c r="H1184">
        <v>4.8</v>
      </c>
      <c r="I1184">
        <v>3</v>
      </c>
      <c r="J1184">
        <f t="shared" si="54"/>
        <v>23547</v>
      </c>
      <c r="K1184" s="2">
        <f t="shared" si="55"/>
        <v>1.0051247541153328</v>
      </c>
      <c r="L1184" s="2">
        <f t="shared" si="56"/>
        <v>0.60635010557758662</v>
      </c>
    </row>
    <row r="1185" spans="1:12" x14ac:dyDescent="0.3">
      <c r="A1185" s="1">
        <v>45824</v>
      </c>
      <c r="B1185" t="s">
        <v>9</v>
      </c>
      <c r="C1185" t="s">
        <v>18</v>
      </c>
      <c r="D1185" t="s">
        <v>17</v>
      </c>
      <c r="E1185">
        <v>401776</v>
      </c>
      <c r="F1185">
        <v>148453</v>
      </c>
      <c r="G1185">
        <v>432993</v>
      </c>
      <c r="H1185">
        <v>4.2</v>
      </c>
      <c r="I1185">
        <v>2</v>
      </c>
      <c r="J1185">
        <f t="shared" si="54"/>
        <v>253323</v>
      </c>
      <c r="K1185" s="2">
        <f t="shared" si="55"/>
        <v>0.92790414625640594</v>
      </c>
      <c r="L1185" s="2">
        <f t="shared" si="56"/>
        <v>0.63050804428338181</v>
      </c>
    </row>
    <row r="1186" spans="1:12" x14ac:dyDescent="0.3">
      <c r="A1186" s="1">
        <v>45996</v>
      </c>
      <c r="B1186" t="s">
        <v>12</v>
      </c>
      <c r="C1186" t="s">
        <v>10</v>
      </c>
      <c r="D1186" t="s">
        <v>14</v>
      </c>
      <c r="E1186">
        <v>280480</v>
      </c>
      <c r="F1186">
        <v>164284</v>
      </c>
      <c r="G1186">
        <v>306200</v>
      </c>
      <c r="H1186">
        <v>4.5</v>
      </c>
      <c r="I1186">
        <v>6</v>
      </c>
      <c r="J1186">
        <f t="shared" si="54"/>
        <v>116196</v>
      </c>
      <c r="K1186" s="2">
        <f t="shared" si="55"/>
        <v>0.91600261267145655</v>
      </c>
      <c r="L1186" s="2">
        <f t="shared" si="56"/>
        <v>0.41427552766685682</v>
      </c>
    </row>
    <row r="1187" spans="1:12" x14ac:dyDescent="0.3">
      <c r="A1187" s="1">
        <v>45430</v>
      </c>
      <c r="B1187" t="s">
        <v>12</v>
      </c>
      <c r="C1187" t="s">
        <v>18</v>
      </c>
      <c r="D1187" t="s">
        <v>14</v>
      </c>
      <c r="E1187">
        <v>174486</v>
      </c>
      <c r="F1187">
        <v>72811</v>
      </c>
      <c r="G1187">
        <v>188565</v>
      </c>
      <c r="H1187">
        <v>4.2</v>
      </c>
      <c r="I1187">
        <v>0</v>
      </c>
      <c r="J1187">
        <f t="shared" si="54"/>
        <v>101675</v>
      </c>
      <c r="K1187" s="2">
        <f t="shared" si="55"/>
        <v>0.92533609100310232</v>
      </c>
      <c r="L1187" s="2">
        <f t="shared" si="56"/>
        <v>0.58271150694038487</v>
      </c>
    </row>
    <row r="1188" spans="1:12" x14ac:dyDescent="0.3">
      <c r="A1188" s="1">
        <v>45720</v>
      </c>
      <c r="B1188" t="s">
        <v>12</v>
      </c>
      <c r="C1188" t="s">
        <v>10</v>
      </c>
      <c r="D1188" t="s">
        <v>17</v>
      </c>
      <c r="E1188">
        <v>52464</v>
      </c>
      <c r="F1188">
        <v>20900</v>
      </c>
      <c r="G1188">
        <v>47403</v>
      </c>
      <c r="H1188">
        <v>3.6</v>
      </c>
      <c r="I1188">
        <v>6</v>
      </c>
      <c r="J1188">
        <f t="shared" si="54"/>
        <v>31564</v>
      </c>
      <c r="K1188" s="2">
        <f t="shared" si="55"/>
        <v>1.1067653945952787</v>
      </c>
      <c r="L1188" s="2">
        <f t="shared" si="56"/>
        <v>0.60163159499847518</v>
      </c>
    </row>
    <row r="1189" spans="1:12" x14ac:dyDescent="0.3">
      <c r="A1189" s="1">
        <v>45342</v>
      </c>
      <c r="B1189" t="s">
        <v>19</v>
      </c>
      <c r="C1189" t="s">
        <v>13</v>
      </c>
      <c r="D1189" t="s">
        <v>11</v>
      </c>
      <c r="E1189">
        <v>332176</v>
      </c>
      <c r="F1189">
        <v>113920</v>
      </c>
      <c r="G1189">
        <v>359333</v>
      </c>
      <c r="H1189">
        <v>3.8</v>
      </c>
      <c r="I1189">
        <v>1</v>
      </c>
      <c r="J1189">
        <f t="shared" si="54"/>
        <v>218256</v>
      </c>
      <c r="K1189" s="2">
        <f t="shared" si="55"/>
        <v>0.92442386310191382</v>
      </c>
      <c r="L1189" s="2">
        <f t="shared" si="56"/>
        <v>0.65704927508308852</v>
      </c>
    </row>
    <row r="1190" spans="1:12" x14ac:dyDescent="0.3">
      <c r="A1190" s="1">
        <v>45433</v>
      </c>
      <c r="B1190" t="s">
        <v>9</v>
      </c>
      <c r="C1190" t="s">
        <v>10</v>
      </c>
      <c r="D1190" t="s">
        <v>11</v>
      </c>
      <c r="E1190">
        <v>195964</v>
      </c>
      <c r="F1190">
        <v>102065</v>
      </c>
      <c r="G1190">
        <v>182002</v>
      </c>
      <c r="H1190">
        <v>3.7</v>
      </c>
      <c r="I1190">
        <v>11</v>
      </c>
      <c r="J1190">
        <f t="shared" si="54"/>
        <v>93899</v>
      </c>
      <c r="K1190" s="2">
        <f t="shared" si="55"/>
        <v>1.0767134427094207</v>
      </c>
      <c r="L1190" s="2">
        <f t="shared" si="56"/>
        <v>0.47916454042579248</v>
      </c>
    </row>
    <row r="1191" spans="1:12" x14ac:dyDescent="0.3">
      <c r="A1191" s="1">
        <v>45418</v>
      </c>
      <c r="B1191" t="s">
        <v>19</v>
      </c>
      <c r="C1191" t="s">
        <v>10</v>
      </c>
      <c r="D1191" t="s">
        <v>14</v>
      </c>
      <c r="E1191">
        <v>379605</v>
      </c>
      <c r="F1191">
        <v>184257</v>
      </c>
      <c r="G1191">
        <v>364061</v>
      </c>
      <c r="H1191">
        <v>4.5</v>
      </c>
      <c r="I1191">
        <v>14</v>
      </c>
      <c r="J1191">
        <f t="shared" si="54"/>
        <v>195348</v>
      </c>
      <c r="K1191" s="2">
        <f t="shared" si="55"/>
        <v>1.0426961415806693</v>
      </c>
      <c r="L1191" s="2">
        <f t="shared" si="56"/>
        <v>0.51460860631445848</v>
      </c>
    </row>
    <row r="1192" spans="1:12" x14ac:dyDescent="0.3">
      <c r="A1192" s="1">
        <v>45396</v>
      </c>
      <c r="B1192" t="s">
        <v>19</v>
      </c>
      <c r="C1192" t="s">
        <v>10</v>
      </c>
      <c r="D1192" t="s">
        <v>14</v>
      </c>
      <c r="E1192">
        <v>272640</v>
      </c>
      <c r="F1192">
        <v>155879</v>
      </c>
      <c r="G1192">
        <v>282859</v>
      </c>
      <c r="H1192">
        <v>4.5999999999999996</v>
      </c>
      <c r="I1192">
        <v>7</v>
      </c>
      <c r="J1192">
        <f t="shared" si="54"/>
        <v>116761</v>
      </c>
      <c r="K1192" s="2">
        <f t="shared" si="55"/>
        <v>0.96387245942324618</v>
      </c>
      <c r="L1192" s="2">
        <f t="shared" si="56"/>
        <v>0.42826071009389671</v>
      </c>
    </row>
    <row r="1193" spans="1:12" x14ac:dyDescent="0.3">
      <c r="A1193" s="1">
        <v>45602</v>
      </c>
      <c r="B1193" t="s">
        <v>12</v>
      </c>
      <c r="C1193" t="s">
        <v>10</v>
      </c>
      <c r="D1193" t="s">
        <v>17</v>
      </c>
      <c r="E1193">
        <v>78259</v>
      </c>
      <c r="F1193">
        <v>45783</v>
      </c>
      <c r="G1193">
        <v>80677</v>
      </c>
      <c r="H1193">
        <v>3.6</v>
      </c>
      <c r="I1193">
        <v>2</v>
      </c>
      <c r="J1193">
        <f t="shared" si="54"/>
        <v>32476</v>
      </c>
      <c r="K1193" s="2">
        <f t="shared" si="55"/>
        <v>0.97002863269581174</v>
      </c>
      <c r="L1193" s="2">
        <f t="shared" si="56"/>
        <v>0.4149810245466975</v>
      </c>
    </row>
    <row r="1194" spans="1:12" x14ac:dyDescent="0.3">
      <c r="A1194" s="1">
        <v>45934</v>
      </c>
      <c r="B1194" t="s">
        <v>15</v>
      </c>
      <c r="C1194" t="s">
        <v>18</v>
      </c>
      <c r="D1194" t="s">
        <v>17</v>
      </c>
      <c r="E1194">
        <v>210798</v>
      </c>
      <c r="F1194">
        <v>116525</v>
      </c>
      <c r="G1194">
        <v>227449</v>
      </c>
      <c r="H1194">
        <v>4.4000000000000004</v>
      </c>
      <c r="I1194">
        <v>13</v>
      </c>
      <c r="J1194">
        <f t="shared" si="54"/>
        <v>94273</v>
      </c>
      <c r="K1194" s="2">
        <f t="shared" si="55"/>
        <v>0.92679237983020368</v>
      </c>
      <c r="L1194" s="2">
        <f t="shared" si="56"/>
        <v>0.44721961308930824</v>
      </c>
    </row>
    <row r="1195" spans="1:12" x14ac:dyDescent="0.3">
      <c r="A1195" s="1">
        <v>45827</v>
      </c>
      <c r="B1195" t="s">
        <v>9</v>
      </c>
      <c r="C1195" t="s">
        <v>18</v>
      </c>
      <c r="D1195" t="s">
        <v>14</v>
      </c>
      <c r="E1195">
        <v>429627</v>
      </c>
      <c r="F1195">
        <v>257841</v>
      </c>
      <c r="G1195">
        <v>453900</v>
      </c>
      <c r="H1195">
        <v>4.4000000000000004</v>
      </c>
      <c r="I1195">
        <v>4</v>
      </c>
      <c r="J1195">
        <f t="shared" si="54"/>
        <v>171786</v>
      </c>
      <c r="K1195" s="2">
        <f t="shared" si="55"/>
        <v>0.94652346331791148</v>
      </c>
      <c r="L1195" s="2">
        <f t="shared" si="56"/>
        <v>0.3998491714906186</v>
      </c>
    </row>
    <row r="1196" spans="1:12" x14ac:dyDescent="0.3">
      <c r="A1196" s="1">
        <v>45502</v>
      </c>
      <c r="B1196" t="s">
        <v>15</v>
      </c>
      <c r="C1196" t="s">
        <v>10</v>
      </c>
      <c r="D1196" t="s">
        <v>11</v>
      </c>
      <c r="E1196">
        <v>170477</v>
      </c>
      <c r="F1196">
        <v>105750</v>
      </c>
      <c r="G1196">
        <v>146741</v>
      </c>
      <c r="H1196">
        <v>4.9000000000000004</v>
      </c>
      <c r="I1196">
        <v>13</v>
      </c>
      <c r="J1196">
        <f t="shared" si="54"/>
        <v>64727</v>
      </c>
      <c r="K1196" s="2">
        <f t="shared" si="55"/>
        <v>1.1617543835737796</v>
      </c>
      <c r="L1196" s="2">
        <f t="shared" si="56"/>
        <v>0.3796817165952005</v>
      </c>
    </row>
    <row r="1197" spans="1:12" x14ac:dyDescent="0.3">
      <c r="A1197" s="1">
        <v>45852</v>
      </c>
      <c r="B1197" t="s">
        <v>19</v>
      </c>
      <c r="C1197" t="s">
        <v>10</v>
      </c>
      <c r="D1197" t="s">
        <v>14</v>
      </c>
      <c r="E1197">
        <v>272440</v>
      </c>
      <c r="F1197">
        <v>146257</v>
      </c>
      <c r="G1197">
        <v>297345</v>
      </c>
      <c r="H1197">
        <v>4.4000000000000004</v>
      </c>
      <c r="I1197">
        <v>9</v>
      </c>
      <c r="J1197">
        <f t="shared" si="54"/>
        <v>126183</v>
      </c>
      <c r="K1197" s="2">
        <f t="shared" si="55"/>
        <v>0.91624207570330762</v>
      </c>
      <c r="L1197" s="2">
        <f t="shared" si="56"/>
        <v>0.46315886066656881</v>
      </c>
    </row>
    <row r="1198" spans="1:12" x14ac:dyDescent="0.3">
      <c r="A1198" s="1">
        <v>45382</v>
      </c>
      <c r="B1198" t="s">
        <v>12</v>
      </c>
      <c r="C1198" t="s">
        <v>13</v>
      </c>
      <c r="D1198" t="s">
        <v>17</v>
      </c>
      <c r="E1198">
        <v>323612</v>
      </c>
      <c r="F1198">
        <v>121778</v>
      </c>
      <c r="G1198">
        <v>303969</v>
      </c>
      <c r="H1198">
        <v>4.5</v>
      </c>
      <c r="I1198">
        <v>14</v>
      </c>
      <c r="J1198">
        <f t="shared" si="54"/>
        <v>201834</v>
      </c>
      <c r="K1198" s="2">
        <f t="shared" si="55"/>
        <v>1.0646217212939477</v>
      </c>
      <c r="L1198" s="2">
        <f t="shared" si="56"/>
        <v>0.62369133406672184</v>
      </c>
    </row>
    <row r="1199" spans="1:12" x14ac:dyDescent="0.3">
      <c r="A1199" s="1">
        <v>45386</v>
      </c>
      <c r="B1199" t="s">
        <v>19</v>
      </c>
      <c r="C1199" t="s">
        <v>16</v>
      </c>
      <c r="D1199" t="s">
        <v>17</v>
      </c>
      <c r="E1199">
        <v>403876</v>
      </c>
      <c r="F1199">
        <v>177473</v>
      </c>
      <c r="G1199">
        <v>411128</v>
      </c>
      <c r="H1199">
        <v>4.9000000000000004</v>
      </c>
      <c r="I1199">
        <v>11</v>
      </c>
      <c r="J1199">
        <f t="shared" si="54"/>
        <v>226403</v>
      </c>
      <c r="K1199" s="2">
        <f t="shared" si="55"/>
        <v>0.98236072464050128</v>
      </c>
      <c r="L1199" s="2">
        <f t="shared" si="56"/>
        <v>0.56057552318038206</v>
      </c>
    </row>
    <row r="1200" spans="1:12" x14ac:dyDescent="0.3">
      <c r="A1200" s="1">
        <v>45627</v>
      </c>
      <c r="B1200" t="s">
        <v>12</v>
      </c>
      <c r="C1200" t="s">
        <v>13</v>
      </c>
      <c r="D1200" t="s">
        <v>11</v>
      </c>
      <c r="E1200">
        <v>591062</v>
      </c>
      <c r="F1200">
        <v>337293</v>
      </c>
      <c r="G1200">
        <v>630119</v>
      </c>
      <c r="H1200">
        <v>4.5</v>
      </c>
      <c r="I1200">
        <v>1</v>
      </c>
      <c r="J1200">
        <f t="shared" si="54"/>
        <v>253769</v>
      </c>
      <c r="K1200" s="2">
        <f t="shared" si="55"/>
        <v>0.93801646990489096</v>
      </c>
      <c r="L1200" s="2">
        <f t="shared" si="56"/>
        <v>0.42934412971904806</v>
      </c>
    </row>
    <row r="1201" spans="1:12" x14ac:dyDescent="0.3">
      <c r="A1201" s="1">
        <v>45512</v>
      </c>
      <c r="B1201" t="s">
        <v>19</v>
      </c>
      <c r="C1201" t="s">
        <v>16</v>
      </c>
      <c r="D1201" t="s">
        <v>14</v>
      </c>
      <c r="E1201">
        <v>456742</v>
      </c>
      <c r="F1201">
        <v>271882</v>
      </c>
      <c r="G1201">
        <v>500736</v>
      </c>
      <c r="H1201">
        <v>3.6</v>
      </c>
      <c r="I1201">
        <v>7</v>
      </c>
      <c r="J1201">
        <f t="shared" si="54"/>
        <v>184860</v>
      </c>
      <c r="K1201" s="2">
        <f t="shared" si="55"/>
        <v>0.91214132796523517</v>
      </c>
      <c r="L1201" s="2">
        <f t="shared" si="56"/>
        <v>0.40473615301417432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3BA74-5858-4481-B64B-B502E41AE3E5}">
  <dimension ref="A1:AE2038"/>
  <sheetViews>
    <sheetView showGridLines="0" tabSelected="1" topLeftCell="A8" zoomScale="95" zoomScaleNormal="90" workbookViewId="0">
      <selection activeCell="F13" sqref="F13"/>
    </sheetView>
  </sheetViews>
  <sheetFormatPr defaultRowHeight="14.4" x14ac:dyDescent="0.3"/>
  <cols>
    <col min="1" max="16384" width="8.88671875" style="7"/>
  </cols>
  <sheetData>
    <row r="1" spans="1:31" x14ac:dyDescent="0.3">
      <c r="A1" s="16"/>
      <c r="B1" s="17"/>
      <c r="C1" s="17"/>
      <c r="D1" s="17"/>
      <c r="E1" s="17"/>
      <c r="F1" s="17"/>
      <c r="G1" s="17"/>
      <c r="H1" s="17"/>
      <c r="I1" s="17"/>
      <c r="J1" s="17"/>
      <c r="K1" s="17"/>
      <c r="L1" s="17"/>
      <c r="M1" s="17"/>
      <c r="N1" s="17"/>
      <c r="O1" s="17"/>
      <c r="P1" s="17"/>
      <c r="Q1" s="17"/>
      <c r="R1" s="17"/>
      <c r="S1" s="17"/>
      <c r="T1" s="17"/>
      <c r="U1" s="17"/>
      <c r="V1" s="17"/>
      <c r="W1" s="17"/>
      <c r="X1" s="12"/>
      <c r="Y1" s="12"/>
    </row>
    <row r="2" spans="1:31" x14ac:dyDescent="0.3">
      <c r="A2" s="17"/>
      <c r="B2" s="17"/>
      <c r="C2" s="17"/>
      <c r="D2" s="17"/>
      <c r="E2" s="17"/>
      <c r="F2" s="17"/>
      <c r="G2" s="17"/>
      <c r="H2" s="17"/>
      <c r="I2" s="17"/>
      <c r="J2" s="17"/>
      <c r="K2" s="17"/>
      <c r="L2" s="17"/>
      <c r="M2" s="17"/>
      <c r="N2" s="17"/>
      <c r="O2" s="17"/>
      <c r="P2" s="17"/>
      <c r="Q2" s="17"/>
      <c r="R2" s="17"/>
      <c r="S2" s="17"/>
      <c r="T2" s="17"/>
      <c r="U2" s="17"/>
      <c r="V2" s="17"/>
      <c r="W2" s="17"/>
      <c r="X2" s="12"/>
      <c r="Y2" s="12"/>
    </row>
    <row r="3" spans="1:31" x14ac:dyDescent="0.3">
      <c r="A3" s="17"/>
      <c r="B3" s="17"/>
      <c r="C3" s="17"/>
      <c r="D3" s="17"/>
      <c r="E3" s="17"/>
      <c r="F3" s="17"/>
      <c r="G3" s="17"/>
      <c r="H3" s="17"/>
      <c r="I3" s="17"/>
      <c r="J3" s="17"/>
      <c r="K3" s="17"/>
      <c r="L3" s="17"/>
      <c r="M3" s="17"/>
      <c r="N3" s="17"/>
      <c r="O3" s="17"/>
      <c r="P3" s="17"/>
      <c r="Q3" s="17"/>
      <c r="R3" s="17"/>
      <c r="S3" s="17"/>
      <c r="T3" s="17"/>
      <c r="U3" s="17"/>
      <c r="V3" s="17"/>
      <c r="W3" s="17"/>
      <c r="X3" s="12"/>
      <c r="Y3" s="12"/>
    </row>
    <row r="4" spans="1:31" x14ac:dyDescent="0.3">
      <c r="A4" s="17"/>
      <c r="B4" s="17"/>
      <c r="C4" s="17"/>
      <c r="D4" s="17"/>
      <c r="E4" s="17"/>
      <c r="F4" s="17"/>
      <c r="G4" s="17"/>
      <c r="H4" s="17"/>
      <c r="I4" s="17"/>
      <c r="J4" s="17"/>
      <c r="K4" s="17"/>
      <c r="L4" s="17"/>
      <c r="M4" s="17"/>
      <c r="N4" s="17"/>
      <c r="O4" s="17"/>
      <c r="P4" s="17"/>
      <c r="Q4" s="17"/>
      <c r="R4" s="17"/>
      <c r="S4" s="17"/>
      <c r="T4" s="17"/>
      <c r="U4" s="17"/>
      <c r="V4" s="17"/>
      <c r="W4" s="17"/>
      <c r="X4" s="12"/>
      <c r="Y4" s="12"/>
    </row>
    <row r="5" spans="1:31" x14ac:dyDescent="0.3">
      <c r="A5" s="13"/>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row>
    <row r="6" spans="1:31" x14ac:dyDescent="0.3">
      <c r="A6" s="13"/>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row>
    <row r="7" spans="1:31" x14ac:dyDescent="0.3">
      <c r="A7" s="13"/>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row>
    <row r="8" spans="1:31" x14ac:dyDescent="0.3">
      <c r="A8" s="13"/>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row>
    <row r="9" spans="1:31" x14ac:dyDescent="0.3">
      <c r="A9" s="13"/>
      <c r="B9" s="13"/>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row>
    <row r="10" spans="1:31" x14ac:dyDescent="0.3">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13"/>
    </row>
    <row r="11" spans="1:31" x14ac:dyDescent="0.3">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row>
    <row r="12" spans="1:31" x14ac:dyDescent="0.3">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row>
    <row r="13" spans="1:31" x14ac:dyDescent="0.3">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c r="AE13" s="13"/>
    </row>
    <row r="14" spans="1:31" x14ac:dyDescent="0.3">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row>
    <row r="15" spans="1:31" x14ac:dyDescent="0.3">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row>
    <row r="16" spans="1:31" ht="25.8" x14ac:dyDescent="0.5">
      <c r="A16" s="13"/>
      <c r="B16" s="13"/>
      <c r="C16" s="13"/>
      <c r="D16" s="13"/>
      <c r="E16" s="13"/>
      <c r="F16" s="14"/>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row>
    <row r="17" spans="1:31" x14ac:dyDescent="0.3">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13"/>
    </row>
    <row r="18" spans="1:31" x14ac:dyDescent="0.3">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row>
    <row r="19" spans="1:31" x14ac:dyDescent="0.3">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row>
    <row r="20" spans="1:31" x14ac:dyDescent="0.3">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row>
    <row r="21" spans="1:31" x14ac:dyDescent="0.3">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row>
    <row r="22" spans="1:31" x14ac:dyDescent="0.3">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row>
    <row r="23" spans="1:31" x14ac:dyDescent="0.3">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row>
    <row r="24" spans="1:31" x14ac:dyDescent="0.3">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row>
    <row r="25" spans="1:31" x14ac:dyDescent="0.3">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row>
    <row r="26" spans="1:31" x14ac:dyDescent="0.3">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row>
    <row r="27" spans="1:31" x14ac:dyDescent="0.3">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row>
    <row r="28" spans="1:31" x14ac:dyDescent="0.3">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row>
    <row r="29" spans="1:31" x14ac:dyDescent="0.3">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row>
    <row r="30" spans="1:31" x14ac:dyDescent="0.3">
      <c r="A30" s="13"/>
      <c r="B30" s="13"/>
      <c r="C30" s="13"/>
      <c r="D30" s="13"/>
      <c r="E30" s="13"/>
      <c r="F30" s="13"/>
      <c r="G30" s="13"/>
      <c r="H30" s="13"/>
      <c r="I30" s="13"/>
      <c r="J30" s="13"/>
      <c r="K30" s="13"/>
      <c r="L30" s="13"/>
      <c r="M30" s="13"/>
      <c r="N30" s="13"/>
      <c r="O30" s="13"/>
      <c r="P30" s="15"/>
      <c r="Q30" s="13"/>
      <c r="R30" s="13"/>
      <c r="S30" s="13"/>
      <c r="T30" s="13"/>
      <c r="U30" s="13"/>
      <c r="V30" s="13"/>
      <c r="W30" s="13"/>
      <c r="X30" s="13"/>
      <c r="Y30" s="13"/>
      <c r="Z30" s="13"/>
      <c r="AA30" s="13"/>
      <c r="AB30" s="13"/>
      <c r="AC30" s="13"/>
      <c r="AD30" s="13"/>
      <c r="AE30" s="13"/>
    </row>
    <row r="31" spans="1:31" x14ac:dyDescent="0.3">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13"/>
    </row>
    <row r="32" spans="1:31" x14ac:dyDescent="0.3">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row>
    <row r="33" spans="1:31" x14ac:dyDescent="0.3">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row>
    <row r="34" spans="1:31" x14ac:dyDescent="0.3">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13"/>
    </row>
    <row r="35" spans="1:31" x14ac:dyDescent="0.3">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13"/>
    </row>
    <row r="36" spans="1:31" x14ac:dyDescent="0.3">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row>
    <row r="37" spans="1:31" x14ac:dyDescent="0.3">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row>
    <row r="38" spans="1:31" x14ac:dyDescent="0.3">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row>
    <row r="39" spans="1:31" x14ac:dyDescent="0.3">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row>
    <row r="40" spans="1:31" x14ac:dyDescent="0.3">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row>
    <row r="41" spans="1:31" x14ac:dyDescent="0.3">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row>
    <row r="42" spans="1:31" x14ac:dyDescent="0.3">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row>
    <row r="43" spans="1:31" x14ac:dyDescent="0.3">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row>
    <row r="44" spans="1:31" x14ac:dyDescent="0.3">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row>
    <row r="45" spans="1:31" x14ac:dyDescent="0.3">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row>
    <row r="46" spans="1:31" x14ac:dyDescent="0.3">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row>
    <row r="47" spans="1:31" x14ac:dyDescent="0.3">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row>
    <row r="48" spans="1:31" x14ac:dyDescent="0.3">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row>
    <row r="49" spans="1:31" x14ac:dyDescent="0.3">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row>
    <row r="50" spans="1:31" x14ac:dyDescent="0.3">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row>
    <row r="51" spans="1:31" x14ac:dyDescent="0.3">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row>
    <row r="52" spans="1:31" x14ac:dyDescent="0.3">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row>
    <row r="53" spans="1:31" x14ac:dyDescent="0.3">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row>
    <row r="54" spans="1:31" x14ac:dyDescent="0.3">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row>
    <row r="55" spans="1:31" x14ac:dyDescent="0.3">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row>
    <row r="56" spans="1:31" x14ac:dyDescent="0.3">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row>
    <row r="57" spans="1:31" x14ac:dyDescent="0.3">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row>
    <row r="58" spans="1:31" x14ac:dyDescent="0.3">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row>
    <row r="59" spans="1:31" x14ac:dyDescent="0.3">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row>
    <row r="60" spans="1:31" x14ac:dyDescent="0.3">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row>
    <row r="61" spans="1:31" x14ac:dyDescent="0.3">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row>
    <row r="62" spans="1:31" x14ac:dyDescent="0.3">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row>
    <row r="63" spans="1:31" x14ac:dyDescent="0.3">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row>
    <row r="64" spans="1:31" x14ac:dyDescent="0.3">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row>
    <row r="65" spans="1:31" x14ac:dyDescent="0.3">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row>
    <row r="66" spans="1:31" x14ac:dyDescent="0.3">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row>
    <row r="67" spans="1:31" x14ac:dyDescent="0.3">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row>
    <row r="68" spans="1:31" x14ac:dyDescent="0.3">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row>
    <row r="69" spans="1:31" x14ac:dyDescent="0.3">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row>
    <row r="70" spans="1:31" x14ac:dyDescent="0.3">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row>
    <row r="71" spans="1:31" x14ac:dyDescent="0.3">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row>
    <row r="72" spans="1:31" x14ac:dyDescent="0.3">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row>
    <row r="73" spans="1:31" x14ac:dyDescent="0.3">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row>
    <row r="74" spans="1:31" x14ac:dyDescent="0.3">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row>
    <row r="75" spans="1:31" x14ac:dyDescent="0.3">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row>
    <row r="76" spans="1:31" x14ac:dyDescent="0.3">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row>
    <row r="77" spans="1:31" x14ac:dyDescent="0.3">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row>
    <row r="78" spans="1:31" x14ac:dyDescent="0.3">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row>
    <row r="79" spans="1:31" x14ac:dyDescent="0.3">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row>
    <row r="80" spans="1:31" x14ac:dyDescent="0.3">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row>
    <row r="81" spans="1:31" x14ac:dyDescent="0.3">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row>
    <row r="82" spans="1:31" x14ac:dyDescent="0.3">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row>
    <row r="83" spans="1:31" x14ac:dyDescent="0.3">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row>
    <row r="84" spans="1:31" x14ac:dyDescent="0.3">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row>
    <row r="85" spans="1:31" x14ac:dyDescent="0.3">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row>
    <row r="86" spans="1:31" x14ac:dyDescent="0.3">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row>
    <row r="87" spans="1:31" x14ac:dyDescent="0.3">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row>
    <row r="88" spans="1:31" x14ac:dyDescent="0.3">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row>
    <row r="89" spans="1:31" x14ac:dyDescent="0.3">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row>
    <row r="90" spans="1:31" x14ac:dyDescent="0.3">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row>
    <row r="91" spans="1:31" x14ac:dyDescent="0.3">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row>
    <row r="92" spans="1:31" x14ac:dyDescent="0.3">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row>
    <row r="93" spans="1:31" x14ac:dyDescent="0.3">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row>
    <row r="94" spans="1:31" x14ac:dyDescent="0.3">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row>
    <row r="95" spans="1:31" x14ac:dyDescent="0.3">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row>
    <row r="96" spans="1:31" x14ac:dyDescent="0.3">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row>
    <row r="97" spans="1:31" x14ac:dyDescent="0.3">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row>
    <row r="98" spans="1:31" x14ac:dyDescent="0.3">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row>
    <row r="99" spans="1:31" x14ac:dyDescent="0.3">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row>
    <row r="100" spans="1:31" x14ac:dyDescent="0.3">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row>
    <row r="101" spans="1:31" x14ac:dyDescent="0.3">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row>
    <row r="102" spans="1:31" x14ac:dyDescent="0.3">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row>
    <row r="103" spans="1:31" x14ac:dyDescent="0.3">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row>
    <row r="104" spans="1:31" x14ac:dyDescent="0.3">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row>
    <row r="105" spans="1:31" x14ac:dyDescent="0.3">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row>
    <row r="106" spans="1:31" x14ac:dyDescent="0.3">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row>
    <row r="107" spans="1:31" x14ac:dyDescent="0.3">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row>
    <row r="108" spans="1:31" x14ac:dyDescent="0.3">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row>
    <row r="109" spans="1:31" x14ac:dyDescent="0.3">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row>
    <row r="110" spans="1:31" x14ac:dyDescent="0.3">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row>
    <row r="111" spans="1:31" x14ac:dyDescent="0.3">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row>
    <row r="112" spans="1:31" x14ac:dyDescent="0.3">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row>
    <row r="113" spans="1:31" x14ac:dyDescent="0.3">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row>
    <row r="114" spans="1:31" x14ac:dyDescent="0.3">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row>
    <row r="115" spans="1:31" x14ac:dyDescent="0.3">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row>
    <row r="116" spans="1:31" x14ac:dyDescent="0.3">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row>
    <row r="117" spans="1:31" x14ac:dyDescent="0.3">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row>
    <row r="118" spans="1:31" x14ac:dyDescent="0.3">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row>
    <row r="119" spans="1:31" x14ac:dyDescent="0.3">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row>
    <row r="120" spans="1:31" x14ac:dyDescent="0.3">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row>
    <row r="121" spans="1:31" x14ac:dyDescent="0.3">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row>
    <row r="122" spans="1:31" x14ac:dyDescent="0.3">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row>
    <row r="123" spans="1:31" x14ac:dyDescent="0.3">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row>
    <row r="124" spans="1:31" x14ac:dyDescent="0.3">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row>
    <row r="125" spans="1:31" x14ac:dyDescent="0.3">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row>
    <row r="126" spans="1:31" x14ac:dyDescent="0.3">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row>
    <row r="127" spans="1:31" x14ac:dyDescent="0.3">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row>
    <row r="128" spans="1:31" x14ac:dyDescent="0.3">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row>
    <row r="129" spans="1:31" x14ac:dyDescent="0.3">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row>
    <row r="130" spans="1:31" x14ac:dyDescent="0.3">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row>
    <row r="131" spans="1:31" x14ac:dyDescent="0.3">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row>
    <row r="132" spans="1:31" x14ac:dyDescent="0.3">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row>
    <row r="133" spans="1:31" x14ac:dyDescent="0.3">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row>
    <row r="134" spans="1:31" x14ac:dyDescent="0.3">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row>
    <row r="135" spans="1:31" x14ac:dyDescent="0.3">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row>
    <row r="136" spans="1:31" x14ac:dyDescent="0.3">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row>
    <row r="137" spans="1:31" x14ac:dyDescent="0.3">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row>
    <row r="138" spans="1:31" x14ac:dyDescent="0.3">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row>
    <row r="139" spans="1:31" x14ac:dyDescent="0.3">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row>
    <row r="140" spans="1:31" x14ac:dyDescent="0.3">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row>
    <row r="141" spans="1:31" x14ac:dyDescent="0.3">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row>
    <row r="142" spans="1:31" x14ac:dyDescent="0.3">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row>
    <row r="143" spans="1:31" x14ac:dyDescent="0.3">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row>
    <row r="144" spans="1:31" x14ac:dyDescent="0.3">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row>
    <row r="145" spans="1:31" x14ac:dyDescent="0.3">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row>
    <row r="146" spans="1:31" x14ac:dyDescent="0.3">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row>
    <row r="147" spans="1:31" x14ac:dyDescent="0.3">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row>
    <row r="148" spans="1:31" x14ac:dyDescent="0.3">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row>
    <row r="149" spans="1:31" x14ac:dyDescent="0.3">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row>
    <row r="150" spans="1:31" x14ac:dyDescent="0.3">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row>
    <row r="151" spans="1:31" x14ac:dyDescent="0.3">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row>
    <row r="152" spans="1:31" x14ac:dyDescent="0.3">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row>
    <row r="153" spans="1:31" x14ac:dyDescent="0.3">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row>
    <row r="154" spans="1:31" x14ac:dyDescent="0.3">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row>
    <row r="155" spans="1:31" x14ac:dyDescent="0.3">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row>
    <row r="156" spans="1:31" x14ac:dyDescent="0.3">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row>
    <row r="157" spans="1:31" x14ac:dyDescent="0.3">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row>
    <row r="158" spans="1:31" x14ac:dyDescent="0.3">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row>
    <row r="159" spans="1:31" x14ac:dyDescent="0.3">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row>
    <row r="160" spans="1:31" x14ac:dyDescent="0.3">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row>
    <row r="161" spans="1:31" x14ac:dyDescent="0.3">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c r="AE161" s="13"/>
    </row>
    <row r="162" spans="1:31" x14ac:dyDescent="0.3">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row>
    <row r="163" spans="1:31" x14ac:dyDescent="0.3">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row>
    <row r="164" spans="1:31" x14ac:dyDescent="0.3">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row>
    <row r="165" spans="1:31" x14ac:dyDescent="0.3">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c r="AE165" s="13"/>
    </row>
    <row r="166" spans="1:31" x14ac:dyDescent="0.3">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row>
    <row r="167" spans="1:31" x14ac:dyDescent="0.3">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row>
    <row r="168" spans="1:31" x14ac:dyDescent="0.3">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row>
    <row r="169" spans="1:31" x14ac:dyDescent="0.3">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row>
    <row r="170" spans="1:31" x14ac:dyDescent="0.3">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row>
    <row r="171" spans="1:31" x14ac:dyDescent="0.3">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row>
    <row r="172" spans="1:31" x14ac:dyDescent="0.3">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c r="AE172" s="13"/>
    </row>
    <row r="173" spans="1:31" x14ac:dyDescent="0.3">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row>
    <row r="174" spans="1:31" x14ac:dyDescent="0.3">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c r="AE174" s="13"/>
    </row>
    <row r="175" spans="1:31" x14ac:dyDescent="0.3">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row>
    <row r="176" spans="1:31" x14ac:dyDescent="0.3">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row>
    <row r="177" spans="1:31" x14ac:dyDescent="0.3">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row>
    <row r="178" spans="1:31" x14ac:dyDescent="0.3">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row>
    <row r="179" spans="1:31" x14ac:dyDescent="0.3">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row>
    <row r="180" spans="1:31" x14ac:dyDescent="0.3">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row>
    <row r="181" spans="1:31" x14ac:dyDescent="0.3">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row>
    <row r="182" spans="1:31" x14ac:dyDescent="0.3">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row>
    <row r="183" spans="1:31" x14ac:dyDescent="0.3">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row>
    <row r="184" spans="1:31" x14ac:dyDescent="0.3">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c r="AE184" s="13"/>
    </row>
    <row r="185" spans="1:31" x14ac:dyDescent="0.3">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row>
    <row r="186" spans="1:31" x14ac:dyDescent="0.3">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row>
    <row r="187" spans="1:31" x14ac:dyDescent="0.3">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row>
    <row r="188" spans="1:31" x14ac:dyDescent="0.3">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c r="AE188" s="13"/>
    </row>
    <row r="189" spans="1:31" x14ac:dyDescent="0.3">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c r="AE189" s="13"/>
    </row>
    <row r="190" spans="1:31" x14ac:dyDescent="0.3">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c r="AE190" s="13"/>
    </row>
    <row r="191" spans="1:31" x14ac:dyDescent="0.3">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c r="AE191" s="13"/>
    </row>
    <row r="192" spans="1:31" x14ac:dyDescent="0.3">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row>
    <row r="193" spans="1:31" x14ac:dyDescent="0.3">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row>
    <row r="194" spans="1:31" x14ac:dyDescent="0.3">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row>
    <row r="195" spans="1:31" x14ac:dyDescent="0.3">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row>
    <row r="196" spans="1:31" x14ac:dyDescent="0.3">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row>
    <row r="197" spans="1:31" x14ac:dyDescent="0.3">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c r="AE197" s="13"/>
    </row>
    <row r="198" spans="1:31" x14ac:dyDescent="0.3">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c r="AE198" s="13"/>
    </row>
    <row r="199" spans="1:31" x14ac:dyDescent="0.3">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c r="AE199" s="13"/>
    </row>
    <row r="200" spans="1:31" x14ac:dyDescent="0.3">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c r="AE200" s="13"/>
    </row>
    <row r="201" spans="1:31" x14ac:dyDescent="0.3">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row>
    <row r="202" spans="1:31" x14ac:dyDescent="0.3">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row>
    <row r="203" spans="1:31" x14ac:dyDescent="0.3">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row>
    <row r="204" spans="1:31" x14ac:dyDescent="0.3">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row>
    <row r="205" spans="1:31" x14ac:dyDescent="0.3">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row>
    <row r="206" spans="1:31" x14ac:dyDescent="0.3">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row>
    <row r="207" spans="1:31" x14ac:dyDescent="0.3">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row>
    <row r="208" spans="1:31" x14ac:dyDescent="0.3">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row>
    <row r="209" spans="1:31" x14ac:dyDescent="0.3">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row>
    <row r="210" spans="1:31" x14ac:dyDescent="0.3">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row>
    <row r="211" spans="1:31" x14ac:dyDescent="0.3">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row>
    <row r="212" spans="1:31" x14ac:dyDescent="0.3">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row>
    <row r="213" spans="1:31" x14ac:dyDescent="0.3">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row>
    <row r="214" spans="1:31" x14ac:dyDescent="0.3">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row>
    <row r="215" spans="1:31" x14ac:dyDescent="0.3">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row>
    <row r="216" spans="1:31" x14ac:dyDescent="0.3">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row>
    <row r="217" spans="1:31" x14ac:dyDescent="0.3">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row>
    <row r="218" spans="1:31" x14ac:dyDescent="0.3">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row>
    <row r="219" spans="1:31" x14ac:dyDescent="0.3">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row>
    <row r="220" spans="1:31" x14ac:dyDescent="0.3">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row>
    <row r="221" spans="1:31" x14ac:dyDescent="0.3">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row>
    <row r="222" spans="1:31" x14ac:dyDescent="0.3">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row>
    <row r="223" spans="1:31" x14ac:dyDescent="0.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row>
    <row r="224" spans="1:31" x14ac:dyDescent="0.3">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row>
    <row r="225" spans="1:31" x14ac:dyDescent="0.3">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row>
    <row r="226" spans="1:31" x14ac:dyDescent="0.3">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row>
    <row r="227" spans="1:31" x14ac:dyDescent="0.3">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row>
    <row r="228" spans="1:31" x14ac:dyDescent="0.3">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row>
    <row r="229" spans="1:31" x14ac:dyDescent="0.3">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row>
    <row r="230" spans="1:31" x14ac:dyDescent="0.3">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row>
    <row r="231" spans="1:31" x14ac:dyDescent="0.3">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row>
    <row r="232" spans="1:31" x14ac:dyDescent="0.3">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row>
    <row r="233" spans="1:31" x14ac:dyDescent="0.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row>
    <row r="234" spans="1:31" x14ac:dyDescent="0.3">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c r="AE234" s="13"/>
    </row>
    <row r="235" spans="1:31" x14ac:dyDescent="0.3">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row>
    <row r="236" spans="1:31" x14ac:dyDescent="0.3">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row>
    <row r="237" spans="1:31" x14ac:dyDescent="0.3">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row>
    <row r="238" spans="1:31" x14ac:dyDescent="0.3">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c r="AE238" s="13"/>
    </row>
    <row r="239" spans="1:31" x14ac:dyDescent="0.3">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row>
    <row r="240" spans="1:31" x14ac:dyDescent="0.3">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c r="AE240" s="13"/>
    </row>
    <row r="241" spans="1:31" x14ac:dyDescent="0.3">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c r="AE241" s="13"/>
    </row>
    <row r="242" spans="1:31" x14ac:dyDescent="0.3">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c r="AE242" s="13"/>
    </row>
    <row r="243" spans="1:31" x14ac:dyDescent="0.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c r="AE243" s="13"/>
    </row>
    <row r="244" spans="1:31" x14ac:dyDescent="0.3">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c r="AE244" s="13"/>
    </row>
    <row r="245" spans="1:31" x14ac:dyDescent="0.3">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c r="AE245" s="13"/>
    </row>
    <row r="246" spans="1:31" x14ac:dyDescent="0.3">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c r="AE246" s="13"/>
    </row>
    <row r="247" spans="1:31" x14ac:dyDescent="0.3">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c r="AE247" s="13"/>
    </row>
    <row r="248" spans="1:31" x14ac:dyDescent="0.3">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c r="AE248" s="13"/>
    </row>
    <row r="249" spans="1:31" x14ac:dyDescent="0.3">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c r="AD249" s="13"/>
      <c r="AE249" s="13"/>
    </row>
    <row r="250" spans="1:31" x14ac:dyDescent="0.3">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c r="AD250" s="13"/>
      <c r="AE250" s="13"/>
    </row>
    <row r="251" spans="1:31" x14ac:dyDescent="0.3">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c r="AD251" s="13"/>
      <c r="AE251" s="13"/>
    </row>
    <row r="252" spans="1:31" x14ac:dyDescent="0.3">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c r="AD252" s="13"/>
      <c r="AE252" s="13"/>
    </row>
    <row r="253" spans="1:31" x14ac:dyDescent="0.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c r="AE253" s="13"/>
    </row>
    <row r="254" spans="1:31" x14ac:dyDescent="0.3">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c r="AE254" s="13"/>
    </row>
    <row r="255" spans="1:31" x14ac:dyDescent="0.3">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c r="AE255" s="13"/>
    </row>
    <row r="256" spans="1:31" x14ac:dyDescent="0.3">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c r="AD256" s="13"/>
      <c r="AE256" s="13"/>
    </row>
    <row r="257" spans="1:31" x14ac:dyDescent="0.3">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c r="AE257" s="13"/>
    </row>
    <row r="258" spans="1:31" x14ac:dyDescent="0.3">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c r="AD258" s="13"/>
      <c r="AE258" s="13"/>
    </row>
    <row r="259" spans="1:31" x14ac:dyDescent="0.3">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c r="AD259" s="13"/>
      <c r="AE259" s="13"/>
    </row>
    <row r="260" spans="1:31" x14ac:dyDescent="0.3">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c r="AD260" s="13"/>
      <c r="AE260" s="13"/>
    </row>
    <row r="261" spans="1:31" x14ac:dyDescent="0.3">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c r="AD261" s="13"/>
      <c r="AE261" s="13"/>
    </row>
    <row r="262" spans="1:31" x14ac:dyDescent="0.3">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c r="AD262" s="13"/>
      <c r="AE262" s="13"/>
    </row>
    <row r="263" spans="1:31" x14ac:dyDescent="0.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c r="AE263" s="13"/>
    </row>
    <row r="264" spans="1:31" x14ac:dyDescent="0.3">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3"/>
      <c r="AE264" s="13"/>
    </row>
    <row r="265" spans="1:31" x14ac:dyDescent="0.3">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c r="AD265" s="13"/>
      <c r="AE265" s="13"/>
    </row>
    <row r="266" spans="1:31" x14ac:dyDescent="0.3">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c r="AD266" s="13"/>
      <c r="AE266" s="13"/>
    </row>
    <row r="267" spans="1:31" x14ac:dyDescent="0.3">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c r="AD267" s="13"/>
      <c r="AE267" s="13"/>
    </row>
    <row r="268" spans="1:31" x14ac:dyDescent="0.3">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c r="AE268" s="13"/>
    </row>
    <row r="269" spans="1:31" x14ac:dyDescent="0.3">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c r="AD269" s="13"/>
      <c r="AE269" s="13"/>
    </row>
    <row r="270" spans="1:31" x14ac:dyDescent="0.3">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c r="AD270" s="13"/>
      <c r="AE270" s="13"/>
    </row>
    <row r="271" spans="1:31" x14ac:dyDescent="0.3">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c r="AE271" s="13"/>
    </row>
    <row r="272" spans="1:31" x14ac:dyDescent="0.3">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c r="AD272" s="13"/>
      <c r="AE272" s="13"/>
    </row>
    <row r="273" spans="1:31" x14ac:dyDescent="0.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c r="AE273" s="13"/>
    </row>
    <row r="274" spans="1:31" x14ac:dyDescent="0.3">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c r="AD274" s="13"/>
      <c r="AE274" s="13"/>
    </row>
    <row r="275" spans="1:31" x14ac:dyDescent="0.3">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c r="AD275" s="13"/>
      <c r="AE275" s="13"/>
    </row>
    <row r="276" spans="1:31" x14ac:dyDescent="0.3">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c r="AD276" s="13"/>
      <c r="AE276" s="13"/>
    </row>
    <row r="277" spans="1:31" x14ac:dyDescent="0.3">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c r="AD277" s="13"/>
      <c r="AE277" s="13"/>
    </row>
    <row r="278" spans="1:31" x14ac:dyDescent="0.3">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c r="AD278" s="13"/>
      <c r="AE278" s="13"/>
    </row>
    <row r="279" spans="1:31" x14ac:dyDescent="0.3">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c r="AD279" s="13"/>
      <c r="AE279" s="13"/>
    </row>
    <row r="280" spans="1:31" x14ac:dyDescent="0.3">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c r="AD280" s="13"/>
      <c r="AE280" s="13"/>
    </row>
    <row r="281" spans="1:31" x14ac:dyDescent="0.3">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c r="AD281" s="13"/>
      <c r="AE281" s="13"/>
    </row>
    <row r="282" spans="1:31" x14ac:dyDescent="0.3">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c r="AD282" s="13"/>
      <c r="AE282" s="13"/>
    </row>
    <row r="283" spans="1:31" x14ac:dyDescent="0.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c r="AD283" s="13"/>
      <c r="AE283" s="13"/>
    </row>
    <row r="284" spans="1:31" x14ac:dyDescent="0.3">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c r="AD284" s="13"/>
      <c r="AE284" s="13"/>
    </row>
    <row r="285" spans="1:31" x14ac:dyDescent="0.3">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c r="AD285" s="13"/>
      <c r="AE285" s="13"/>
    </row>
    <row r="286" spans="1:31" x14ac:dyDescent="0.3">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c r="AD286" s="13"/>
      <c r="AE286" s="13"/>
    </row>
    <row r="287" spans="1:31" x14ac:dyDescent="0.3">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c r="AD287" s="13"/>
      <c r="AE287" s="13"/>
    </row>
    <row r="288" spans="1:31" x14ac:dyDescent="0.3">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c r="AD288" s="13"/>
      <c r="AE288" s="13"/>
    </row>
    <row r="289" spans="1:31" x14ac:dyDescent="0.3">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c r="AE289" s="13"/>
    </row>
    <row r="290" spans="1:31" x14ac:dyDescent="0.3">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c r="AD290" s="13"/>
      <c r="AE290" s="13"/>
    </row>
    <row r="291" spans="1:31" x14ac:dyDescent="0.3">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c r="AD291" s="13"/>
      <c r="AE291" s="13"/>
    </row>
    <row r="292" spans="1:31" x14ac:dyDescent="0.3">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c r="AD292" s="13"/>
      <c r="AE292" s="13"/>
    </row>
    <row r="293" spans="1:31" x14ac:dyDescent="0.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c r="AD293" s="13"/>
      <c r="AE293" s="13"/>
    </row>
    <row r="294" spans="1:31" x14ac:dyDescent="0.3">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row>
    <row r="295" spans="1:31" x14ac:dyDescent="0.3">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c r="AD295" s="13"/>
      <c r="AE295" s="13"/>
    </row>
    <row r="296" spans="1:31" x14ac:dyDescent="0.3">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c r="AD296" s="13"/>
      <c r="AE296" s="13"/>
    </row>
    <row r="297" spans="1:31" x14ac:dyDescent="0.3">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c r="AD297" s="13"/>
      <c r="AE297" s="13"/>
    </row>
    <row r="298" spans="1:31" x14ac:dyDescent="0.3">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c r="AD298" s="13"/>
      <c r="AE298" s="13"/>
    </row>
    <row r="299" spans="1:31" x14ac:dyDescent="0.3">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c r="AD299" s="13"/>
      <c r="AE299" s="13"/>
    </row>
    <row r="300" spans="1:31" x14ac:dyDescent="0.3">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row>
    <row r="301" spans="1:31" x14ac:dyDescent="0.3">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c r="AD301" s="13"/>
      <c r="AE301" s="13"/>
    </row>
    <row r="302" spans="1:31" x14ac:dyDescent="0.3">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c r="AD302" s="13"/>
      <c r="AE302" s="13"/>
    </row>
    <row r="303" spans="1:31" x14ac:dyDescent="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c r="AE303" s="13"/>
    </row>
    <row r="304" spans="1:31" x14ac:dyDescent="0.3">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c r="AD304" s="13"/>
      <c r="AE304" s="13"/>
    </row>
    <row r="305" spans="1:31" x14ac:dyDescent="0.3">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c r="AD305" s="13"/>
      <c r="AE305" s="13"/>
    </row>
    <row r="306" spans="1:31" x14ac:dyDescent="0.3">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c r="AD306" s="13"/>
      <c r="AE306" s="13"/>
    </row>
    <row r="307" spans="1:31" x14ac:dyDescent="0.3">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c r="AD307" s="13"/>
      <c r="AE307" s="13"/>
    </row>
    <row r="308" spans="1:31" x14ac:dyDescent="0.3">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c r="AE308" s="13"/>
    </row>
    <row r="309" spans="1:31" x14ac:dyDescent="0.3">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c r="AE309" s="13"/>
    </row>
    <row r="310" spans="1:31" x14ac:dyDescent="0.3">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c r="AD310" s="13"/>
      <c r="AE310" s="13"/>
    </row>
    <row r="311" spans="1:31" x14ac:dyDescent="0.3">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c r="AD311" s="13"/>
      <c r="AE311" s="13"/>
    </row>
    <row r="312" spans="1:31" x14ac:dyDescent="0.3">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row>
    <row r="313" spans="1:31" x14ac:dyDescent="0.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row>
    <row r="314" spans="1:31" x14ac:dyDescent="0.3">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c r="AD314" s="13"/>
      <c r="AE314" s="13"/>
    </row>
    <row r="315" spans="1:31" x14ac:dyDescent="0.3">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c r="AD315" s="13"/>
      <c r="AE315" s="13"/>
    </row>
    <row r="316" spans="1:31" x14ac:dyDescent="0.3">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c r="AD316" s="13"/>
      <c r="AE316" s="13"/>
    </row>
    <row r="317" spans="1:31" x14ac:dyDescent="0.3">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c r="AD317" s="13"/>
      <c r="AE317" s="13"/>
    </row>
    <row r="318" spans="1:31" x14ac:dyDescent="0.3">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row>
    <row r="319" spans="1:31" x14ac:dyDescent="0.3">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row>
    <row r="320" spans="1:31" x14ac:dyDescent="0.3">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c r="AD320" s="13"/>
      <c r="AE320" s="13"/>
    </row>
    <row r="321" spans="1:31" x14ac:dyDescent="0.3">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c r="AE321" s="13"/>
    </row>
    <row r="322" spans="1:31" x14ac:dyDescent="0.3">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row>
    <row r="323" spans="1:31" x14ac:dyDescent="0.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c r="AD323" s="13"/>
      <c r="AE323" s="13"/>
    </row>
    <row r="324" spans="1:31" x14ac:dyDescent="0.3">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c r="AD324" s="13"/>
      <c r="AE324" s="13"/>
    </row>
    <row r="325" spans="1:31" x14ac:dyDescent="0.3">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c r="AD325" s="13"/>
      <c r="AE325" s="13"/>
    </row>
    <row r="326" spans="1:31" x14ac:dyDescent="0.3">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c r="AD326" s="13"/>
      <c r="AE326" s="13"/>
    </row>
    <row r="327" spans="1:31" x14ac:dyDescent="0.3">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c r="AD327" s="13"/>
      <c r="AE327" s="13"/>
    </row>
    <row r="328" spans="1:31" x14ac:dyDescent="0.3">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c r="AD328" s="13"/>
      <c r="AE328" s="13"/>
    </row>
    <row r="329" spans="1:31" x14ac:dyDescent="0.3">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c r="AD329" s="13"/>
      <c r="AE329" s="13"/>
    </row>
    <row r="330" spans="1:31" x14ac:dyDescent="0.3">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c r="AD330" s="13"/>
      <c r="AE330" s="13"/>
    </row>
    <row r="331" spans="1:31" x14ac:dyDescent="0.3">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c r="AD331" s="13"/>
      <c r="AE331" s="13"/>
    </row>
    <row r="332" spans="1:31" x14ac:dyDescent="0.3">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c r="AD332" s="13"/>
      <c r="AE332" s="13"/>
    </row>
    <row r="333" spans="1:31" x14ac:dyDescent="0.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c r="AD333" s="13"/>
      <c r="AE333" s="13"/>
    </row>
    <row r="334" spans="1:31" x14ac:dyDescent="0.3">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c r="AD334" s="13"/>
      <c r="AE334" s="13"/>
    </row>
    <row r="335" spans="1:31" x14ac:dyDescent="0.3">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c r="AD335" s="13"/>
      <c r="AE335" s="13"/>
    </row>
    <row r="336" spans="1:31" x14ac:dyDescent="0.3">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c r="AD336" s="13"/>
      <c r="AE336" s="13"/>
    </row>
    <row r="337" spans="1:31" x14ac:dyDescent="0.3">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c r="AD337" s="13"/>
      <c r="AE337" s="13"/>
    </row>
    <row r="338" spans="1:31" x14ac:dyDescent="0.3">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c r="AD338" s="13"/>
      <c r="AE338" s="13"/>
    </row>
    <row r="339" spans="1:31" x14ac:dyDescent="0.3">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c r="AD339" s="13"/>
      <c r="AE339" s="13"/>
    </row>
    <row r="340" spans="1:31" x14ac:dyDescent="0.3">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c r="AD340" s="13"/>
      <c r="AE340" s="13"/>
    </row>
    <row r="341" spans="1:31" x14ac:dyDescent="0.3">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c r="AD341" s="13"/>
      <c r="AE341" s="13"/>
    </row>
    <row r="342" spans="1:31" x14ac:dyDescent="0.3">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c r="AD342" s="13"/>
      <c r="AE342" s="13"/>
    </row>
    <row r="343" spans="1:31" x14ac:dyDescent="0.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c r="AD343" s="13"/>
      <c r="AE343" s="13"/>
    </row>
    <row r="344" spans="1:31" x14ac:dyDescent="0.3">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c r="AD344" s="13"/>
      <c r="AE344" s="13"/>
    </row>
    <row r="345" spans="1:31" x14ac:dyDescent="0.3">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c r="AD345" s="13"/>
      <c r="AE345" s="13"/>
    </row>
    <row r="346" spans="1:31" x14ac:dyDescent="0.3">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c r="AD346" s="13"/>
      <c r="AE346" s="13"/>
    </row>
    <row r="347" spans="1:31" x14ac:dyDescent="0.3">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c r="AD347" s="13"/>
      <c r="AE347" s="13"/>
    </row>
    <row r="348" spans="1:31" x14ac:dyDescent="0.3">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c r="AD348" s="13"/>
      <c r="AE348" s="13"/>
    </row>
    <row r="349" spans="1:31" x14ac:dyDescent="0.3">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c r="AD349" s="13"/>
      <c r="AE349" s="13"/>
    </row>
    <row r="350" spans="1:31" x14ac:dyDescent="0.3">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c r="AD350" s="13"/>
      <c r="AE350" s="13"/>
    </row>
    <row r="351" spans="1:31" x14ac:dyDescent="0.3">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c r="AD351" s="13"/>
      <c r="AE351" s="13"/>
    </row>
    <row r="352" spans="1:31" x14ac:dyDescent="0.3">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c r="AD352" s="13"/>
      <c r="AE352" s="13"/>
    </row>
    <row r="353" spans="1:31" x14ac:dyDescent="0.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c r="AD353" s="13"/>
      <c r="AE353" s="13"/>
    </row>
    <row r="354" spans="1:31" x14ac:dyDescent="0.3">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c r="AD354" s="13"/>
      <c r="AE354" s="13"/>
    </row>
    <row r="355" spans="1:31" x14ac:dyDescent="0.3">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c r="AD355" s="13"/>
      <c r="AE355" s="13"/>
    </row>
    <row r="356" spans="1:31" x14ac:dyDescent="0.3">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c r="AD356" s="13"/>
      <c r="AE356" s="13"/>
    </row>
    <row r="357" spans="1:31" x14ac:dyDescent="0.3">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c r="AD357" s="13"/>
      <c r="AE357" s="13"/>
    </row>
    <row r="358" spans="1:31" x14ac:dyDescent="0.3">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c r="AD358" s="13"/>
      <c r="AE358" s="13"/>
    </row>
    <row r="359" spans="1:31" x14ac:dyDescent="0.3">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c r="AD359" s="13"/>
      <c r="AE359" s="13"/>
    </row>
    <row r="360" spans="1:31" x14ac:dyDescent="0.3">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c r="AD360" s="13"/>
      <c r="AE360" s="13"/>
    </row>
    <row r="361" spans="1:31" x14ac:dyDescent="0.3">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c r="AD361" s="13"/>
      <c r="AE361" s="13"/>
    </row>
    <row r="362" spans="1:31" x14ac:dyDescent="0.3">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c r="AD362" s="13"/>
      <c r="AE362" s="13"/>
    </row>
    <row r="363" spans="1:31" x14ac:dyDescent="0.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c r="AD363" s="13"/>
      <c r="AE363" s="13"/>
    </row>
    <row r="364" spans="1:31" x14ac:dyDescent="0.3">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row>
    <row r="365" spans="1:31" x14ac:dyDescent="0.3">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c r="AD365" s="13"/>
      <c r="AE365" s="13"/>
    </row>
    <row r="366" spans="1:31" x14ac:dyDescent="0.3">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c r="AD366" s="13"/>
      <c r="AE366" s="13"/>
    </row>
    <row r="367" spans="1:31" x14ac:dyDescent="0.3">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c r="AD367" s="13"/>
      <c r="AE367" s="13"/>
    </row>
    <row r="368" spans="1:31" x14ac:dyDescent="0.3">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c r="AD368" s="13"/>
      <c r="AE368" s="13"/>
    </row>
    <row r="369" spans="1:31" x14ac:dyDescent="0.3">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c r="AD369" s="13"/>
      <c r="AE369" s="13"/>
    </row>
    <row r="370" spans="1:31" x14ac:dyDescent="0.3">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row>
    <row r="371" spans="1:31" x14ac:dyDescent="0.3">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c r="AD371" s="13"/>
      <c r="AE371" s="13"/>
    </row>
    <row r="372" spans="1:31" x14ac:dyDescent="0.3">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row>
    <row r="373" spans="1:31" x14ac:dyDescent="0.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c r="AE373" s="13"/>
    </row>
    <row r="374" spans="1:31" x14ac:dyDescent="0.3">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c r="AD374" s="13"/>
      <c r="AE374" s="13"/>
    </row>
    <row r="375" spans="1:31" x14ac:dyDescent="0.3">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c r="AD375" s="13"/>
      <c r="AE375" s="13"/>
    </row>
    <row r="376" spans="1:31" x14ac:dyDescent="0.3">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c r="AD376" s="13"/>
      <c r="AE376" s="13"/>
    </row>
    <row r="377" spans="1:31" x14ac:dyDescent="0.3">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row>
    <row r="378" spans="1:31" x14ac:dyDescent="0.3">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row>
    <row r="379" spans="1:31" x14ac:dyDescent="0.3">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row>
    <row r="380" spans="1:31" x14ac:dyDescent="0.3">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row>
    <row r="381" spans="1:31" x14ac:dyDescent="0.3">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row>
    <row r="382" spans="1:31" x14ac:dyDescent="0.3">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row>
    <row r="383" spans="1:31" x14ac:dyDescent="0.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c r="AD383" s="13"/>
      <c r="AE383" s="13"/>
    </row>
    <row r="384" spans="1:31" x14ac:dyDescent="0.3">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c r="AE384" s="13"/>
    </row>
    <row r="385" spans="1:31" x14ac:dyDescent="0.3">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c r="AE385" s="13"/>
    </row>
    <row r="386" spans="1:31" x14ac:dyDescent="0.3">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row>
    <row r="387" spans="1:31" x14ac:dyDescent="0.3">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row>
    <row r="388" spans="1:31" x14ac:dyDescent="0.3">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row>
    <row r="389" spans="1:31" x14ac:dyDescent="0.3">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row>
    <row r="390" spans="1:31" x14ac:dyDescent="0.3">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c r="AE390" s="13"/>
    </row>
    <row r="391" spans="1:31" x14ac:dyDescent="0.3">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c r="AE391" s="13"/>
    </row>
    <row r="392" spans="1:31" x14ac:dyDescent="0.3">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c r="AE392" s="13"/>
    </row>
    <row r="393" spans="1:31" x14ac:dyDescent="0.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row>
    <row r="394" spans="1:31" x14ac:dyDescent="0.3">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c r="AE394" s="13"/>
    </row>
    <row r="395" spans="1:31" x14ac:dyDescent="0.3">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c r="AD395" s="13"/>
      <c r="AE395" s="13"/>
    </row>
    <row r="396" spans="1:31" x14ac:dyDescent="0.3">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c r="AE396" s="13"/>
    </row>
    <row r="397" spans="1:31" x14ac:dyDescent="0.3">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c r="AE397" s="13"/>
    </row>
    <row r="398" spans="1:31" x14ac:dyDescent="0.3">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c r="AD398" s="13"/>
      <c r="AE398" s="13"/>
    </row>
    <row r="399" spans="1:31" x14ac:dyDescent="0.3">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c r="AD399" s="13"/>
      <c r="AE399" s="13"/>
    </row>
    <row r="400" spans="1:31" x14ac:dyDescent="0.3">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c r="AD400" s="13"/>
      <c r="AE400" s="13"/>
    </row>
    <row r="401" spans="1:31" x14ac:dyDescent="0.3">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c r="AD401" s="13"/>
      <c r="AE401" s="13"/>
    </row>
    <row r="402" spans="1:31" x14ac:dyDescent="0.3">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c r="AD402" s="13"/>
      <c r="AE402" s="13"/>
    </row>
    <row r="403" spans="1:31" x14ac:dyDescent="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c r="AD403" s="13"/>
      <c r="AE403" s="13"/>
    </row>
    <row r="404" spans="1:31" x14ac:dyDescent="0.3">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c r="AD404" s="13"/>
      <c r="AE404" s="13"/>
    </row>
    <row r="405" spans="1:31" x14ac:dyDescent="0.3">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c r="AD405" s="13"/>
      <c r="AE405" s="13"/>
    </row>
    <row r="406" spans="1:31" x14ac:dyDescent="0.3">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c r="AD406" s="13"/>
      <c r="AE406" s="13"/>
    </row>
    <row r="407" spans="1:31" x14ac:dyDescent="0.3">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c r="AD407" s="13"/>
      <c r="AE407" s="13"/>
    </row>
    <row r="408" spans="1:31" x14ac:dyDescent="0.3">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c r="AD408" s="13"/>
      <c r="AE408" s="13"/>
    </row>
    <row r="409" spans="1:31" x14ac:dyDescent="0.3">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c r="AD409" s="13"/>
      <c r="AE409" s="13"/>
    </row>
    <row r="410" spans="1:31" x14ac:dyDescent="0.3">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c r="AD410" s="13"/>
      <c r="AE410" s="13"/>
    </row>
    <row r="411" spans="1:31" x14ac:dyDescent="0.3">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c r="AD411" s="13"/>
      <c r="AE411" s="13"/>
    </row>
    <row r="412" spans="1:31" x14ac:dyDescent="0.3">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c r="AD412" s="13"/>
      <c r="AE412" s="13"/>
    </row>
    <row r="413" spans="1:31" x14ac:dyDescent="0.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c r="AD413" s="13"/>
      <c r="AE413" s="13"/>
    </row>
    <row r="414" spans="1:31" x14ac:dyDescent="0.3">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c r="AD414" s="13"/>
      <c r="AE414" s="13"/>
    </row>
    <row r="415" spans="1:31" x14ac:dyDescent="0.3">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c r="AD415" s="13"/>
      <c r="AE415" s="13"/>
    </row>
    <row r="416" spans="1:31" x14ac:dyDescent="0.3">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c r="AD416" s="13"/>
      <c r="AE416" s="13"/>
    </row>
    <row r="417" spans="1:31" x14ac:dyDescent="0.3">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c r="AD417" s="13"/>
      <c r="AE417" s="13"/>
    </row>
    <row r="418" spans="1:31" x14ac:dyDescent="0.3">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c r="AD418" s="13"/>
      <c r="AE418" s="13"/>
    </row>
    <row r="419" spans="1:31" x14ac:dyDescent="0.3">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c r="AD419" s="13"/>
      <c r="AE419" s="13"/>
    </row>
    <row r="420" spans="1:31" x14ac:dyDescent="0.3">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c r="AD420" s="13"/>
      <c r="AE420" s="13"/>
    </row>
    <row r="421" spans="1:31" x14ac:dyDescent="0.3">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c r="AD421" s="13"/>
      <c r="AE421" s="13"/>
    </row>
    <row r="422" spans="1:31" x14ac:dyDescent="0.3">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c r="AD422" s="13"/>
      <c r="AE422" s="13"/>
    </row>
    <row r="423" spans="1:31" x14ac:dyDescent="0.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c r="AD423" s="13"/>
      <c r="AE423" s="13"/>
    </row>
    <row r="424" spans="1:31" x14ac:dyDescent="0.3">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c r="AD424" s="13"/>
      <c r="AE424" s="13"/>
    </row>
    <row r="425" spans="1:31" x14ac:dyDescent="0.3">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c r="AD425" s="13"/>
      <c r="AE425" s="13"/>
    </row>
    <row r="426" spans="1:31" x14ac:dyDescent="0.3">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c r="AD426" s="13"/>
      <c r="AE426" s="13"/>
    </row>
    <row r="427" spans="1:31" x14ac:dyDescent="0.3">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c r="AD427" s="13"/>
      <c r="AE427" s="13"/>
    </row>
    <row r="428" spans="1:31" x14ac:dyDescent="0.3">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c r="AE428" s="13"/>
    </row>
    <row r="429" spans="1:31" x14ac:dyDescent="0.3">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row>
    <row r="430" spans="1:31" x14ac:dyDescent="0.3">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c r="AE430" s="13"/>
    </row>
    <row r="431" spans="1:31" x14ac:dyDescent="0.3">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c r="AE431" s="13"/>
    </row>
    <row r="432" spans="1:31" x14ac:dyDescent="0.3">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c r="AE432" s="13"/>
    </row>
    <row r="433" spans="1:31" x14ac:dyDescent="0.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c r="AE433" s="13"/>
    </row>
    <row r="434" spans="1:31" x14ac:dyDescent="0.3">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c r="AE434" s="13"/>
    </row>
    <row r="435" spans="1:31" x14ac:dyDescent="0.3">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row>
    <row r="436" spans="1:31" x14ac:dyDescent="0.3">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c r="AE436" s="13"/>
    </row>
    <row r="437" spans="1:31" x14ac:dyDescent="0.3">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row>
    <row r="438" spans="1:31" x14ac:dyDescent="0.3">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row>
    <row r="439" spans="1:31" x14ac:dyDescent="0.3">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row>
    <row r="440" spans="1:31" x14ac:dyDescent="0.3">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row>
    <row r="441" spans="1:31" x14ac:dyDescent="0.3">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row>
    <row r="442" spans="1:31" x14ac:dyDescent="0.3">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row>
    <row r="443" spans="1:31" x14ac:dyDescent="0.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c r="AE443" s="13"/>
    </row>
    <row r="444" spans="1:31" x14ac:dyDescent="0.3">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row>
    <row r="445" spans="1:31" x14ac:dyDescent="0.3">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c r="AE445" s="13"/>
    </row>
    <row r="446" spans="1:31" x14ac:dyDescent="0.3">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c r="AD446" s="13"/>
      <c r="AE446" s="13"/>
    </row>
    <row r="447" spans="1:31" x14ac:dyDescent="0.3">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c r="AE447" s="13"/>
    </row>
    <row r="448" spans="1:31" x14ac:dyDescent="0.3">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c r="AD448" s="13"/>
      <c r="AE448" s="13"/>
    </row>
    <row r="449" spans="1:31" x14ac:dyDescent="0.3">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c r="AD449" s="13"/>
      <c r="AE449" s="13"/>
    </row>
    <row r="450" spans="1:31" x14ac:dyDescent="0.3">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c r="AD450" s="13"/>
      <c r="AE450" s="13"/>
    </row>
    <row r="451" spans="1:31" x14ac:dyDescent="0.3">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row>
    <row r="452" spans="1:31" x14ac:dyDescent="0.3">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c r="AD452" s="13"/>
      <c r="AE452" s="13"/>
    </row>
    <row r="453" spans="1:31" x14ac:dyDescent="0.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row>
    <row r="454" spans="1:31" x14ac:dyDescent="0.3">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c r="AE454" s="13"/>
    </row>
    <row r="455" spans="1:31" x14ac:dyDescent="0.3">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c r="AD455" s="13"/>
      <c r="AE455" s="13"/>
    </row>
    <row r="456" spans="1:31" x14ac:dyDescent="0.3">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c r="AD456" s="13"/>
      <c r="AE456" s="13"/>
    </row>
    <row r="457" spans="1:31" x14ac:dyDescent="0.3">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c r="AD457" s="13"/>
      <c r="AE457" s="13"/>
    </row>
    <row r="458" spans="1:31" x14ac:dyDescent="0.3">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c r="AE458" s="13"/>
    </row>
    <row r="459" spans="1:31" x14ac:dyDescent="0.3">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c r="AD459" s="13"/>
      <c r="AE459" s="13"/>
    </row>
    <row r="460" spans="1:31" x14ac:dyDescent="0.3">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c r="AE460" s="13"/>
    </row>
    <row r="461" spans="1:31" x14ac:dyDescent="0.3">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c r="AD461" s="13"/>
      <c r="AE461" s="13"/>
    </row>
    <row r="462" spans="1:31" x14ac:dyDescent="0.3">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c r="AD462" s="13"/>
      <c r="AE462" s="13"/>
    </row>
    <row r="463" spans="1:31" x14ac:dyDescent="0.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c r="AE463" s="13"/>
    </row>
    <row r="464" spans="1:31" x14ac:dyDescent="0.3">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c r="AD464" s="13"/>
      <c r="AE464" s="13"/>
    </row>
    <row r="465" spans="1:31" x14ac:dyDescent="0.3">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row>
    <row r="466" spans="1:31" x14ac:dyDescent="0.3">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c r="AD466" s="13"/>
      <c r="AE466" s="13"/>
    </row>
    <row r="467" spans="1:31" x14ac:dyDescent="0.3">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c r="AE467" s="13"/>
    </row>
    <row r="468" spans="1:31" x14ac:dyDescent="0.3">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row>
    <row r="469" spans="1:31" x14ac:dyDescent="0.3">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c r="AE469" s="13"/>
    </row>
    <row r="470" spans="1:31" x14ac:dyDescent="0.3">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c r="AE470" s="13"/>
    </row>
    <row r="471" spans="1:31" x14ac:dyDescent="0.3">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c r="AD471" s="13"/>
      <c r="AE471" s="13"/>
    </row>
    <row r="472" spans="1:31" x14ac:dyDescent="0.3">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c r="AD472" s="13"/>
      <c r="AE472" s="13"/>
    </row>
    <row r="473" spans="1:31" x14ac:dyDescent="0.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c r="AD473" s="13"/>
      <c r="AE473" s="13"/>
    </row>
    <row r="474" spans="1:31" x14ac:dyDescent="0.3">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c r="AE474" s="13"/>
    </row>
    <row r="475" spans="1:31" x14ac:dyDescent="0.3">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c r="AE475" s="13"/>
    </row>
    <row r="476" spans="1:31" x14ac:dyDescent="0.3">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c r="AE476" s="13"/>
    </row>
    <row r="477" spans="1:31" x14ac:dyDescent="0.3">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row>
    <row r="478" spans="1:31" x14ac:dyDescent="0.3">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c r="AE478" s="13"/>
    </row>
    <row r="479" spans="1:31" x14ac:dyDescent="0.3">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c r="AD479" s="13"/>
      <c r="AE479" s="13"/>
    </row>
    <row r="480" spans="1:31" x14ac:dyDescent="0.3">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3"/>
      <c r="AE480" s="13"/>
    </row>
    <row r="481" spans="1:31" x14ac:dyDescent="0.3">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c r="AD481" s="13"/>
      <c r="AE481" s="13"/>
    </row>
    <row r="482" spans="1:31" x14ac:dyDescent="0.3">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c r="AD482" s="13"/>
      <c r="AE482" s="13"/>
    </row>
    <row r="483" spans="1:31" x14ac:dyDescent="0.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c r="AD483" s="13"/>
      <c r="AE483" s="13"/>
    </row>
    <row r="484" spans="1:31" x14ac:dyDescent="0.3">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c r="AD484" s="13"/>
      <c r="AE484" s="13"/>
    </row>
    <row r="485" spans="1:31" x14ac:dyDescent="0.3">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c r="AD485" s="13"/>
      <c r="AE485" s="13"/>
    </row>
    <row r="486" spans="1:31" x14ac:dyDescent="0.3">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c r="AD486" s="13"/>
      <c r="AE486" s="13"/>
    </row>
    <row r="487" spans="1:31" x14ac:dyDescent="0.3">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c r="AD487" s="13"/>
      <c r="AE487" s="13"/>
    </row>
    <row r="488" spans="1:31" x14ac:dyDescent="0.3">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c r="AD488" s="13"/>
      <c r="AE488" s="13"/>
    </row>
    <row r="489" spans="1:31" x14ac:dyDescent="0.3">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c r="AD489" s="13"/>
      <c r="AE489" s="13"/>
    </row>
    <row r="490" spans="1:31" x14ac:dyDescent="0.3">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c r="AD490" s="13"/>
      <c r="AE490" s="13"/>
    </row>
    <row r="491" spans="1:31" x14ac:dyDescent="0.3">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c r="AD491" s="13"/>
      <c r="AE491" s="13"/>
    </row>
    <row r="492" spans="1:31" x14ac:dyDescent="0.3">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c r="AD492" s="13"/>
      <c r="AE492" s="13"/>
    </row>
    <row r="493" spans="1:31" x14ac:dyDescent="0.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c r="AD493" s="13"/>
      <c r="AE493" s="13"/>
    </row>
    <row r="494" spans="1:31" x14ac:dyDescent="0.3">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c r="AD494" s="13"/>
      <c r="AE494" s="13"/>
    </row>
    <row r="495" spans="1:31" x14ac:dyDescent="0.3">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c r="AD495" s="13"/>
      <c r="AE495" s="13"/>
    </row>
    <row r="496" spans="1:31" x14ac:dyDescent="0.3">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c r="AD496" s="13"/>
      <c r="AE496" s="13"/>
    </row>
    <row r="497" spans="1:31" x14ac:dyDescent="0.3">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c r="AD497" s="13"/>
      <c r="AE497" s="13"/>
    </row>
    <row r="498" spans="1:31" x14ac:dyDescent="0.3">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c r="AD498" s="13"/>
      <c r="AE498" s="13"/>
    </row>
    <row r="499" spans="1:31" x14ac:dyDescent="0.3">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c r="AD499" s="13"/>
      <c r="AE499" s="13"/>
    </row>
    <row r="500" spans="1:31" x14ac:dyDescent="0.3">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c r="AD500" s="13"/>
      <c r="AE500" s="13"/>
    </row>
    <row r="501" spans="1:31" x14ac:dyDescent="0.3">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c r="AD501" s="13"/>
      <c r="AE501" s="13"/>
    </row>
    <row r="502" spans="1:31" x14ac:dyDescent="0.3">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c r="AD502" s="13"/>
      <c r="AE502" s="13"/>
    </row>
    <row r="503" spans="1:31" x14ac:dyDescent="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c r="AD503" s="13"/>
      <c r="AE503" s="13"/>
    </row>
    <row r="504" spans="1:31" x14ac:dyDescent="0.3">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c r="AD504" s="13"/>
      <c r="AE504" s="13"/>
    </row>
    <row r="505" spans="1:31" x14ac:dyDescent="0.3">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c r="AD505" s="13"/>
      <c r="AE505" s="13"/>
    </row>
    <row r="506" spans="1:31" x14ac:dyDescent="0.3">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c r="AD506" s="13"/>
      <c r="AE506" s="13"/>
    </row>
    <row r="507" spans="1:31" x14ac:dyDescent="0.3">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c r="AD507" s="13"/>
      <c r="AE507" s="13"/>
    </row>
    <row r="508" spans="1:31" x14ac:dyDescent="0.3">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c r="AD508" s="13"/>
      <c r="AE508" s="13"/>
    </row>
    <row r="509" spans="1:31" x14ac:dyDescent="0.3">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c r="AD509" s="13"/>
      <c r="AE509" s="13"/>
    </row>
    <row r="510" spans="1:31" x14ac:dyDescent="0.3">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c r="AD510" s="13"/>
      <c r="AE510" s="13"/>
    </row>
    <row r="511" spans="1:31" x14ac:dyDescent="0.3">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c r="AD511" s="13"/>
      <c r="AE511" s="13"/>
    </row>
    <row r="512" spans="1:31" x14ac:dyDescent="0.3">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c r="AD512" s="13"/>
      <c r="AE512" s="13"/>
    </row>
    <row r="513" spans="1:31" x14ac:dyDescent="0.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c r="AD513" s="13"/>
      <c r="AE513" s="13"/>
    </row>
    <row r="514" spans="1:31" x14ac:dyDescent="0.3">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c r="AD514" s="13"/>
      <c r="AE514" s="13"/>
    </row>
    <row r="515" spans="1:31" x14ac:dyDescent="0.3">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c r="AD515" s="13"/>
      <c r="AE515" s="13"/>
    </row>
    <row r="516" spans="1:31" x14ac:dyDescent="0.3">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c r="AD516" s="13"/>
      <c r="AE516" s="13"/>
    </row>
    <row r="517" spans="1:31" x14ac:dyDescent="0.3">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c r="AD517" s="13"/>
      <c r="AE517" s="13"/>
    </row>
    <row r="518" spans="1:31" x14ac:dyDescent="0.3">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c r="AD518" s="13"/>
      <c r="AE518" s="13"/>
    </row>
    <row r="519" spans="1:31" x14ac:dyDescent="0.3">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c r="AD519" s="13"/>
      <c r="AE519" s="13"/>
    </row>
    <row r="520" spans="1:31" x14ac:dyDescent="0.3">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c r="AD520" s="13"/>
      <c r="AE520" s="13"/>
    </row>
    <row r="521" spans="1:31" x14ac:dyDescent="0.3">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c r="AD521" s="13"/>
      <c r="AE521" s="13"/>
    </row>
    <row r="522" spans="1:31" x14ac:dyDescent="0.3">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c r="AD522" s="13"/>
      <c r="AE522" s="13"/>
    </row>
    <row r="523" spans="1:31" x14ac:dyDescent="0.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c r="AD523" s="13"/>
      <c r="AE523" s="13"/>
    </row>
    <row r="524" spans="1:31" x14ac:dyDescent="0.3">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c r="AD524" s="13"/>
      <c r="AE524" s="13"/>
    </row>
    <row r="525" spans="1:31" x14ac:dyDescent="0.3">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c r="AD525" s="13"/>
      <c r="AE525" s="13"/>
    </row>
    <row r="526" spans="1:31" x14ac:dyDescent="0.3">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c r="AD526" s="13"/>
      <c r="AE526" s="13"/>
    </row>
    <row r="527" spans="1:31" x14ac:dyDescent="0.3">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c r="AD527" s="13"/>
      <c r="AE527" s="13"/>
    </row>
    <row r="528" spans="1:31" x14ac:dyDescent="0.3">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c r="AD528" s="13"/>
      <c r="AE528" s="13"/>
    </row>
    <row r="529" spans="1:31" x14ac:dyDescent="0.3">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c r="AD529" s="13"/>
      <c r="AE529" s="13"/>
    </row>
    <row r="530" spans="1:31" x14ac:dyDescent="0.3">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c r="AD530" s="13"/>
      <c r="AE530" s="13"/>
    </row>
    <row r="531" spans="1:31" x14ac:dyDescent="0.3">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c r="AD531" s="13"/>
      <c r="AE531" s="13"/>
    </row>
    <row r="532" spans="1:31" x14ac:dyDescent="0.3">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c r="AD532" s="13"/>
      <c r="AE532" s="13"/>
    </row>
    <row r="533" spans="1:31" x14ac:dyDescent="0.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c r="AD533" s="13"/>
      <c r="AE533" s="13"/>
    </row>
    <row r="534" spans="1:31" x14ac:dyDescent="0.3">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c r="AD534" s="13"/>
      <c r="AE534" s="13"/>
    </row>
    <row r="535" spans="1:31" x14ac:dyDescent="0.3">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c r="AD535" s="13"/>
      <c r="AE535" s="13"/>
    </row>
    <row r="536" spans="1:31" x14ac:dyDescent="0.3">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c r="AD536" s="13"/>
      <c r="AE536" s="13"/>
    </row>
    <row r="537" spans="1:31" x14ac:dyDescent="0.3">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c r="AD537" s="13"/>
      <c r="AE537" s="13"/>
    </row>
    <row r="538" spans="1:31" x14ac:dyDescent="0.3">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c r="AD538" s="13"/>
      <c r="AE538" s="13"/>
    </row>
    <row r="539" spans="1:31" x14ac:dyDescent="0.3">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c r="AD539" s="13"/>
      <c r="AE539" s="13"/>
    </row>
    <row r="540" spans="1:31" x14ac:dyDescent="0.3">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c r="AD540" s="13"/>
      <c r="AE540" s="13"/>
    </row>
    <row r="541" spans="1:31" x14ac:dyDescent="0.3">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c r="AD541" s="13"/>
      <c r="AE541" s="13"/>
    </row>
    <row r="542" spans="1:31" x14ac:dyDescent="0.3">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c r="AD542" s="13"/>
      <c r="AE542" s="13"/>
    </row>
    <row r="543" spans="1:31" x14ac:dyDescent="0.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c r="AD543" s="13"/>
      <c r="AE543" s="13"/>
    </row>
    <row r="544" spans="1:31" x14ac:dyDescent="0.3">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c r="AD544" s="13"/>
      <c r="AE544" s="13"/>
    </row>
    <row r="545" spans="1:31" x14ac:dyDescent="0.3">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c r="AD545" s="13"/>
      <c r="AE545" s="13"/>
    </row>
    <row r="546" spans="1:31" x14ac:dyDescent="0.3">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c r="AD546" s="13"/>
      <c r="AE546" s="13"/>
    </row>
    <row r="547" spans="1:31" x14ac:dyDescent="0.3">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c r="AD547" s="13"/>
      <c r="AE547" s="13"/>
    </row>
    <row r="548" spans="1:31" x14ac:dyDescent="0.3">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c r="AD548" s="13"/>
      <c r="AE548" s="13"/>
    </row>
    <row r="549" spans="1:31" x14ac:dyDescent="0.3">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c r="AD549" s="13"/>
      <c r="AE549" s="13"/>
    </row>
    <row r="550" spans="1:31" x14ac:dyDescent="0.3">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c r="AD550" s="13"/>
      <c r="AE550" s="13"/>
    </row>
    <row r="551" spans="1:31" x14ac:dyDescent="0.3">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c r="AD551" s="13"/>
      <c r="AE551" s="13"/>
    </row>
    <row r="552" spans="1:31" x14ac:dyDescent="0.3">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c r="AD552" s="13"/>
      <c r="AE552" s="13"/>
    </row>
    <row r="553" spans="1:31" x14ac:dyDescent="0.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c r="AD553" s="13"/>
      <c r="AE553" s="13"/>
    </row>
    <row r="554" spans="1:31" x14ac:dyDescent="0.3">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c r="AD554" s="13"/>
      <c r="AE554" s="13"/>
    </row>
    <row r="555" spans="1:31" x14ac:dyDescent="0.3">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c r="AD555" s="13"/>
      <c r="AE555" s="13"/>
    </row>
    <row r="556" spans="1:31" x14ac:dyDescent="0.3">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c r="AD556" s="13"/>
      <c r="AE556" s="13"/>
    </row>
    <row r="557" spans="1:31" x14ac:dyDescent="0.3">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c r="AD557" s="13"/>
      <c r="AE557" s="13"/>
    </row>
    <row r="558" spans="1:31" x14ac:dyDescent="0.3">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c r="AD558" s="13"/>
      <c r="AE558" s="13"/>
    </row>
    <row r="559" spans="1:31" x14ac:dyDescent="0.3">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c r="AD559" s="13"/>
      <c r="AE559" s="13"/>
    </row>
    <row r="560" spans="1:31" x14ac:dyDescent="0.3">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c r="AD560" s="13"/>
      <c r="AE560" s="13"/>
    </row>
    <row r="561" spans="1:31" x14ac:dyDescent="0.3">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c r="AD561" s="13"/>
      <c r="AE561" s="13"/>
    </row>
    <row r="562" spans="1:31" x14ac:dyDescent="0.3">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c r="AD562" s="13"/>
      <c r="AE562" s="13"/>
    </row>
    <row r="563" spans="1:31" x14ac:dyDescent="0.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c r="AD563" s="13"/>
      <c r="AE563" s="13"/>
    </row>
    <row r="564" spans="1:31" x14ac:dyDescent="0.3">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c r="AD564" s="13"/>
      <c r="AE564" s="13"/>
    </row>
    <row r="565" spans="1:31" x14ac:dyDescent="0.3">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c r="AD565" s="13"/>
      <c r="AE565" s="13"/>
    </row>
    <row r="566" spans="1:31" x14ac:dyDescent="0.3">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c r="AD566" s="13"/>
      <c r="AE566" s="13"/>
    </row>
    <row r="567" spans="1:31" x14ac:dyDescent="0.3">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c r="AD567" s="13"/>
      <c r="AE567" s="13"/>
    </row>
    <row r="568" spans="1:31" x14ac:dyDescent="0.3">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c r="AD568" s="13"/>
      <c r="AE568" s="13"/>
    </row>
    <row r="569" spans="1:31" x14ac:dyDescent="0.3">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c r="AD569" s="13"/>
      <c r="AE569" s="13"/>
    </row>
    <row r="570" spans="1:31" x14ac:dyDescent="0.3">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c r="AD570" s="13"/>
      <c r="AE570" s="13"/>
    </row>
    <row r="571" spans="1:31" x14ac:dyDescent="0.3">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c r="AD571" s="13"/>
      <c r="AE571" s="13"/>
    </row>
    <row r="572" spans="1:31" x14ac:dyDescent="0.3">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c r="AD572" s="13"/>
      <c r="AE572" s="13"/>
    </row>
    <row r="573" spans="1:31" x14ac:dyDescent="0.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c r="AD573" s="13"/>
      <c r="AE573" s="13"/>
    </row>
    <row r="574" spans="1:31" x14ac:dyDescent="0.3">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c r="AD574" s="13"/>
      <c r="AE574" s="13"/>
    </row>
    <row r="575" spans="1:31" x14ac:dyDescent="0.3">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c r="AD575" s="13"/>
      <c r="AE575" s="13"/>
    </row>
    <row r="576" spans="1:31" x14ac:dyDescent="0.3">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c r="AD576" s="13"/>
      <c r="AE576" s="13"/>
    </row>
    <row r="577" spans="1:31" x14ac:dyDescent="0.3">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c r="AD577" s="13"/>
      <c r="AE577" s="13"/>
    </row>
    <row r="578" spans="1:31" x14ac:dyDescent="0.3">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c r="AD578" s="13"/>
      <c r="AE578" s="13"/>
    </row>
    <row r="579" spans="1:31" x14ac:dyDescent="0.3">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c r="AD579" s="13"/>
      <c r="AE579" s="13"/>
    </row>
    <row r="580" spans="1:31" x14ac:dyDescent="0.3">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c r="AD580" s="13"/>
      <c r="AE580" s="13"/>
    </row>
    <row r="581" spans="1:31" x14ac:dyDescent="0.3">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c r="AD581" s="13"/>
      <c r="AE581" s="13"/>
    </row>
    <row r="582" spans="1:31" x14ac:dyDescent="0.3">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c r="AD582" s="13"/>
      <c r="AE582" s="13"/>
    </row>
    <row r="583" spans="1:31" x14ac:dyDescent="0.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c r="AD583" s="13"/>
      <c r="AE583" s="13"/>
    </row>
    <row r="584" spans="1:31" x14ac:dyDescent="0.3">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c r="AD584" s="13"/>
      <c r="AE584" s="13"/>
    </row>
    <row r="585" spans="1:31" x14ac:dyDescent="0.3">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c r="AD585" s="13"/>
      <c r="AE585" s="13"/>
    </row>
    <row r="586" spans="1:31" x14ac:dyDescent="0.3">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c r="AD586" s="13"/>
      <c r="AE586" s="13"/>
    </row>
    <row r="587" spans="1:31" x14ac:dyDescent="0.3">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c r="AD587" s="13"/>
      <c r="AE587" s="13"/>
    </row>
    <row r="588" spans="1:31" x14ac:dyDescent="0.3">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c r="AD588" s="13"/>
      <c r="AE588" s="13"/>
    </row>
    <row r="589" spans="1:31" x14ac:dyDescent="0.3">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c r="AD589" s="13"/>
      <c r="AE589" s="13"/>
    </row>
    <row r="590" spans="1:31" x14ac:dyDescent="0.3">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c r="AD590" s="13"/>
      <c r="AE590" s="13"/>
    </row>
    <row r="591" spans="1:31" x14ac:dyDescent="0.3">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c r="AD591" s="13"/>
      <c r="AE591" s="13"/>
    </row>
    <row r="592" spans="1:31" x14ac:dyDescent="0.3">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c r="AD592" s="13"/>
      <c r="AE592" s="13"/>
    </row>
    <row r="593" spans="1:31" x14ac:dyDescent="0.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c r="AD593" s="13"/>
      <c r="AE593" s="13"/>
    </row>
    <row r="594" spans="1:31" x14ac:dyDescent="0.3">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c r="AD594" s="13"/>
      <c r="AE594" s="13"/>
    </row>
    <row r="595" spans="1:31" x14ac:dyDescent="0.3">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c r="AD595" s="13"/>
      <c r="AE595" s="13"/>
    </row>
    <row r="596" spans="1:31" x14ac:dyDescent="0.3">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c r="AD596" s="13"/>
      <c r="AE596" s="13"/>
    </row>
    <row r="597" spans="1:31" x14ac:dyDescent="0.3">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c r="AD597" s="13"/>
      <c r="AE597" s="13"/>
    </row>
    <row r="598" spans="1:31" x14ac:dyDescent="0.3">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c r="AD598" s="13"/>
      <c r="AE598" s="13"/>
    </row>
    <row r="599" spans="1:31" x14ac:dyDescent="0.3">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c r="AD599" s="13"/>
      <c r="AE599" s="13"/>
    </row>
    <row r="600" spans="1:31" x14ac:dyDescent="0.3">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c r="AD600" s="13"/>
      <c r="AE600" s="13"/>
    </row>
    <row r="601" spans="1:31" x14ac:dyDescent="0.3">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c r="AD601" s="13"/>
      <c r="AE601" s="13"/>
    </row>
    <row r="602" spans="1:31" x14ac:dyDescent="0.3">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c r="AD602" s="13"/>
      <c r="AE602" s="13"/>
    </row>
    <row r="603" spans="1:31" x14ac:dyDescent="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c r="AD603" s="13"/>
      <c r="AE603" s="13"/>
    </row>
    <row r="604" spans="1:31" x14ac:dyDescent="0.3">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c r="AD604" s="13"/>
      <c r="AE604" s="13"/>
    </row>
    <row r="605" spans="1:31" x14ac:dyDescent="0.3">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c r="AD605" s="13"/>
      <c r="AE605" s="13"/>
    </row>
    <row r="606" spans="1:31" x14ac:dyDescent="0.3">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c r="AD606" s="13"/>
      <c r="AE606" s="13"/>
    </row>
    <row r="607" spans="1:31" x14ac:dyDescent="0.3">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c r="AD607" s="13"/>
      <c r="AE607" s="13"/>
    </row>
    <row r="608" spans="1:31" x14ac:dyDescent="0.3">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c r="AD608" s="13"/>
      <c r="AE608" s="13"/>
    </row>
    <row r="609" spans="1:31" x14ac:dyDescent="0.3">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c r="AD609" s="13"/>
      <c r="AE609" s="13"/>
    </row>
    <row r="610" spans="1:31" x14ac:dyDescent="0.3">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c r="AD610" s="13"/>
      <c r="AE610" s="13"/>
    </row>
    <row r="611" spans="1:31" x14ac:dyDescent="0.3">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c r="AD611" s="13"/>
      <c r="AE611" s="13"/>
    </row>
    <row r="612" spans="1:31" x14ac:dyDescent="0.3">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c r="AD612" s="13"/>
      <c r="AE612" s="13"/>
    </row>
    <row r="613" spans="1:31" x14ac:dyDescent="0.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c r="AD613" s="13"/>
      <c r="AE613" s="13"/>
    </row>
    <row r="614" spans="1:31" x14ac:dyDescent="0.3">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c r="AD614" s="13"/>
      <c r="AE614" s="13"/>
    </row>
    <row r="615" spans="1:31" x14ac:dyDescent="0.3">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c r="AD615" s="13"/>
      <c r="AE615" s="13"/>
    </row>
    <row r="616" spans="1:31" x14ac:dyDescent="0.3">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c r="AD616" s="13"/>
      <c r="AE616" s="13"/>
    </row>
    <row r="617" spans="1:31" x14ac:dyDescent="0.3">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c r="AD617" s="13"/>
      <c r="AE617" s="13"/>
    </row>
    <row r="618" spans="1:31" x14ac:dyDescent="0.3">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c r="AD618" s="13"/>
      <c r="AE618" s="13"/>
    </row>
    <row r="619" spans="1:31" x14ac:dyDescent="0.3">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c r="AD619" s="13"/>
      <c r="AE619" s="13"/>
    </row>
    <row r="620" spans="1:31" x14ac:dyDescent="0.3">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c r="AD620" s="13"/>
      <c r="AE620" s="13"/>
    </row>
    <row r="621" spans="1:31" x14ac:dyDescent="0.3">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c r="AD621" s="13"/>
      <c r="AE621" s="13"/>
    </row>
    <row r="622" spans="1:31" x14ac:dyDescent="0.3">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c r="AD622" s="13"/>
      <c r="AE622" s="13"/>
    </row>
    <row r="623" spans="1:31" x14ac:dyDescent="0.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c r="AD623" s="13"/>
      <c r="AE623" s="13"/>
    </row>
    <row r="624" spans="1:31" x14ac:dyDescent="0.3">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c r="AD624" s="13"/>
      <c r="AE624" s="13"/>
    </row>
    <row r="625" spans="1:31" x14ac:dyDescent="0.3">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c r="AD625" s="13"/>
      <c r="AE625" s="13"/>
    </row>
    <row r="626" spans="1:31" x14ac:dyDescent="0.3">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c r="AD626" s="13"/>
      <c r="AE626" s="13"/>
    </row>
    <row r="627" spans="1:31" x14ac:dyDescent="0.3">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c r="AD627" s="13"/>
      <c r="AE627" s="13"/>
    </row>
    <row r="628" spans="1:31" x14ac:dyDescent="0.3">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c r="AD628" s="13"/>
      <c r="AE628" s="13"/>
    </row>
    <row r="629" spans="1:31" x14ac:dyDescent="0.3">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c r="AD629" s="13"/>
      <c r="AE629" s="13"/>
    </row>
    <row r="630" spans="1:31" x14ac:dyDescent="0.3">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c r="AD630" s="13"/>
      <c r="AE630" s="13"/>
    </row>
    <row r="631" spans="1:31" x14ac:dyDescent="0.3">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c r="AD631" s="13"/>
      <c r="AE631" s="13"/>
    </row>
    <row r="632" spans="1:31" x14ac:dyDescent="0.3">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c r="AD632" s="13"/>
      <c r="AE632" s="13"/>
    </row>
    <row r="633" spans="1:31" x14ac:dyDescent="0.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c r="AD633" s="13"/>
      <c r="AE633" s="13"/>
    </row>
    <row r="634" spans="1:31" x14ac:dyDescent="0.3">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c r="AD634" s="13"/>
      <c r="AE634" s="13"/>
    </row>
    <row r="635" spans="1:31" x14ac:dyDescent="0.3">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c r="AD635" s="13"/>
      <c r="AE635" s="13"/>
    </row>
    <row r="636" spans="1:31" x14ac:dyDescent="0.3">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c r="AD636" s="13"/>
      <c r="AE636" s="13"/>
    </row>
    <row r="637" spans="1:31" x14ac:dyDescent="0.3">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c r="AD637" s="13"/>
      <c r="AE637" s="13"/>
    </row>
    <row r="638" spans="1:31" x14ac:dyDescent="0.3">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c r="AD638" s="13"/>
      <c r="AE638" s="13"/>
    </row>
    <row r="639" spans="1:31" x14ac:dyDescent="0.3">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c r="AD639" s="13"/>
      <c r="AE639" s="13"/>
    </row>
    <row r="640" spans="1:31" x14ac:dyDescent="0.3">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c r="AD640" s="13"/>
      <c r="AE640" s="13"/>
    </row>
    <row r="641" spans="1:31" x14ac:dyDescent="0.3">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c r="AD641" s="13"/>
      <c r="AE641" s="13"/>
    </row>
    <row r="642" spans="1:31" x14ac:dyDescent="0.3">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c r="AD642" s="13"/>
      <c r="AE642" s="13"/>
    </row>
    <row r="643" spans="1:31" x14ac:dyDescent="0.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c r="AD643" s="13"/>
      <c r="AE643" s="13"/>
    </row>
    <row r="644" spans="1:31" x14ac:dyDescent="0.3">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c r="AD644" s="13"/>
      <c r="AE644" s="13"/>
    </row>
    <row r="645" spans="1:31" x14ac:dyDescent="0.3">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c r="AD645" s="13"/>
      <c r="AE645" s="13"/>
    </row>
    <row r="646" spans="1:31" x14ac:dyDescent="0.3">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c r="AD646" s="13"/>
      <c r="AE646" s="13"/>
    </row>
    <row r="647" spans="1:31" x14ac:dyDescent="0.3">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c r="AD647" s="13"/>
      <c r="AE647" s="13"/>
    </row>
    <row r="648" spans="1:31" x14ac:dyDescent="0.3">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c r="AD648" s="13"/>
      <c r="AE648" s="13"/>
    </row>
    <row r="649" spans="1:31" x14ac:dyDescent="0.3">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c r="AD649" s="13"/>
      <c r="AE649" s="13"/>
    </row>
    <row r="650" spans="1:31" x14ac:dyDescent="0.3">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c r="AD650" s="13"/>
      <c r="AE650" s="13"/>
    </row>
    <row r="651" spans="1:31" x14ac:dyDescent="0.3">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c r="AD651" s="13"/>
      <c r="AE651" s="13"/>
    </row>
    <row r="652" spans="1:31" x14ac:dyDescent="0.3">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c r="AD652" s="13"/>
      <c r="AE652" s="13"/>
    </row>
    <row r="653" spans="1:31" x14ac:dyDescent="0.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c r="AD653" s="13"/>
      <c r="AE653" s="13"/>
    </row>
    <row r="654" spans="1:31" x14ac:dyDescent="0.3">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c r="AD654" s="13"/>
      <c r="AE654" s="13"/>
    </row>
    <row r="655" spans="1:31" x14ac:dyDescent="0.3">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c r="AD655" s="13"/>
      <c r="AE655" s="13"/>
    </row>
    <row r="656" spans="1:31" x14ac:dyDescent="0.3">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c r="AD656" s="13"/>
      <c r="AE656" s="13"/>
    </row>
    <row r="657" spans="1:31" x14ac:dyDescent="0.3">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c r="AD657" s="13"/>
      <c r="AE657" s="13"/>
    </row>
    <row r="658" spans="1:31" x14ac:dyDescent="0.3">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c r="AD658" s="13"/>
      <c r="AE658" s="13"/>
    </row>
    <row r="659" spans="1:31" x14ac:dyDescent="0.3">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c r="AD659" s="13"/>
      <c r="AE659" s="13"/>
    </row>
    <row r="660" spans="1:31" x14ac:dyDescent="0.3">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c r="AD660" s="13"/>
      <c r="AE660" s="13"/>
    </row>
    <row r="661" spans="1:31" x14ac:dyDescent="0.3">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c r="AD661" s="13"/>
      <c r="AE661" s="13"/>
    </row>
    <row r="662" spans="1:31" x14ac:dyDescent="0.3">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c r="AD662" s="13"/>
      <c r="AE662" s="13"/>
    </row>
    <row r="663" spans="1:31" x14ac:dyDescent="0.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c r="AD663" s="13"/>
      <c r="AE663" s="13"/>
    </row>
    <row r="664" spans="1:31" x14ac:dyDescent="0.3">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c r="AD664" s="13"/>
      <c r="AE664" s="13"/>
    </row>
    <row r="665" spans="1:31" x14ac:dyDescent="0.3">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c r="AD665" s="13"/>
      <c r="AE665" s="13"/>
    </row>
    <row r="666" spans="1:31" x14ac:dyDescent="0.3">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c r="AD666" s="13"/>
      <c r="AE666" s="13"/>
    </row>
    <row r="667" spans="1:31" x14ac:dyDescent="0.3">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c r="AD667" s="13"/>
      <c r="AE667" s="13"/>
    </row>
    <row r="668" spans="1:31" x14ac:dyDescent="0.3">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c r="AD668" s="13"/>
      <c r="AE668" s="13"/>
    </row>
    <row r="669" spans="1:31" x14ac:dyDescent="0.3">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c r="AD669" s="13"/>
      <c r="AE669" s="13"/>
    </row>
    <row r="670" spans="1:31" x14ac:dyDescent="0.3">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c r="AD670" s="13"/>
      <c r="AE670" s="13"/>
    </row>
    <row r="671" spans="1:31" x14ac:dyDescent="0.3">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c r="AD671" s="13"/>
      <c r="AE671" s="13"/>
    </row>
    <row r="672" spans="1:31" x14ac:dyDescent="0.3">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c r="AD672" s="13"/>
      <c r="AE672" s="13"/>
    </row>
    <row r="673" spans="1:31" x14ac:dyDescent="0.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c r="AD673" s="13"/>
      <c r="AE673" s="13"/>
    </row>
    <row r="674" spans="1:31" x14ac:dyDescent="0.3">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c r="AD674" s="13"/>
      <c r="AE674" s="13"/>
    </row>
    <row r="675" spans="1:31" x14ac:dyDescent="0.3">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c r="AD675" s="13"/>
      <c r="AE675" s="13"/>
    </row>
    <row r="676" spans="1:31" x14ac:dyDescent="0.3">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c r="AD676" s="13"/>
      <c r="AE676" s="13"/>
    </row>
    <row r="677" spans="1:31" x14ac:dyDescent="0.3">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c r="AD677" s="13"/>
      <c r="AE677" s="13"/>
    </row>
    <row r="678" spans="1:31" x14ac:dyDescent="0.3">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c r="AD678" s="13"/>
      <c r="AE678" s="13"/>
    </row>
    <row r="679" spans="1:31" x14ac:dyDescent="0.3">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c r="AD679" s="13"/>
      <c r="AE679" s="13"/>
    </row>
    <row r="680" spans="1:31" x14ac:dyDescent="0.3">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c r="AD680" s="13"/>
      <c r="AE680" s="13"/>
    </row>
    <row r="681" spans="1:31" x14ac:dyDescent="0.3">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c r="AD681" s="13"/>
      <c r="AE681" s="13"/>
    </row>
    <row r="682" spans="1:31" x14ac:dyDescent="0.3">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c r="AD682" s="13"/>
      <c r="AE682" s="13"/>
    </row>
    <row r="683" spans="1:31" x14ac:dyDescent="0.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c r="AD683" s="13"/>
      <c r="AE683" s="13"/>
    </row>
    <row r="684" spans="1:31" x14ac:dyDescent="0.3">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c r="AD684" s="13"/>
      <c r="AE684" s="13"/>
    </row>
    <row r="685" spans="1:31" x14ac:dyDescent="0.3">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c r="AD685" s="13"/>
      <c r="AE685" s="13"/>
    </row>
    <row r="686" spans="1:31" x14ac:dyDescent="0.3">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c r="AD686" s="13"/>
      <c r="AE686" s="13"/>
    </row>
    <row r="687" spans="1:31" x14ac:dyDescent="0.3">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c r="AD687" s="13"/>
      <c r="AE687" s="13"/>
    </row>
    <row r="688" spans="1:31" x14ac:dyDescent="0.3">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c r="AD688" s="13"/>
      <c r="AE688" s="13"/>
    </row>
    <row r="689" spans="1:31" x14ac:dyDescent="0.3">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c r="AD689" s="13"/>
      <c r="AE689" s="13"/>
    </row>
    <row r="690" spans="1:31" x14ac:dyDescent="0.3">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c r="AD690" s="13"/>
      <c r="AE690" s="13"/>
    </row>
    <row r="691" spans="1:31" x14ac:dyDescent="0.3">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c r="AD691" s="13"/>
      <c r="AE691" s="13"/>
    </row>
    <row r="692" spans="1:31" x14ac:dyDescent="0.3">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c r="AD692" s="13"/>
      <c r="AE692" s="13"/>
    </row>
    <row r="693" spans="1:31" x14ac:dyDescent="0.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c r="AD693" s="13"/>
      <c r="AE693" s="13"/>
    </row>
    <row r="694" spans="1:31" x14ac:dyDescent="0.3">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c r="AD694" s="13"/>
      <c r="AE694" s="13"/>
    </row>
    <row r="695" spans="1:31" x14ac:dyDescent="0.3">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c r="AD695" s="13"/>
      <c r="AE695" s="13"/>
    </row>
    <row r="696" spans="1:31" x14ac:dyDescent="0.3">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c r="AD696" s="13"/>
      <c r="AE696" s="13"/>
    </row>
    <row r="697" spans="1:31" x14ac:dyDescent="0.3">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c r="AD697" s="13"/>
      <c r="AE697" s="13"/>
    </row>
    <row r="698" spans="1:31" x14ac:dyDescent="0.3">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c r="AD698" s="13"/>
      <c r="AE698" s="13"/>
    </row>
    <row r="699" spans="1:31" x14ac:dyDescent="0.3">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c r="AD699" s="13"/>
      <c r="AE699" s="13"/>
    </row>
    <row r="700" spans="1:31" x14ac:dyDescent="0.3">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c r="AD700" s="13"/>
      <c r="AE700" s="13"/>
    </row>
    <row r="701" spans="1:31" x14ac:dyDescent="0.3">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c r="AD701" s="13"/>
      <c r="AE701" s="13"/>
    </row>
    <row r="702" spans="1:31" x14ac:dyDescent="0.3">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c r="AD702" s="13"/>
      <c r="AE702" s="13"/>
    </row>
    <row r="703" spans="1:31" x14ac:dyDescent="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c r="AD703" s="13"/>
      <c r="AE703" s="13"/>
    </row>
    <row r="704" spans="1:31" x14ac:dyDescent="0.3">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c r="AD704" s="13"/>
      <c r="AE704" s="13"/>
    </row>
    <row r="705" spans="1:31" x14ac:dyDescent="0.3">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c r="AD705" s="13"/>
      <c r="AE705" s="13"/>
    </row>
    <row r="706" spans="1:31" x14ac:dyDescent="0.3">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c r="AD706" s="13"/>
      <c r="AE706" s="13"/>
    </row>
    <row r="707" spans="1:31" x14ac:dyDescent="0.3">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c r="AD707" s="13"/>
      <c r="AE707" s="13"/>
    </row>
    <row r="708" spans="1:31" x14ac:dyDescent="0.3">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c r="AD708" s="13"/>
      <c r="AE708" s="13"/>
    </row>
    <row r="709" spans="1:31" x14ac:dyDescent="0.3">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c r="AD709" s="13"/>
      <c r="AE709" s="13"/>
    </row>
    <row r="710" spans="1:31" x14ac:dyDescent="0.3">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c r="AD710" s="13"/>
      <c r="AE710" s="13"/>
    </row>
    <row r="711" spans="1:31" x14ac:dyDescent="0.3">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c r="AD711" s="13"/>
      <c r="AE711" s="13"/>
    </row>
    <row r="712" spans="1:31" x14ac:dyDescent="0.3">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c r="AD712" s="13"/>
      <c r="AE712" s="13"/>
    </row>
    <row r="713" spans="1:31" x14ac:dyDescent="0.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c r="AD713" s="13"/>
      <c r="AE713" s="13"/>
    </row>
    <row r="714" spans="1:31" x14ac:dyDescent="0.3">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c r="AD714" s="13"/>
      <c r="AE714" s="13"/>
    </row>
    <row r="715" spans="1:31" x14ac:dyDescent="0.3">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c r="AD715" s="13"/>
      <c r="AE715" s="13"/>
    </row>
    <row r="716" spans="1:31" x14ac:dyDescent="0.3">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c r="AD716" s="13"/>
      <c r="AE716" s="13"/>
    </row>
    <row r="717" spans="1:31" x14ac:dyDescent="0.3">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c r="AD717" s="13"/>
      <c r="AE717" s="13"/>
    </row>
    <row r="718" spans="1:31" x14ac:dyDescent="0.3">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c r="AD718" s="13"/>
      <c r="AE718" s="13"/>
    </row>
    <row r="719" spans="1:31" x14ac:dyDescent="0.3">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c r="AD719" s="13"/>
      <c r="AE719" s="13"/>
    </row>
    <row r="720" spans="1:31" x14ac:dyDescent="0.3">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c r="AD720" s="13"/>
      <c r="AE720" s="13"/>
    </row>
    <row r="721" spans="1:31" x14ac:dyDescent="0.3">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c r="AD721" s="13"/>
      <c r="AE721" s="13"/>
    </row>
    <row r="722" spans="1:31" x14ac:dyDescent="0.3">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c r="AD722" s="13"/>
      <c r="AE722" s="13"/>
    </row>
    <row r="723" spans="1:31" x14ac:dyDescent="0.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c r="AD723" s="13"/>
      <c r="AE723" s="13"/>
    </row>
    <row r="724" spans="1:31" x14ac:dyDescent="0.3">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c r="AD724" s="13"/>
      <c r="AE724" s="13"/>
    </row>
    <row r="725" spans="1:31" x14ac:dyDescent="0.3">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c r="AD725" s="13"/>
      <c r="AE725" s="13"/>
    </row>
    <row r="726" spans="1:31" x14ac:dyDescent="0.3">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c r="AD726" s="13"/>
      <c r="AE726" s="13"/>
    </row>
    <row r="727" spans="1:31" x14ac:dyDescent="0.3">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c r="AD727" s="13"/>
      <c r="AE727" s="13"/>
    </row>
    <row r="728" spans="1:31" x14ac:dyDescent="0.3">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c r="AD728" s="13"/>
      <c r="AE728" s="13"/>
    </row>
    <row r="729" spans="1:31" x14ac:dyDescent="0.3">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c r="AD729" s="13"/>
      <c r="AE729" s="13"/>
    </row>
    <row r="730" spans="1:31" x14ac:dyDescent="0.3">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c r="AD730" s="13"/>
      <c r="AE730" s="13"/>
    </row>
    <row r="731" spans="1:31" x14ac:dyDescent="0.3">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c r="AD731" s="13"/>
      <c r="AE731" s="13"/>
    </row>
    <row r="732" spans="1:31" x14ac:dyDescent="0.3">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c r="AD732" s="13"/>
      <c r="AE732" s="13"/>
    </row>
    <row r="733" spans="1:31" x14ac:dyDescent="0.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c r="AD733" s="13"/>
      <c r="AE733" s="13"/>
    </row>
    <row r="734" spans="1:31" x14ac:dyDescent="0.3">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c r="AD734" s="13"/>
      <c r="AE734" s="13"/>
    </row>
    <row r="735" spans="1:31" x14ac:dyDescent="0.3">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c r="AD735" s="13"/>
      <c r="AE735" s="13"/>
    </row>
    <row r="736" spans="1:31" x14ac:dyDescent="0.3">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c r="AD736" s="13"/>
      <c r="AE736" s="13"/>
    </row>
    <row r="737" spans="1:31" x14ac:dyDescent="0.3">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c r="AD737" s="13"/>
      <c r="AE737" s="13"/>
    </row>
    <row r="738" spans="1:31" x14ac:dyDescent="0.3">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c r="AD738" s="13"/>
      <c r="AE738" s="13"/>
    </row>
    <row r="739" spans="1:31" x14ac:dyDescent="0.3">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c r="AD739" s="13"/>
      <c r="AE739" s="13"/>
    </row>
    <row r="740" spans="1:31" x14ac:dyDescent="0.3">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c r="AD740" s="13"/>
      <c r="AE740" s="13"/>
    </row>
    <row r="741" spans="1:31" x14ac:dyDescent="0.3">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c r="AD741" s="13"/>
      <c r="AE741" s="13"/>
    </row>
    <row r="742" spans="1:31" x14ac:dyDescent="0.3">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c r="AD742" s="13"/>
      <c r="AE742" s="13"/>
    </row>
    <row r="743" spans="1:31" x14ac:dyDescent="0.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c r="AD743" s="13"/>
      <c r="AE743" s="13"/>
    </row>
    <row r="744" spans="1:31" x14ac:dyDescent="0.3">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c r="AD744" s="13"/>
      <c r="AE744" s="13"/>
    </row>
    <row r="745" spans="1:31" x14ac:dyDescent="0.3">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c r="AD745" s="13"/>
      <c r="AE745" s="13"/>
    </row>
    <row r="746" spans="1:31" x14ac:dyDescent="0.3">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c r="AD746" s="13"/>
      <c r="AE746" s="13"/>
    </row>
    <row r="747" spans="1:31" x14ac:dyDescent="0.3">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c r="AD747" s="13"/>
      <c r="AE747" s="13"/>
    </row>
    <row r="748" spans="1:31" x14ac:dyDescent="0.3">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c r="AD748" s="13"/>
      <c r="AE748" s="13"/>
    </row>
    <row r="749" spans="1:31" x14ac:dyDescent="0.3">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c r="AD749" s="13"/>
      <c r="AE749" s="13"/>
    </row>
    <row r="750" spans="1:31" x14ac:dyDescent="0.3">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c r="AD750" s="13"/>
      <c r="AE750" s="13"/>
    </row>
    <row r="751" spans="1:31" x14ac:dyDescent="0.3">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c r="AD751" s="13"/>
      <c r="AE751" s="13"/>
    </row>
    <row r="752" spans="1:31" x14ac:dyDescent="0.3">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c r="AD752" s="13"/>
      <c r="AE752" s="13"/>
    </row>
    <row r="753" spans="1:31" x14ac:dyDescent="0.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c r="AD753" s="13"/>
      <c r="AE753" s="13"/>
    </row>
    <row r="754" spans="1:31" x14ac:dyDescent="0.3">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c r="AD754" s="13"/>
      <c r="AE754" s="13"/>
    </row>
    <row r="755" spans="1:31" x14ac:dyDescent="0.3">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c r="AD755" s="13"/>
      <c r="AE755" s="13"/>
    </row>
    <row r="756" spans="1:31" x14ac:dyDescent="0.3">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c r="AD756" s="13"/>
      <c r="AE756" s="13"/>
    </row>
    <row r="757" spans="1:31" x14ac:dyDescent="0.3">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c r="AD757" s="13"/>
      <c r="AE757" s="13"/>
    </row>
    <row r="758" spans="1:31" x14ac:dyDescent="0.3">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c r="AD758" s="13"/>
      <c r="AE758" s="13"/>
    </row>
    <row r="759" spans="1:31" x14ac:dyDescent="0.3">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c r="AD759" s="13"/>
      <c r="AE759" s="13"/>
    </row>
    <row r="760" spans="1:31" x14ac:dyDescent="0.3">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c r="AD760" s="13"/>
      <c r="AE760" s="13"/>
    </row>
    <row r="761" spans="1:31" x14ac:dyDescent="0.3">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c r="AD761" s="13"/>
      <c r="AE761" s="13"/>
    </row>
    <row r="762" spans="1:31" x14ac:dyDescent="0.3">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c r="AD762" s="13"/>
      <c r="AE762" s="13"/>
    </row>
    <row r="763" spans="1:31" x14ac:dyDescent="0.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c r="AD763" s="13"/>
      <c r="AE763" s="13"/>
    </row>
    <row r="764" spans="1:31" x14ac:dyDescent="0.3">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c r="AD764" s="13"/>
      <c r="AE764" s="13"/>
    </row>
    <row r="765" spans="1:31" x14ac:dyDescent="0.3">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c r="AD765" s="13"/>
      <c r="AE765" s="13"/>
    </row>
    <row r="766" spans="1:31" x14ac:dyDescent="0.3">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c r="AD766" s="13"/>
      <c r="AE766" s="13"/>
    </row>
    <row r="767" spans="1:31" x14ac:dyDescent="0.3">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c r="AD767" s="13"/>
      <c r="AE767" s="13"/>
    </row>
    <row r="768" spans="1:31" x14ac:dyDescent="0.3">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c r="AD768" s="13"/>
      <c r="AE768" s="13"/>
    </row>
    <row r="769" spans="1:31" x14ac:dyDescent="0.3">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c r="AD769" s="13"/>
      <c r="AE769" s="13"/>
    </row>
    <row r="770" spans="1:31" x14ac:dyDescent="0.3">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c r="AD770" s="13"/>
      <c r="AE770" s="13"/>
    </row>
    <row r="771" spans="1:31" x14ac:dyDescent="0.3">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c r="AD771" s="13"/>
      <c r="AE771" s="13"/>
    </row>
    <row r="772" spans="1:31" x14ac:dyDescent="0.3">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c r="AD772" s="13"/>
      <c r="AE772" s="13"/>
    </row>
    <row r="773" spans="1:31" x14ac:dyDescent="0.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c r="AD773" s="13"/>
      <c r="AE773" s="13"/>
    </row>
    <row r="774" spans="1:31" x14ac:dyDescent="0.3">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c r="AD774" s="13"/>
      <c r="AE774" s="13"/>
    </row>
    <row r="775" spans="1:31" x14ac:dyDescent="0.3">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c r="AD775" s="13"/>
      <c r="AE775" s="13"/>
    </row>
    <row r="776" spans="1:31" x14ac:dyDescent="0.3">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c r="AD776" s="13"/>
      <c r="AE776" s="13"/>
    </row>
    <row r="777" spans="1:31" x14ac:dyDescent="0.3">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c r="AD777" s="13"/>
      <c r="AE777" s="13"/>
    </row>
    <row r="778" spans="1:31" x14ac:dyDescent="0.3">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c r="AD778" s="13"/>
      <c r="AE778" s="13"/>
    </row>
    <row r="779" spans="1:31" x14ac:dyDescent="0.3">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c r="AD779" s="13"/>
      <c r="AE779" s="13"/>
    </row>
    <row r="780" spans="1:31" x14ac:dyDescent="0.3">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c r="AD780" s="13"/>
      <c r="AE780" s="13"/>
    </row>
    <row r="781" spans="1:31" x14ac:dyDescent="0.3">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c r="AD781" s="13"/>
      <c r="AE781" s="13"/>
    </row>
    <row r="782" spans="1:31" x14ac:dyDescent="0.3">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c r="AD782" s="13"/>
      <c r="AE782" s="13"/>
    </row>
    <row r="783" spans="1:31" x14ac:dyDescent="0.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c r="AD783" s="13"/>
      <c r="AE783" s="13"/>
    </row>
    <row r="784" spans="1:31" x14ac:dyDescent="0.3">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c r="AD784" s="13"/>
      <c r="AE784" s="13"/>
    </row>
    <row r="785" spans="1:31" x14ac:dyDescent="0.3">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c r="AD785" s="13"/>
      <c r="AE785" s="13"/>
    </row>
    <row r="786" spans="1:31" x14ac:dyDescent="0.3">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c r="AD786" s="13"/>
      <c r="AE786" s="13"/>
    </row>
    <row r="787" spans="1:31" x14ac:dyDescent="0.3">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c r="AD787" s="13"/>
      <c r="AE787" s="13"/>
    </row>
    <row r="788" spans="1:31" x14ac:dyDescent="0.3">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c r="AD788" s="13"/>
      <c r="AE788" s="13"/>
    </row>
    <row r="789" spans="1:31" x14ac:dyDescent="0.3">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c r="AD789" s="13"/>
      <c r="AE789" s="13"/>
    </row>
    <row r="790" spans="1:31" x14ac:dyDescent="0.3">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c r="AD790" s="13"/>
      <c r="AE790" s="13"/>
    </row>
    <row r="791" spans="1:31" x14ac:dyDescent="0.3">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c r="AD791" s="13"/>
      <c r="AE791" s="13"/>
    </row>
    <row r="792" spans="1:31" x14ac:dyDescent="0.3">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c r="AD792" s="13"/>
      <c r="AE792" s="13"/>
    </row>
    <row r="793" spans="1:31" x14ac:dyDescent="0.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c r="AD793" s="13"/>
      <c r="AE793" s="13"/>
    </row>
    <row r="794" spans="1:31" x14ac:dyDescent="0.3">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c r="AD794" s="13"/>
      <c r="AE794" s="13"/>
    </row>
    <row r="795" spans="1:31" x14ac:dyDescent="0.3">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c r="AD795" s="13"/>
      <c r="AE795" s="13"/>
    </row>
    <row r="796" spans="1:31" x14ac:dyDescent="0.3">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c r="AD796" s="13"/>
      <c r="AE796" s="13"/>
    </row>
    <row r="797" spans="1:31" x14ac:dyDescent="0.3">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c r="AD797" s="13"/>
      <c r="AE797" s="13"/>
    </row>
    <row r="798" spans="1:31" x14ac:dyDescent="0.3">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c r="AD798" s="13"/>
      <c r="AE798" s="13"/>
    </row>
    <row r="799" spans="1:31" x14ac:dyDescent="0.3">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c r="AD799" s="13"/>
      <c r="AE799" s="13"/>
    </row>
    <row r="800" spans="1:31" x14ac:dyDescent="0.3">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c r="AD800" s="13"/>
      <c r="AE800" s="13"/>
    </row>
    <row r="801" spans="1:31" x14ac:dyDescent="0.3">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c r="AD801" s="13"/>
      <c r="AE801" s="13"/>
    </row>
    <row r="802" spans="1:31" x14ac:dyDescent="0.3">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c r="AD802" s="13"/>
      <c r="AE802" s="13"/>
    </row>
    <row r="803" spans="1:31" x14ac:dyDescent="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c r="AD803" s="13"/>
      <c r="AE803" s="13"/>
    </row>
    <row r="804" spans="1:31" x14ac:dyDescent="0.3">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c r="AD804" s="13"/>
      <c r="AE804" s="13"/>
    </row>
    <row r="805" spans="1:31" x14ac:dyDescent="0.3">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c r="AD805" s="13"/>
      <c r="AE805" s="13"/>
    </row>
    <row r="806" spans="1:31" x14ac:dyDescent="0.3">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c r="AD806" s="13"/>
      <c r="AE806" s="13"/>
    </row>
    <row r="807" spans="1:31" x14ac:dyDescent="0.3">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c r="AD807" s="13"/>
      <c r="AE807" s="13"/>
    </row>
    <row r="808" spans="1:31" x14ac:dyDescent="0.3">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c r="AD808" s="13"/>
      <c r="AE808" s="13"/>
    </row>
    <row r="809" spans="1:31" x14ac:dyDescent="0.3">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c r="AD809" s="13"/>
      <c r="AE809" s="13"/>
    </row>
    <row r="810" spans="1:31" x14ac:dyDescent="0.3">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c r="AD810" s="13"/>
      <c r="AE810" s="13"/>
    </row>
    <row r="811" spans="1:31" x14ac:dyDescent="0.3">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c r="AD811" s="13"/>
      <c r="AE811" s="13"/>
    </row>
    <row r="812" spans="1:31" x14ac:dyDescent="0.3">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c r="AD812" s="13"/>
      <c r="AE812" s="13"/>
    </row>
    <row r="813" spans="1:31" x14ac:dyDescent="0.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c r="AD813" s="13"/>
      <c r="AE813" s="13"/>
    </row>
    <row r="814" spans="1:31" x14ac:dyDescent="0.3">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c r="AD814" s="13"/>
      <c r="AE814" s="13"/>
    </row>
    <row r="815" spans="1:31" x14ac:dyDescent="0.3">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c r="AD815" s="13"/>
      <c r="AE815" s="13"/>
    </row>
    <row r="816" spans="1:31" x14ac:dyDescent="0.3">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c r="AD816" s="13"/>
      <c r="AE816" s="13"/>
    </row>
    <row r="817" spans="1:31" x14ac:dyDescent="0.3">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c r="AD817" s="13"/>
      <c r="AE817" s="13"/>
    </row>
    <row r="818" spans="1:31" x14ac:dyDescent="0.3">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c r="AD818" s="13"/>
      <c r="AE818" s="13"/>
    </row>
    <row r="819" spans="1:31" x14ac:dyDescent="0.3">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c r="AD819" s="13"/>
      <c r="AE819" s="13"/>
    </row>
    <row r="820" spans="1:31" x14ac:dyDescent="0.3">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c r="AD820" s="13"/>
      <c r="AE820" s="13"/>
    </row>
    <row r="821" spans="1:31" x14ac:dyDescent="0.3">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c r="AD821" s="13"/>
      <c r="AE821" s="13"/>
    </row>
    <row r="822" spans="1:31" x14ac:dyDescent="0.3">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c r="AD822" s="13"/>
      <c r="AE822" s="13"/>
    </row>
    <row r="823" spans="1:31" x14ac:dyDescent="0.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c r="AD823" s="13"/>
      <c r="AE823" s="13"/>
    </row>
    <row r="824" spans="1:31" x14ac:dyDescent="0.3">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c r="AD824" s="13"/>
      <c r="AE824" s="13"/>
    </row>
    <row r="825" spans="1:31" x14ac:dyDescent="0.3">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c r="AD825" s="13"/>
      <c r="AE825" s="13"/>
    </row>
    <row r="826" spans="1:31" x14ac:dyDescent="0.3">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c r="AD826" s="13"/>
      <c r="AE826" s="13"/>
    </row>
    <row r="827" spans="1:31" x14ac:dyDescent="0.3">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c r="AD827" s="13"/>
      <c r="AE827" s="13"/>
    </row>
    <row r="828" spans="1:31" x14ac:dyDescent="0.3">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c r="AD828" s="13"/>
      <c r="AE828" s="13"/>
    </row>
    <row r="829" spans="1:31" x14ac:dyDescent="0.3">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c r="AD829" s="13"/>
      <c r="AE829" s="13"/>
    </row>
    <row r="830" spans="1:31" x14ac:dyDescent="0.3">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c r="AD830" s="13"/>
      <c r="AE830" s="13"/>
    </row>
    <row r="831" spans="1:31" x14ac:dyDescent="0.3">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c r="AD831" s="13"/>
      <c r="AE831" s="13"/>
    </row>
    <row r="832" spans="1:31" x14ac:dyDescent="0.3">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c r="AD832" s="13"/>
      <c r="AE832" s="13"/>
    </row>
    <row r="833" spans="1:31" x14ac:dyDescent="0.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c r="AD833" s="13"/>
      <c r="AE833" s="13"/>
    </row>
    <row r="834" spans="1:31" x14ac:dyDescent="0.3">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c r="AD834" s="13"/>
      <c r="AE834" s="13"/>
    </row>
    <row r="835" spans="1:31" x14ac:dyDescent="0.3">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c r="AD835" s="13"/>
      <c r="AE835" s="13"/>
    </row>
    <row r="836" spans="1:31" x14ac:dyDescent="0.3">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c r="AD836" s="13"/>
      <c r="AE836" s="13"/>
    </row>
    <row r="837" spans="1:31" x14ac:dyDescent="0.3">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c r="AD837" s="13"/>
      <c r="AE837" s="13"/>
    </row>
    <row r="838" spans="1:31" x14ac:dyDescent="0.3">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c r="AD838" s="13"/>
      <c r="AE838" s="13"/>
    </row>
    <row r="839" spans="1:31" x14ac:dyDescent="0.3">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c r="AD839" s="13"/>
      <c r="AE839" s="13"/>
    </row>
    <row r="840" spans="1:31" x14ac:dyDescent="0.3">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c r="AD840" s="13"/>
      <c r="AE840" s="13"/>
    </row>
    <row r="841" spans="1:31" x14ac:dyDescent="0.3">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c r="AD841" s="13"/>
      <c r="AE841" s="13"/>
    </row>
    <row r="842" spans="1:31" x14ac:dyDescent="0.3">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c r="AD842" s="13"/>
      <c r="AE842" s="13"/>
    </row>
    <row r="843" spans="1:31" x14ac:dyDescent="0.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c r="AD843" s="13"/>
      <c r="AE843" s="13"/>
    </row>
    <row r="844" spans="1:31" x14ac:dyDescent="0.3">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c r="AD844" s="13"/>
      <c r="AE844" s="13"/>
    </row>
    <row r="845" spans="1:31" x14ac:dyDescent="0.3">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c r="AD845" s="13"/>
      <c r="AE845" s="13"/>
    </row>
    <row r="846" spans="1:31" x14ac:dyDescent="0.3">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c r="AD846" s="13"/>
      <c r="AE846" s="13"/>
    </row>
    <row r="847" spans="1:31" x14ac:dyDescent="0.3">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c r="AD847" s="13"/>
      <c r="AE847" s="13"/>
    </row>
    <row r="848" spans="1:31" x14ac:dyDescent="0.3">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c r="AD848" s="13"/>
      <c r="AE848" s="13"/>
    </row>
    <row r="849" spans="1:31" x14ac:dyDescent="0.3">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c r="AD849" s="13"/>
      <c r="AE849" s="13"/>
    </row>
    <row r="850" spans="1:31" x14ac:dyDescent="0.3">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c r="AD850" s="13"/>
      <c r="AE850" s="13"/>
    </row>
    <row r="851" spans="1:31" x14ac:dyDescent="0.3">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c r="AD851" s="13"/>
      <c r="AE851" s="13"/>
    </row>
    <row r="852" spans="1:31" x14ac:dyDescent="0.3">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c r="AD852" s="13"/>
      <c r="AE852" s="13"/>
    </row>
    <row r="853" spans="1:31" x14ac:dyDescent="0.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c r="AD853" s="13"/>
      <c r="AE853" s="13"/>
    </row>
    <row r="854" spans="1:31" x14ac:dyDescent="0.3">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c r="AD854" s="13"/>
      <c r="AE854" s="13"/>
    </row>
    <row r="855" spans="1:31" x14ac:dyDescent="0.3">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c r="AD855" s="13"/>
      <c r="AE855" s="13"/>
    </row>
    <row r="856" spans="1:31" x14ac:dyDescent="0.3">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c r="AD856" s="13"/>
      <c r="AE856" s="13"/>
    </row>
    <row r="857" spans="1:31" x14ac:dyDescent="0.3">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c r="AD857" s="13"/>
      <c r="AE857" s="13"/>
    </row>
    <row r="858" spans="1:31" x14ac:dyDescent="0.3">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c r="AD858" s="13"/>
      <c r="AE858" s="13"/>
    </row>
    <row r="859" spans="1:31" x14ac:dyDescent="0.3">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c r="AD859" s="13"/>
      <c r="AE859" s="13"/>
    </row>
    <row r="860" spans="1:31" x14ac:dyDescent="0.3">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c r="AD860" s="13"/>
      <c r="AE860" s="13"/>
    </row>
    <row r="861" spans="1:31" x14ac:dyDescent="0.3">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row>
    <row r="862" spans="1:31" x14ac:dyDescent="0.3">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row>
    <row r="863" spans="1:31" x14ac:dyDescent="0.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row>
    <row r="864" spans="1:31" x14ac:dyDescent="0.3">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row>
    <row r="865" spans="1:29" x14ac:dyDescent="0.3">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row>
    <row r="866" spans="1:29" x14ac:dyDescent="0.3">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row>
    <row r="867" spans="1:29" x14ac:dyDescent="0.3">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row>
    <row r="868" spans="1:29" x14ac:dyDescent="0.3">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row>
    <row r="869" spans="1:29" x14ac:dyDescent="0.3">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row>
    <row r="870" spans="1:29" x14ac:dyDescent="0.3">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row>
    <row r="871" spans="1:29" x14ac:dyDescent="0.3">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row>
    <row r="872" spans="1:29" x14ac:dyDescent="0.3">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row>
    <row r="873" spans="1:29" x14ac:dyDescent="0.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row>
    <row r="874" spans="1:29" x14ac:dyDescent="0.3">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row>
    <row r="875" spans="1:29" x14ac:dyDescent="0.3">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row>
    <row r="876" spans="1:29" x14ac:dyDescent="0.3">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row>
    <row r="877" spans="1:29" x14ac:dyDescent="0.3">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row>
    <row r="878" spans="1:29" x14ac:dyDescent="0.3">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row>
    <row r="879" spans="1:29" x14ac:dyDescent="0.3">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row>
    <row r="880" spans="1:29" x14ac:dyDescent="0.3">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row>
    <row r="881" spans="1:29" x14ac:dyDescent="0.3">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row>
    <row r="882" spans="1:29" x14ac:dyDescent="0.3">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row>
    <row r="883" spans="1:29" x14ac:dyDescent="0.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row>
    <row r="884" spans="1:29" x14ac:dyDescent="0.3">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row>
    <row r="885" spans="1:29" x14ac:dyDescent="0.3">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row>
    <row r="886" spans="1:29" x14ac:dyDescent="0.3">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row>
    <row r="887" spans="1:29" x14ac:dyDescent="0.3">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row>
    <row r="888" spans="1:29" x14ac:dyDescent="0.3">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row>
    <row r="889" spans="1:29" x14ac:dyDescent="0.3">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row>
    <row r="890" spans="1:29" x14ac:dyDescent="0.3">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row>
    <row r="891" spans="1:29" x14ac:dyDescent="0.3">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row>
    <row r="892" spans="1:29" x14ac:dyDescent="0.3">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row>
    <row r="893" spans="1:29" x14ac:dyDescent="0.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row>
    <row r="894" spans="1:29" x14ac:dyDescent="0.3">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row>
    <row r="895" spans="1:29" x14ac:dyDescent="0.3">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row>
    <row r="896" spans="1:29" x14ac:dyDescent="0.3">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row>
    <row r="897" spans="1:29" x14ac:dyDescent="0.3">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row>
    <row r="898" spans="1:29" x14ac:dyDescent="0.3">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row>
    <row r="899" spans="1:29" x14ac:dyDescent="0.3">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row>
    <row r="900" spans="1:29" x14ac:dyDescent="0.3">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row>
    <row r="901" spans="1:29" x14ac:dyDescent="0.3">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row>
    <row r="902" spans="1:29" x14ac:dyDescent="0.3">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row>
    <row r="903" spans="1:29" x14ac:dyDescent="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row>
    <row r="904" spans="1:29" x14ac:dyDescent="0.3">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row>
    <row r="905" spans="1:29" x14ac:dyDescent="0.3">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row>
    <row r="906" spans="1:29" x14ac:dyDescent="0.3">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row>
    <row r="907" spans="1:29" x14ac:dyDescent="0.3">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row>
    <row r="908" spans="1:29" x14ac:dyDescent="0.3">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row>
    <row r="909" spans="1:29" x14ac:dyDescent="0.3">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row>
    <row r="910" spans="1:29" x14ac:dyDescent="0.3">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row>
    <row r="911" spans="1:29" x14ac:dyDescent="0.3">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row>
    <row r="912" spans="1:29" x14ac:dyDescent="0.3">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row>
    <row r="913" spans="1:29" x14ac:dyDescent="0.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row>
    <row r="914" spans="1:29" x14ac:dyDescent="0.3">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row>
    <row r="915" spans="1:29" x14ac:dyDescent="0.3">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row>
    <row r="916" spans="1:29" x14ac:dyDescent="0.3">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row>
    <row r="917" spans="1:29" x14ac:dyDescent="0.3">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row>
    <row r="918" spans="1:29" x14ac:dyDescent="0.3">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row>
    <row r="919" spans="1:29" x14ac:dyDescent="0.3">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row>
    <row r="920" spans="1:29" x14ac:dyDescent="0.3">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row>
    <row r="921" spans="1:29" x14ac:dyDescent="0.3">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row>
    <row r="922" spans="1:29" x14ac:dyDescent="0.3">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row>
    <row r="923" spans="1:29" x14ac:dyDescent="0.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row>
    <row r="924" spans="1:29" x14ac:dyDescent="0.3">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row>
    <row r="925" spans="1:29" x14ac:dyDescent="0.3">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row>
    <row r="926" spans="1:29" x14ac:dyDescent="0.3">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row>
    <row r="927" spans="1:29" x14ac:dyDescent="0.3">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row>
    <row r="928" spans="1:29" x14ac:dyDescent="0.3">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row>
    <row r="929" spans="1:29" x14ac:dyDescent="0.3">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row>
    <row r="930" spans="1:29" x14ac:dyDescent="0.3">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row>
    <row r="931" spans="1:29" x14ac:dyDescent="0.3">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row>
    <row r="932" spans="1:29" x14ac:dyDescent="0.3">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row>
    <row r="933" spans="1:29" x14ac:dyDescent="0.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row>
    <row r="934" spans="1:29" x14ac:dyDescent="0.3">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row>
    <row r="935" spans="1:29" x14ac:dyDescent="0.3">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row>
    <row r="936" spans="1:29" x14ac:dyDescent="0.3">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row>
    <row r="937" spans="1:29" x14ac:dyDescent="0.3">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row>
    <row r="938" spans="1:29" x14ac:dyDescent="0.3">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row>
    <row r="939" spans="1:29" x14ac:dyDescent="0.3">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row>
    <row r="940" spans="1:29" x14ac:dyDescent="0.3">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row>
    <row r="941" spans="1:29" x14ac:dyDescent="0.3">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row>
    <row r="942" spans="1:29" x14ac:dyDescent="0.3">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row>
    <row r="943" spans="1:29" x14ac:dyDescent="0.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row>
    <row r="944" spans="1:29" x14ac:dyDescent="0.3">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row>
    <row r="945" spans="1:29" x14ac:dyDescent="0.3">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row>
    <row r="946" spans="1:29" x14ac:dyDescent="0.3">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row>
    <row r="947" spans="1:29" x14ac:dyDescent="0.3">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row>
    <row r="948" spans="1:29" x14ac:dyDescent="0.3">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row>
    <row r="949" spans="1:29" x14ac:dyDescent="0.3">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row>
    <row r="950" spans="1:29" x14ac:dyDescent="0.3">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row>
    <row r="951" spans="1:29" x14ac:dyDescent="0.3">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row>
    <row r="952" spans="1:29" x14ac:dyDescent="0.3">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row>
    <row r="953" spans="1:29" x14ac:dyDescent="0.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row>
    <row r="954" spans="1:29" x14ac:dyDescent="0.3">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row>
    <row r="955" spans="1:29" x14ac:dyDescent="0.3">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row>
    <row r="956" spans="1:29" x14ac:dyDescent="0.3">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row>
    <row r="957" spans="1:29" x14ac:dyDescent="0.3">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row>
    <row r="958" spans="1:29" x14ac:dyDescent="0.3">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row>
    <row r="959" spans="1:29" x14ac:dyDescent="0.3">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row>
    <row r="960" spans="1:29" x14ac:dyDescent="0.3">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row>
    <row r="961" spans="1:29" x14ac:dyDescent="0.3">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row>
    <row r="962" spans="1:29" x14ac:dyDescent="0.3">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row>
    <row r="963" spans="1:29" x14ac:dyDescent="0.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row>
    <row r="964" spans="1:29" x14ac:dyDescent="0.3">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row>
    <row r="965" spans="1:29" x14ac:dyDescent="0.3">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row>
    <row r="966" spans="1:29" x14ac:dyDescent="0.3">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row>
    <row r="967" spans="1:29" x14ac:dyDescent="0.3">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row>
    <row r="968" spans="1:29" x14ac:dyDescent="0.3">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row>
    <row r="969" spans="1:29" x14ac:dyDescent="0.3">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row>
    <row r="970" spans="1:29" x14ac:dyDescent="0.3">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row>
    <row r="971" spans="1:29" x14ac:dyDescent="0.3">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row>
    <row r="972" spans="1:29" x14ac:dyDescent="0.3">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row>
    <row r="973" spans="1:29" x14ac:dyDescent="0.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row>
    <row r="974" spans="1:29" x14ac:dyDescent="0.3">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row>
    <row r="975" spans="1:29" x14ac:dyDescent="0.3">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row>
    <row r="976" spans="1:29" x14ac:dyDescent="0.3">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row>
    <row r="977" spans="1:29" x14ac:dyDescent="0.3">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row>
    <row r="978" spans="1:29" x14ac:dyDescent="0.3">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row>
    <row r="979" spans="1:29" x14ac:dyDescent="0.3">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row>
    <row r="980" spans="1:29" x14ac:dyDescent="0.3">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row>
    <row r="981" spans="1:29" x14ac:dyDescent="0.3">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row>
    <row r="982" spans="1:29" x14ac:dyDescent="0.3">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row>
    <row r="983" spans="1:29" x14ac:dyDescent="0.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row>
    <row r="984" spans="1:29" x14ac:dyDescent="0.3">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row>
    <row r="985" spans="1:29" x14ac:dyDescent="0.3">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row>
    <row r="986" spans="1:29" x14ac:dyDescent="0.3">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row>
    <row r="987" spans="1:29" x14ac:dyDescent="0.3">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row>
    <row r="988" spans="1:29" x14ac:dyDescent="0.3">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row>
    <row r="989" spans="1:29" x14ac:dyDescent="0.3">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row>
    <row r="990" spans="1:29" x14ac:dyDescent="0.3">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row>
    <row r="991" spans="1:29" x14ac:dyDescent="0.3">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row>
    <row r="992" spans="1:29" x14ac:dyDescent="0.3">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row>
    <row r="993" spans="1:29" x14ac:dyDescent="0.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row>
    <row r="994" spans="1:29" x14ac:dyDescent="0.3">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row>
    <row r="995" spans="1:29" x14ac:dyDescent="0.3">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row>
    <row r="996" spans="1:29" x14ac:dyDescent="0.3">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row>
    <row r="997" spans="1:29" x14ac:dyDescent="0.3">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row>
    <row r="998" spans="1:29" x14ac:dyDescent="0.3">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row>
    <row r="999" spans="1:29" x14ac:dyDescent="0.3">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row>
    <row r="1000" spans="1:29" x14ac:dyDescent="0.3">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row>
    <row r="1001" spans="1:29" x14ac:dyDescent="0.3">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c r="AA1001" s="11"/>
      <c r="AB1001" s="11"/>
      <c r="AC1001" s="11"/>
    </row>
    <row r="1002" spans="1:29" x14ac:dyDescent="0.3">
      <c r="A1002" s="11"/>
      <c r="B1002" s="11"/>
      <c r="C1002" s="11"/>
      <c r="D1002" s="11"/>
      <c r="E1002" s="11"/>
      <c r="F1002" s="11"/>
      <c r="G1002" s="11"/>
      <c r="H1002" s="11"/>
      <c r="I1002" s="11"/>
      <c r="J1002" s="11"/>
      <c r="K1002" s="11"/>
      <c r="L1002" s="11"/>
      <c r="M1002" s="11"/>
      <c r="N1002" s="11"/>
      <c r="O1002" s="11"/>
      <c r="P1002" s="11"/>
      <c r="Q1002" s="11"/>
      <c r="R1002" s="11"/>
      <c r="S1002" s="11"/>
      <c r="T1002" s="11"/>
      <c r="U1002" s="11"/>
      <c r="V1002" s="11"/>
      <c r="W1002" s="11"/>
      <c r="X1002" s="11"/>
      <c r="Y1002" s="11"/>
      <c r="Z1002" s="11"/>
      <c r="AA1002" s="11"/>
      <c r="AB1002" s="11"/>
      <c r="AC1002" s="11"/>
    </row>
    <row r="1003" spans="1:29" x14ac:dyDescent="0.3">
      <c r="A1003" s="11"/>
      <c r="B1003" s="11"/>
      <c r="C1003" s="11"/>
      <c r="D1003" s="11"/>
      <c r="E1003" s="11"/>
      <c r="F1003" s="11"/>
      <c r="G1003" s="11"/>
      <c r="H1003" s="11"/>
      <c r="I1003" s="11"/>
      <c r="J1003" s="11"/>
      <c r="K1003" s="11"/>
      <c r="L1003" s="11"/>
      <c r="M1003" s="11"/>
      <c r="N1003" s="11"/>
      <c r="O1003" s="11"/>
      <c r="P1003" s="11"/>
      <c r="Q1003" s="11"/>
      <c r="R1003" s="11"/>
      <c r="S1003" s="11"/>
      <c r="T1003" s="11"/>
      <c r="U1003" s="11"/>
      <c r="V1003" s="11"/>
      <c r="W1003" s="11"/>
      <c r="X1003" s="11"/>
      <c r="Y1003" s="11"/>
      <c r="Z1003" s="11"/>
      <c r="AA1003" s="11"/>
      <c r="AB1003" s="11"/>
      <c r="AC1003" s="11"/>
    </row>
    <row r="1004" spans="1:29" x14ac:dyDescent="0.3">
      <c r="A1004" s="11"/>
      <c r="B1004" s="11"/>
      <c r="C1004" s="11"/>
      <c r="D1004" s="11"/>
      <c r="E1004" s="11"/>
      <c r="F1004" s="11"/>
      <c r="G1004" s="11"/>
      <c r="H1004" s="11"/>
      <c r="I1004" s="11"/>
      <c r="J1004" s="11"/>
      <c r="K1004" s="11"/>
      <c r="L1004" s="11"/>
      <c r="M1004" s="11"/>
      <c r="N1004" s="11"/>
      <c r="O1004" s="11"/>
      <c r="P1004" s="11"/>
      <c r="Q1004" s="11"/>
      <c r="R1004" s="11"/>
      <c r="S1004" s="11"/>
      <c r="T1004" s="11"/>
      <c r="U1004" s="11"/>
      <c r="V1004" s="11"/>
      <c r="W1004" s="11"/>
      <c r="X1004" s="11"/>
      <c r="Y1004" s="11"/>
      <c r="Z1004" s="11"/>
      <c r="AA1004" s="11"/>
      <c r="AB1004" s="11"/>
      <c r="AC1004" s="11"/>
    </row>
    <row r="1005" spans="1:29" x14ac:dyDescent="0.3">
      <c r="A1005" s="11"/>
      <c r="B1005" s="11"/>
      <c r="C1005" s="11"/>
      <c r="D1005" s="11"/>
      <c r="E1005" s="11"/>
      <c r="F1005" s="11"/>
      <c r="G1005" s="11"/>
      <c r="H1005" s="11"/>
      <c r="I1005" s="11"/>
      <c r="J1005" s="11"/>
      <c r="K1005" s="11"/>
      <c r="L1005" s="11"/>
      <c r="M1005" s="11"/>
      <c r="N1005" s="11"/>
      <c r="O1005" s="11"/>
      <c r="P1005" s="11"/>
      <c r="Q1005" s="11"/>
      <c r="R1005" s="11"/>
      <c r="S1005" s="11"/>
      <c r="T1005" s="11"/>
      <c r="U1005" s="11"/>
      <c r="V1005" s="11"/>
      <c r="W1005" s="11"/>
      <c r="X1005" s="11"/>
      <c r="Y1005" s="11"/>
      <c r="Z1005" s="11"/>
      <c r="AA1005" s="11"/>
      <c r="AB1005" s="11"/>
      <c r="AC1005" s="11"/>
    </row>
    <row r="1006" spans="1:29" x14ac:dyDescent="0.3">
      <c r="A1006" s="11"/>
      <c r="B1006" s="11"/>
      <c r="C1006" s="11"/>
      <c r="D1006" s="11"/>
      <c r="E1006" s="11"/>
      <c r="F1006" s="11"/>
      <c r="G1006" s="11"/>
      <c r="H1006" s="11"/>
      <c r="I1006" s="11"/>
      <c r="J1006" s="11"/>
      <c r="K1006" s="11"/>
      <c r="L1006" s="11"/>
      <c r="M1006" s="11"/>
      <c r="N1006" s="11"/>
      <c r="O1006" s="11"/>
      <c r="P1006" s="11"/>
      <c r="Q1006" s="11"/>
      <c r="R1006" s="11"/>
      <c r="S1006" s="11"/>
      <c r="T1006" s="11"/>
      <c r="U1006" s="11"/>
      <c r="V1006" s="11"/>
      <c r="W1006" s="11"/>
      <c r="X1006" s="11"/>
      <c r="Y1006" s="11"/>
      <c r="Z1006" s="11"/>
      <c r="AA1006" s="11"/>
      <c r="AB1006" s="11"/>
      <c r="AC1006" s="11"/>
    </row>
    <row r="1007" spans="1:29" x14ac:dyDescent="0.3">
      <c r="A1007" s="11"/>
      <c r="B1007" s="11"/>
      <c r="C1007" s="11"/>
      <c r="D1007" s="11"/>
      <c r="E1007" s="11"/>
      <c r="F1007" s="11"/>
      <c r="G1007" s="11"/>
      <c r="H1007" s="11"/>
      <c r="I1007" s="11"/>
      <c r="J1007" s="11"/>
      <c r="K1007" s="11"/>
      <c r="L1007" s="11"/>
      <c r="M1007" s="11"/>
      <c r="N1007" s="11"/>
      <c r="O1007" s="11"/>
      <c r="P1007" s="11"/>
      <c r="Q1007" s="11"/>
      <c r="R1007" s="11"/>
      <c r="S1007" s="11"/>
      <c r="T1007" s="11"/>
      <c r="U1007" s="11"/>
      <c r="V1007" s="11"/>
      <c r="W1007" s="11"/>
      <c r="X1007" s="11"/>
      <c r="Y1007" s="11"/>
      <c r="Z1007" s="11"/>
      <c r="AA1007" s="11"/>
      <c r="AB1007" s="11"/>
      <c r="AC1007" s="11"/>
    </row>
    <row r="1008" spans="1:29" x14ac:dyDescent="0.3">
      <c r="A1008" s="11"/>
      <c r="B1008" s="11"/>
      <c r="C1008" s="11"/>
      <c r="D1008" s="11"/>
      <c r="E1008" s="11"/>
      <c r="F1008" s="11"/>
      <c r="G1008" s="11"/>
      <c r="H1008" s="11"/>
      <c r="I1008" s="11"/>
      <c r="J1008" s="11"/>
      <c r="K1008" s="11"/>
      <c r="L1008" s="11"/>
      <c r="M1008" s="11"/>
      <c r="N1008" s="11"/>
      <c r="O1008" s="11"/>
      <c r="P1008" s="11"/>
      <c r="Q1008" s="11"/>
      <c r="R1008" s="11"/>
      <c r="S1008" s="11"/>
      <c r="T1008" s="11"/>
      <c r="U1008" s="11"/>
      <c r="V1008" s="11"/>
      <c r="W1008" s="11"/>
      <c r="X1008" s="11"/>
      <c r="Y1008" s="11"/>
      <c r="Z1008" s="11"/>
      <c r="AA1008" s="11"/>
      <c r="AB1008" s="11"/>
      <c r="AC1008" s="11"/>
    </row>
    <row r="1009" spans="1:29" x14ac:dyDescent="0.3">
      <c r="A1009" s="11"/>
      <c r="B1009" s="11"/>
      <c r="C1009" s="11"/>
      <c r="D1009" s="11"/>
      <c r="E1009" s="11"/>
      <c r="F1009" s="11"/>
      <c r="G1009" s="11"/>
      <c r="H1009" s="11"/>
      <c r="I1009" s="11"/>
      <c r="J1009" s="11"/>
      <c r="K1009" s="11"/>
      <c r="L1009" s="11"/>
      <c r="M1009" s="11"/>
      <c r="N1009" s="11"/>
      <c r="O1009" s="11"/>
      <c r="P1009" s="11"/>
      <c r="Q1009" s="11"/>
      <c r="R1009" s="11"/>
      <c r="S1009" s="11"/>
      <c r="T1009" s="11"/>
      <c r="U1009" s="11"/>
      <c r="V1009" s="11"/>
      <c r="W1009" s="11"/>
      <c r="X1009" s="11"/>
      <c r="Y1009" s="11"/>
      <c r="Z1009" s="11"/>
      <c r="AA1009" s="11"/>
      <c r="AB1009" s="11"/>
      <c r="AC1009" s="11"/>
    </row>
    <row r="1010" spans="1:29" x14ac:dyDescent="0.3">
      <c r="A1010" s="11"/>
      <c r="B1010" s="11"/>
      <c r="C1010" s="11"/>
      <c r="D1010" s="11"/>
      <c r="E1010" s="11"/>
      <c r="F1010" s="11"/>
      <c r="G1010" s="11"/>
      <c r="H1010" s="11"/>
      <c r="I1010" s="11"/>
      <c r="J1010" s="11"/>
      <c r="K1010" s="11"/>
      <c r="L1010" s="11"/>
      <c r="M1010" s="11"/>
      <c r="N1010" s="11"/>
      <c r="O1010" s="11"/>
      <c r="P1010" s="11"/>
      <c r="Q1010" s="11"/>
      <c r="R1010" s="11"/>
      <c r="S1010" s="11"/>
      <c r="T1010" s="11"/>
      <c r="U1010" s="11"/>
      <c r="V1010" s="11"/>
      <c r="W1010" s="11"/>
      <c r="X1010" s="11"/>
      <c r="Y1010" s="11"/>
      <c r="Z1010" s="11"/>
      <c r="AA1010" s="11"/>
      <c r="AB1010" s="11"/>
      <c r="AC1010" s="11"/>
    </row>
    <row r="1011" spans="1:29" x14ac:dyDescent="0.3">
      <c r="A1011" s="11"/>
      <c r="B1011" s="11"/>
      <c r="C1011" s="11"/>
      <c r="D1011" s="11"/>
      <c r="E1011" s="11"/>
      <c r="F1011" s="11"/>
      <c r="G1011" s="11"/>
      <c r="H1011" s="11"/>
      <c r="I1011" s="11"/>
      <c r="J1011" s="11"/>
      <c r="K1011" s="11"/>
      <c r="L1011" s="11"/>
      <c r="M1011" s="11"/>
      <c r="N1011" s="11"/>
      <c r="O1011" s="11"/>
      <c r="P1011" s="11"/>
      <c r="Q1011" s="11"/>
      <c r="R1011" s="11"/>
      <c r="S1011" s="11"/>
      <c r="T1011" s="11"/>
      <c r="U1011" s="11"/>
      <c r="V1011" s="11"/>
      <c r="W1011" s="11"/>
      <c r="X1011" s="11"/>
      <c r="Y1011" s="11"/>
      <c r="Z1011" s="11"/>
      <c r="AA1011" s="11"/>
      <c r="AB1011" s="11"/>
      <c r="AC1011" s="11"/>
    </row>
    <row r="1012" spans="1:29" x14ac:dyDescent="0.3">
      <c r="A1012" s="11"/>
      <c r="B1012" s="11"/>
      <c r="C1012" s="11"/>
      <c r="D1012" s="11"/>
      <c r="E1012" s="11"/>
      <c r="F1012" s="11"/>
      <c r="G1012" s="11"/>
      <c r="H1012" s="11"/>
      <c r="I1012" s="11"/>
      <c r="J1012" s="11"/>
      <c r="K1012" s="11"/>
      <c r="L1012" s="11"/>
      <c r="M1012" s="11"/>
      <c r="N1012" s="11"/>
      <c r="O1012" s="11"/>
      <c r="P1012" s="11"/>
      <c r="Q1012" s="11"/>
      <c r="R1012" s="11"/>
      <c r="S1012" s="11"/>
      <c r="T1012" s="11"/>
      <c r="U1012" s="11"/>
      <c r="V1012" s="11"/>
      <c r="W1012" s="11"/>
      <c r="X1012" s="11"/>
      <c r="Y1012" s="11"/>
      <c r="Z1012" s="11"/>
      <c r="AA1012" s="11"/>
      <c r="AB1012" s="11"/>
      <c r="AC1012" s="11"/>
    </row>
    <row r="1013" spans="1:29" x14ac:dyDescent="0.3">
      <c r="A1013" s="11"/>
      <c r="B1013" s="11"/>
      <c r="C1013" s="11"/>
      <c r="D1013" s="11"/>
      <c r="E1013" s="11"/>
      <c r="F1013" s="11"/>
      <c r="G1013" s="11"/>
      <c r="H1013" s="11"/>
      <c r="I1013" s="11"/>
      <c r="J1013" s="11"/>
      <c r="K1013" s="11"/>
      <c r="L1013" s="11"/>
      <c r="M1013" s="11"/>
      <c r="N1013" s="11"/>
      <c r="O1013" s="11"/>
      <c r="P1013" s="11"/>
      <c r="Q1013" s="11"/>
      <c r="R1013" s="11"/>
      <c r="S1013" s="11"/>
      <c r="T1013" s="11"/>
      <c r="U1013" s="11"/>
      <c r="V1013" s="11"/>
      <c r="W1013" s="11"/>
      <c r="X1013" s="11"/>
      <c r="Y1013" s="11"/>
      <c r="Z1013" s="11"/>
      <c r="AA1013" s="11"/>
      <c r="AB1013" s="11"/>
      <c r="AC1013" s="11"/>
    </row>
    <row r="1014" spans="1:29" x14ac:dyDescent="0.3">
      <c r="A1014" s="11"/>
      <c r="B1014" s="11"/>
      <c r="C1014" s="11"/>
      <c r="D1014" s="11"/>
      <c r="E1014" s="11"/>
      <c r="F1014" s="11"/>
      <c r="G1014" s="11"/>
      <c r="H1014" s="11"/>
      <c r="I1014" s="11"/>
      <c r="J1014" s="11"/>
      <c r="K1014" s="11"/>
      <c r="L1014" s="11"/>
      <c r="M1014" s="11"/>
      <c r="N1014" s="11"/>
      <c r="O1014" s="11"/>
      <c r="P1014" s="11"/>
      <c r="Q1014" s="11"/>
      <c r="R1014" s="11"/>
      <c r="S1014" s="11"/>
      <c r="T1014" s="11"/>
      <c r="U1014" s="11"/>
      <c r="V1014" s="11"/>
      <c r="W1014" s="11"/>
      <c r="X1014" s="11"/>
      <c r="Y1014" s="11"/>
      <c r="Z1014" s="11"/>
      <c r="AA1014" s="11"/>
      <c r="AB1014" s="11"/>
      <c r="AC1014" s="11"/>
    </row>
    <row r="1015" spans="1:29" x14ac:dyDescent="0.3">
      <c r="A1015" s="11"/>
      <c r="B1015" s="11"/>
      <c r="C1015" s="11"/>
      <c r="D1015" s="11"/>
      <c r="E1015" s="11"/>
      <c r="F1015" s="11"/>
      <c r="G1015" s="11"/>
      <c r="H1015" s="11"/>
      <c r="I1015" s="11"/>
      <c r="J1015" s="11"/>
      <c r="K1015" s="11"/>
      <c r="L1015" s="11"/>
      <c r="M1015" s="11"/>
      <c r="N1015" s="11"/>
      <c r="O1015" s="11"/>
      <c r="P1015" s="11"/>
      <c r="Q1015" s="11"/>
      <c r="R1015" s="11"/>
      <c r="S1015" s="11"/>
      <c r="T1015" s="11"/>
      <c r="U1015" s="11"/>
      <c r="V1015" s="11"/>
      <c r="W1015" s="11"/>
      <c r="X1015" s="11"/>
      <c r="Y1015" s="11"/>
      <c r="Z1015" s="11"/>
      <c r="AA1015" s="11"/>
      <c r="AB1015" s="11"/>
      <c r="AC1015" s="11"/>
    </row>
    <row r="1016" spans="1:29" x14ac:dyDescent="0.3">
      <c r="A1016" s="11"/>
      <c r="B1016" s="11"/>
      <c r="C1016" s="11"/>
      <c r="D1016" s="11"/>
      <c r="E1016" s="11"/>
      <c r="F1016" s="11"/>
      <c r="G1016" s="11"/>
      <c r="H1016" s="11"/>
      <c r="I1016" s="11"/>
      <c r="J1016" s="11"/>
      <c r="K1016" s="11"/>
      <c r="L1016" s="11"/>
      <c r="M1016" s="11"/>
      <c r="N1016" s="11"/>
      <c r="O1016" s="11"/>
      <c r="P1016" s="11"/>
      <c r="Q1016" s="11"/>
      <c r="R1016" s="11"/>
      <c r="S1016" s="11"/>
      <c r="T1016" s="11"/>
      <c r="U1016" s="11"/>
      <c r="V1016" s="11"/>
      <c r="W1016" s="11"/>
      <c r="X1016" s="11"/>
      <c r="Y1016" s="11"/>
      <c r="Z1016" s="11"/>
      <c r="AA1016" s="11"/>
      <c r="AB1016" s="11"/>
      <c r="AC1016" s="11"/>
    </row>
    <row r="1017" spans="1:29" x14ac:dyDescent="0.3">
      <c r="A1017" s="11"/>
      <c r="B1017" s="11"/>
      <c r="C1017" s="11"/>
      <c r="D1017" s="11"/>
      <c r="E1017" s="11"/>
      <c r="F1017" s="11"/>
      <c r="G1017" s="11"/>
      <c r="H1017" s="11"/>
      <c r="I1017" s="11"/>
      <c r="J1017" s="11"/>
      <c r="K1017" s="11"/>
      <c r="L1017" s="11"/>
      <c r="M1017" s="11"/>
      <c r="N1017" s="11"/>
      <c r="O1017" s="11"/>
      <c r="P1017" s="11"/>
      <c r="Q1017" s="11"/>
      <c r="R1017" s="11"/>
      <c r="S1017" s="11"/>
      <c r="T1017" s="11"/>
      <c r="U1017" s="11"/>
      <c r="V1017" s="11"/>
      <c r="W1017" s="11"/>
      <c r="X1017" s="11"/>
      <c r="Y1017" s="11"/>
      <c r="Z1017" s="11"/>
      <c r="AA1017" s="11"/>
      <c r="AB1017" s="11"/>
      <c r="AC1017" s="11"/>
    </row>
    <row r="1018" spans="1:29" x14ac:dyDescent="0.3">
      <c r="A1018" s="11"/>
      <c r="B1018" s="11"/>
      <c r="C1018" s="11"/>
      <c r="D1018" s="11"/>
      <c r="E1018" s="11"/>
      <c r="F1018" s="11"/>
      <c r="G1018" s="11"/>
      <c r="H1018" s="11"/>
      <c r="I1018" s="11"/>
      <c r="J1018" s="11"/>
      <c r="K1018" s="11"/>
      <c r="L1018" s="11"/>
      <c r="M1018" s="11"/>
      <c r="N1018" s="11"/>
      <c r="O1018" s="11"/>
      <c r="P1018" s="11"/>
      <c r="Q1018" s="11"/>
      <c r="R1018" s="11"/>
      <c r="S1018" s="11"/>
      <c r="T1018" s="11"/>
      <c r="U1018" s="11"/>
      <c r="V1018" s="11"/>
      <c r="W1018" s="11"/>
      <c r="X1018" s="11"/>
      <c r="Y1018" s="11"/>
      <c r="Z1018" s="11"/>
      <c r="AA1018" s="11"/>
      <c r="AB1018" s="11"/>
      <c r="AC1018" s="11"/>
    </row>
    <row r="1019" spans="1:29" x14ac:dyDescent="0.3">
      <c r="A1019" s="11"/>
      <c r="B1019" s="11"/>
      <c r="C1019" s="11"/>
      <c r="D1019" s="11"/>
      <c r="E1019" s="11"/>
      <c r="F1019" s="11"/>
      <c r="G1019" s="11"/>
      <c r="H1019" s="11"/>
      <c r="I1019" s="11"/>
      <c r="J1019" s="11"/>
      <c r="K1019" s="11"/>
      <c r="L1019" s="11"/>
      <c r="M1019" s="11"/>
      <c r="N1019" s="11"/>
      <c r="O1019" s="11"/>
      <c r="P1019" s="11"/>
      <c r="Q1019" s="11"/>
      <c r="R1019" s="11"/>
      <c r="S1019" s="11"/>
      <c r="T1019" s="11"/>
      <c r="U1019" s="11"/>
      <c r="V1019" s="11"/>
      <c r="W1019" s="11"/>
      <c r="X1019" s="11"/>
      <c r="Y1019" s="11"/>
      <c r="Z1019" s="11"/>
      <c r="AA1019" s="11"/>
      <c r="AB1019" s="11"/>
      <c r="AC1019" s="11"/>
    </row>
    <row r="1020" spans="1:29" x14ac:dyDescent="0.3">
      <c r="A1020" s="11"/>
      <c r="B1020" s="11"/>
      <c r="C1020" s="11"/>
      <c r="D1020" s="11"/>
      <c r="E1020" s="11"/>
      <c r="F1020" s="11"/>
      <c r="G1020" s="11"/>
      <c r="H1020" s="11"/>
      <c r="I1020" s="11"/>
      <c r="J1020" s="11"/>
      <c r="K1020" s="11"/>
      <c r="L1020" s="11"/>
      <c r="M1020" s="11"/>
      <c r="N1020" s="11"/>
      <c r="O1020" s="11"/>
      <c r="P1020" s="11"/>
      <c r="Q1020" s="11"/>
      <c r="R1020" s="11"/>
      <c r="S1020" s="11"/>
      <c r="T1020" s="11"/>
      <c r="U1020" s="11"/>
      <c r="V1020" s="11"/>
      <c r="W1020" s="11"/>
      <c r="X1020" s="11"/>
      <c r="Y1020" s="11"/>
      <c r="Z1020" s="11"/>
      <c r="AA1020" s="11"/>
      <c r="AB1020" s="11"/>
      <c r="AC1020" s="11"/>
    </row>
    <row r="1021" spans="1:29" x14ac:dyDescent="0.3">
      <c r="A1021" s="11"/>
      <c r="B1021" s="11"/>
      <c r="C1021" s="11"/>
      <c r="D1021" s="11"/>
      <c r="E1021" s="11"/>
      <c r="F1021" s="11"/>
      <c r="G1021" s="11"/>
      <c r="H1021" s="11"/>
      <c r="I1021" s="11"/>
      <c r="J1021" s="11"/>
      <c r="K1021" s="11"/>
      <c r="L1021" s="11"/>
      <c r="M1021" s="11"/>
      <c r="N1021" s="11"/>
      <c r="O1021" s="11"/>
      <c r="P1021" s="11"/>
      <c r="Q1021" s="11"/>
      <c r="R1021" s="11"/>
      <c r="S1021" s="11"/>
      <c r="T1021" s="11"/>
      <c r="U1021" s="11"/>
      <c r="V1021" s="11"/>
      <c r="W1021" s="11"/>
      <c r="X1021" s="11"/>
      <c r="Y1021" s="11"/>
      <c r="Z1021" s="11"/>
      <c r="AA1021" s="11"/>
      <c r="AB1021" s="11"/>
      <c r="AC1021" s="11"/>
    </row>
    <row r="1022" spans="1:29" x14ac:dyDescent="0.3">
      <c r="A1022" s="11"/>
      <c r="B1022" s="11"/>
      <c r="C1022" s="11"/>
      <c r="D1022" s="11"/>
      <c r="E1022" s="11"/>
      <c r="F1022" s="11"/>
      <c r="G1022" s="11"/>
      <c r="H1022" s="11"/>
      <c r="I1022" s="11"/>
      <c r="J1022" s="11"/>
      <c r="K1022" s="11"/>
      <c r="L1022" s="11"/>
      <c r="M1022" s="11"/>
      <c r="N1022" s="11"/>
      <c r="O1022" s="11"/>
      <c r="P1022" s="11"/>
      <c r="Q1022" s="11"/>
      <c r="R1022" s="11"/>
      <c r="S1022" s="11"/>
      <c r="T1022" s="11"/>
      <c r="U1022" s="11"/>
      <c r="V1022" s="11"/>
      <c r="W1022" s="11"/>
      <c r="X1022" s="11"/>
      <c r="Y1022" s="11"/>
      <c r="Z1022" s="11"/>
      <c r="AA1022" s="11"/>
      <c r="AB1022" s="11"/>
      <c r="AC1022" s="11"/>
    </row>
    <row r="1023" spans="1:29" x14ac:dyDescent="0.3">
      <c r="A1023" s="11"/>
      <c r="B1023" s="11"/>
      <c r="C1023" s="11"/>
      <c r="D1023" s="11"/>
      <c r="E1023" s="11"/>
      <c r="F1023" s="11"/>
      <c r="G1023" s="11"/>
      <c r="H1023" s="11"/>
      <c r="I1023" s="11"/>
      <c r="J1023" s="11"/>
      <c r="K1023" s="11"/>
      <c r="L1023" s="11"/>
      <c r="M1023" s="11"/>
      <c r="N1023" s="11"/>
      <c r="O1023" s="11"/>
      <c r="P1023" s="11"/>
      <c r="Q1023" s="11"/>
      <c r="R1023" s="11"/>
      <c r="S1023" s="11"/>
      <c r="T1023" s="11"/>
      <c r="U1023" s="11"/>
      <c r="V1023" s="11"/>
      <c r="W1023" s="11"/>
      <c r="X1023" s="11"/>
      <c r="Y1023" s="11"/>
      <c r="Z1023" s="11"/>
      <c r="AA1023" s="11"/>
      <c r="AB1023" s="11"/>
      <c r="AC1023" s="11"/>
    </row>
    <row r="1024" spans="1:29" x14ac:dyDescent="0.3">
      <c r="A1024" s="11"/>
      <c r="B1024" s="11"/>
      <c r="C1024" s="11"/>
      <c r="D1024" s="11"/>
      <c r="E1024" s="11"/>
      <c r="F1024" s="11"/>
      <c r="G1024" s="11"/>
      <c r="H1024" s="11"/>
      <c r="I1024" s="11"/>
      <c r="J1024" s="11"/>
      <c r="K1024" s="11"/>
      <c r="L1024" s="11"/>
      <c r="M1024" s="11"/>
      <c r="N1024" s="11"/>
      <c r="O1024" s="11"/>
      <c r="P1024" s="11"/>
      <c r="Q1024" s="11"/>
      <c r="R1024" s="11"/>
      <c r="S1024" s="11"/>
      <c r="T1024" s="11"/>
      <c r="U1024" s="11"/>
      <c r="V1024" s="11"/>
      <c r="W1024" s="11"/>
      <c r="X1024" s="11"/>
      <c r="Y1024" s="11"/>
      <c r="Z1024" s="11"/>
      <c r="AA1024" s="11"/>
      <c r="AB1024" s="11"/>
      <c r="AC1024" s="11"/>
    </row>
    <row r="1025" spans="1:29" x14ac:dyDescent="0.3">
      <c r="A1025" s="11"/>
      <c r="B1025" s="11"/>
      <c r="C1025" s="11"/>
      <c r="D1025" s="11"/>
      <c r="E1025" s="11"/>
      <c r="F1025" s="11"/>
      <c r="G1025" s="11"/>
      <c r="H1025" s="11"/>
      <c r="I1025" s="11"/>
      <c r="J1025" s="11"/>
      <c r="K1025" s="11"/>
      <c r="L1025" s="11"/>
      <c r="M1025" s="11"/>
      <c r="N1025" s="11"/>
      <c r="O1025" s="11"/>
      <c r="P1025" s="11"/>
      <c r="Q1025" s="11"/>
      <c r="R1025" s="11"/>
      <c r="S1025" s="11"/>
      <c r="T1025" s="11"/>
      <c r="U1025" s="11"/>
      <c r="V1025" s="11"/>
      <c r="W1025" s="11"/>
      <c r="X1025" s="11"/>
      <c r="Y1025" s="11"/>
      <c r="Z1025" s="11"/>
      <c r="AA1025" s="11"/>
      <c r="AB1025" s="11"/>
      <c r="AC1025" s="11"/>
    </row>
    <row r="1026" spans="1:29" x14ac:dyDescent="0.3">
      <c r="A1026" s="11"/>
      <c r="B1026" s="11"/>
      <c r="C1026" s="11"/>
      <c r="D1026" s="11"/>
      <c r="E1026" s="11"/>
      <c r="F1026" s="11"/>
      <c r="G1026" s="11"/>
      <c r="H1026" s="11"/>
      <c r="I1026" s="11"/>
      <c r="J1026" s="11"/>
      <c r="K1026" s="11"/>
      <c r="L1026" s="11"/>
      <c r="M1026" s="11"/>
      <c r="N1026" s="11"/>
      <c r="O1026" s="11"/>
      <c r="P1026" s="11"/>
      <c r="Q1026" s="11"/>
      <c r="R1026" s="11"/>
      <c r="S1026" s="11"/>
      <c r="T1026" s="11"/>
      <c r="U1026" s="11"/>
      <c r="V1026" s="11"/>
      <c r="W1026" s="11"/>
      <c r="X1026" s="11"/>
      <c r="Y1026" s="11"/>
      <c r="Z1026" s="11"/>
      <c r="AA1026" s="11"/>
      <c r="AB1026" s="11"/>
      <c r="AC1026" s="11"/>
    </row>
    <row r="1027" spans="1:29" x14ac:dyDescent="0.3">
      <c r="A1027" s="11"/>
      <c r="B1027" s="11"/>
      <c r="C1027" s="11"/>
      <c r="D1027" s="11"/>
      <c r="E1027" s="11"/>
      <c r="F1027" s="11"/>
      <c r="G1027" s="11"/>
      <c r="H1027" s="11"/>
      <c r="I1027" s="11"/>
      <c r="J1027" s="11"/>
      <c r="K1027" s="11"/>
      <c r="L1027" s="11"/>
      <c r="M1027" s="11"/>
      <c r="N1027" s="11"/>
      <c r="O1027" s="11"/>
      <c r="P1027" s="11"/>
      <c r="Q1027" s="11"/>
      <c r="R1027" s="11"/>
      <c r="S1027" s="11"/>
      <c r="T1027" s="11"/>
      <c r="U1027" s="11"/>
      <c r="V1027" s="11"/>
      <c r="W1027" s="11"/>
      <c r="X1027" s="11"/>
      <c r="Y1027" s="11"/>
      <c r="Z1027" s="11"/>
      <c r="AA1027" s="11"/>
      <c r="AB1027" s="11"/>
      <c r="AC1027" s="11"/>
    </row>
    <row r="1028" spans="1:29" x14ac:dyDescent="0.3">
      <c r="A1028" s="11"/>
      <c r="B1028" s="11"/>
      <c r="C1028" s="11"/>
      <c r="D1028" s="11"/>
      <c r="E1028" s="11"/>
      <c r="F1028" s="11"/>
      <c r="G1028" s="11"/>
      <c r="H1028" s="11"/>
      <c r="I1028" s="11"/>
      <c r="J1028" s="11"/>
      <c r="K1028" s="11"/>
      <c r="L1028" s="11"/>
      <c r="M1028" s="11"/>
      <c r="N1028" s="11"/>
      <c r="O1028" s="11"/>
      <c r="P1028" s="11"/>
      <c r="Q1028" s="11"/>
      <c r="R1028" s="11"/>
      <c r="S1028" s="11"/>
      <c r="T1028" s="11"/>
      <c r="U1028" s="11"/>
      <c r="V1028" s="11"/>
      <c r="W1028" s="11"/>
      <c r="X1028" s="11"/>
      <c r="Y1028" s="11"/>
      <c r="Z1028" s="11"/>
      <c r="AA1028" s="11"/>
      <c r="AB1028" s="11"/>
      <c r="AC1028" s="11"/>
    </row>
    <row r="1029" spans="1:29" x14ac:dyDescent="0.3">
      <c r="A1029" s="11"/>
      <c r="B1029" s="11"/>
      <c r="C1029" s="11"/>
      <c r="D1029" s="11"/>
      <c r="E1029" s="11"/>
      <c r="F1029" s="11"/>
      <c r="G1029" s="11"/>
      <c r="H1029" s="11"/>
      <c r="I1029" s="11"/>
      <c r="J1029" s="11"/>
      <c r="K1029" s="11"/>
      <c r="L1029" s="11"/>
      <c r="M1029" s="11"/>
      <c r="N1029" s="11"/>
      <c r="O1029" s="11"/>
      <c r="P1029" s="11"/>
      <c r="Q1029" s="11"/>
      <c r="R1029" s="11"/>
      <c r="S1029" s="11"/>
      <c r="T1029" s="11"/>
      <c r="U1029" s="11"/>
      <c r="V1029" s="11"/>
      <c r="W1029" s="11"/>
      <c r="X1029" s="11"/>
      <c r="Y1029" s="11"/>
      <c r="Z1029" s="11"/>
      <c r="AA1029" s="11"/>
      <c r="AB1029" s="11"/>
      <c r="AC1029" s="11"/>
    </row>
    <row r="1030" spans="1:29" x14ac:dyDescent="0.3">
      <c r="A1030" s="11"/>
      <c r="B1030" s="11"/>
      <c r="C1030" s="11"/>
      <c r="D1030" s="11"/>
      <c r="E1030" s="11"/>
      <c r="F1030" s="11"/>
      <c r="G1030" s="11"/>
      <c r="H1030" s="11"/>
      <c r="I1030" s="11"/>
      <c r="J1030" s="11"/>
      <c r="K1030" s="11"/>
      <c r="L1030" s="11"/>
      <c r="M1030" s="11"/>
      <c r="N1030" s="11"/>
      <c r="O1030" s="11"/>
      <c r="P1030" s="11"/>
      <c r="Q1030" s="11"/>
      <c r="R1030" s="11"/>
      <c r="S1030" s="11"/>
      <c r="T1030" s="11"/>
      <c r="U1030" s="11"/>
      <c r="V1030" s="11"/>
      <c r="W1030" s="11"/>
      <c r="X1030" s="11"/>
      <c r="Y1030" s="11"/>
      <c r="Z1030" s="11"/>
      <c r="AA1030" s="11"/>
      <c r="AB1030" s="11"/>
      <c r="AC1030" s="11"/>
    </row>
    <row r="1031" spans="1:29" x14ac:dyDescent="0.3">
      <c r="A1031" s="11"/>
      <c r="B1031" s="11"/>
      <c r="C1031" s="11"/>
      <c r="D1031" s="11"/>
      <c r="E1031" s="11"/>
      <c r="F1031" s="11"/>
      <c r="G1031" s="11"/>
      <c r="H1031" s="11"/>
      <c r="I1031" s="11"/>
      <c r="J1031" s="11"/>
      <c r="K1031" s="11"/>
      <c r="L1031" s="11"/>
      <c r="M1031" s="11"/>
      <c r="N1031" s="11"/>
      <c r="O1031" s="11"/>
      <c r="P1031" s="11"/>
      <c r="Q1031" s="11"/>
      <c r="R1031" s="11"/>
      <c r="S1031" s="11"/>
      <c r="T1031" s="11"/>
      <c r="U1031" s="11"/>
      <c r="V1031" s="11"/>
      <c r="W1031" s="11"/>
      <c r="X1031" s="11"/>
      <c r="Y1031" s="11"/>
      <c r="Z1031" s="11"/>
      <c r="AA1031" s="11"/>
      <c r="AB1031" s="11"/>
      <c r="AC1031" s="11"/>
    </row>
    <row r="1032" spans="1:29" x14ac:dyDescent="0.3">
      <c r="A1032" s="11"/>
      <c r="B1032" s="11"/>
      <c r="C1032" s="11"/>
      <c r="D1032" s="11"/>
      <c r="E1032" s="11"/>
      <c r="F1032" s="11"/>
      <c r="G1032" s="11"/>
      <c r="H1032" s="11"/>
      <c r="I1032" s="11"/>
      <c r="J1032" s="11"/>
      <c r="K1032" s="11"/>
      <c r="L1032" s="11"/>
      <c r="M1032" s="11"/>
      <c r="N1032" s="11"/>
      <c r="O1032" s="11"/>
      <c r="P1032" s="11"/>
      <c r="Q1032" s="11"/>
      <c r="R1032" s="11"/>
      <c r="S1032" s="11"/>
      <c r="T1032" s="11"/>
      <c r="U1032" s="11"/>
      <c r="V1032" s="11"/>
      <c r="W1032" s="11"/>
      <c r="X1032" s="11"/>
      <c r="Y1032" s="11"/>
      <c r="Z1032" s="11"/>
      <c r="AA1032" s="11"/>
      <c r="AB1032" s="11"/>
      <c r="AC1032" s="11"/>
    </row>
    <row r="1033" spans="1:29" x14ac:dyDescent="0.3">
      <c r="A1033" s="11"/>
      <c r="B1033" s="11"/>
      <c r="C1033" s="11"/>
      <c r="D1033" s="11"/>
      <c r="E1033" s="11"/>
      <c r="F1033" s="11"/>
      <c r="G1033" s="11"/>
      <c r="H1033" s="11"/>
      <c r="I1033" s="11"/>
      <c r="J1033" s="11"/>
      <c r="K1033" s="11"/>
      <c r="L1033" s="11"/>
      <c r="M1033" s="11"/>
      <c r="N1033" s="11"/>
      <c r="O1033" s="11"/>
      <c r="P1033" s="11"/>
      <c r="Q1033" s="11"/>
      <c r="R1033" s="11"/>
      <c r="S1033" s="11"/>
      <c r="T1033" s="11"/>
      <c r="U1033" s="11"/>
      <c r="V1033" s="11"/>
      <c r="W1033" s="11"/>
      <c r="X1033" s="11"/>
      <c r="Y1033" s="11"/>
      <c r="Z1033" s="11"/>
      <c r="AA1033" s="11"/>
      <c r="AB1033" s="11"/>
      <c r="AC1033" s="11"/>
    </row>
    <row r="1034" spans="1:29" x14ac:dyDescent="0.3">
      <c r="A1034" s="11"/>
      <c r="B1034" s="11"/>
      <c r="C1034" s="11"/>
      <c r="D1034" s="11"/>
      <c r="E1034" s="11"/>
      <c r="F1034" s="11"/>
      <c r="G1034" s="11"/>
      <c r="H1034" s="11"/>
      <c r="I1034" s="11"/>
      <c r="J1034" s="11"/>
      <c r="K1034" s="11"/>
      <c r="L1034" s="11"/>
      <c r="M1034" s="11"/>
      <c r="N1034" s="11"/>
      <c r="O1034" s="11"/>
      <c r="P1034" s="11"/>
      <c r="Q1034" s="11"/>
      <c r="R1034" s="11"/>
      <c r="S1034" s="11"/>
      <c r="T1034" s="11"/>
      <c r="U1034" s="11"/>
      <c r="V1034" s="11"/>
      <c r="W1034" s="11"/>
      <c r="X1034" s="11"/>
      <c r="Y1034" s="11"/>
      <c r="Z1034" s="11"/>
      <c r="AA1034" s="11"/>
      <c r="AB1034" s="11"/>
      <c r="AC1034" s="11"/>
    </row>
    <row r="1035" spans="1:29" x14ac:dyDescent="0.3">
      <c r="A1035" s="11"/>
      <c r="B1035" s="11"/>
      <c r="C1035" s="11"/>
      <c r="D1035" s="11"/>
      <c r="E1035" s="11"/>
      <c r="F1035" s="11"/>
      <c r="G1035" s="11"/>
      <c r="H1035" s="11"/>
      <c r="I1035" s="11"/>
      <c r="J1035" s="11"/>
      <c r="K1035" s="11"/>
      <c r="L1035" s="11"/>
      <c r="M1035" s="11"/>
      <c r="N1035" s="11"/>
      <c r="O1035" s="11"/>
      <c r="P1035" s="11"/>
      <c r="Q1035" s="11"/>
      <c r="R1035" s="11"/>
      <c r="S1035" s="11"/>
      <c r="T1035" s="11"/>
      <c r="U1035" s="11"/>
      <c r="V1035" s="11"/>
      <c r="W1035" s="11"/>
      <c r="X1035" s="11"/>
      <c r="Y1035" s="11"/>
      <c r="Z1035" s="11"/>
      <c r="AA1035" s="11"/>
      <c r="AB1035" s="11"/>
      <c r="AC1035" s="11"/>
    </row>
    <row r="1036" spans="1:29" x14ac:dyDescent="0.3">
      <c r="A1036" s="11"/>
      <c r="B1036" s="11"/>
      <c r="C1036" s="11"/>
      <c r="D1036" s="11"/>
      <c r="E1036" s="11"/>
      <c r="F1036" s="11"/>
      <c r="G1036" s="11"/>
      <c r="H1036" s="11"/>
      <c r="I1036" s="11"/>
      <c r="J1036" s="11"/>
      <c r="K1036" s="11"/>
      <c r="L1036" s="11"/>
      <c r="M1036" s="11"/>
      <c r="N1036" s="11"/>
      <c r="O1036" s="11"/>
      <c r="P1036" s="11"/>
      <c r="Q1036" s="11"/>
      <c r="R1036" s="11"/>
      <c r="S1036" s="11"/>
      <c r="T1036" s="11"/>
      <c r="U1036" s="11"/>
      <c r="V1036" s="11"/>
      <c r="W1036" s="11"/>
      <c r="X1036" s="11"/>
      <c r="Y1036" s="11"/>
      <c r="Z1036" s="11"/>
      <c r="AA1036" s="11"/>
      <c r="AB1036" s="11"/>
      <c r="AC1036" s="11"/>
    </row>
    <row r="1037" spans="1:29" x14ac:dyDescent="0.3">
      <c r="A1037" s="11"/>
      <c r="B1037" s="11"/>
      <c r="C1037" s="11"/>
      <c r="D1037" s="11"/>
      <c r="E1037" s="11"/>
      <c r="F1037" s="11"/>
      <c r="G1037" s="11"/>
      <c r="H1037" s="11"/>
      <c r="I1037" s="11"/>
      <c r="J1037" s="11"/>
      <c r="K1037" s="11"/>
      <c r="L1037" s="11"/>
      <c r="M1037" s="11"/>
      <c r="N1037" s="11"/>
      <c r="O1037" s="11"/>
      <c r="P1037" s="11"/>
      <c r="Q1037" s="11"/>
      <c r="R1037" s="11"/>
      <c r="S1037" s="11"/>
      <c r="T1037" s="11"/>
      <c r="U1037" s="11"/>
      <c r="V1037" s="11"/>
      <c r="W1037" s="11"/>
      <c r="X1037" s="11"/>
      <c r="Y1037" s="11"/>
      <c r="Z1037" s="11"/>
      <c r="AA1037" s="11"/>
      <c r="AB1037" s="11"/>
      <c r="AC1037" s="11"/>
    </row>
    <row r="1038" spans="1:29" x14ac:dyDescent="0.3">
      <c r="A1038" s="11"/>
      <c r="B1038" s="11"/>
      <c r="C1038" s="11"/>
      <c r="D1038" s="11"/>
      <c r="E1038" s="11"/>
      <c r="F1038" s="11"/>
      <c r="G1038" s="11"/>
      <c r="H1038" s="11"/>
      <c r="I1038" s="11"/>
      <c r="J1038" s="11"/>
      <c r="K1038" s="11"/>
      <c r="L1038" s="11"/>
      <c r="M1038" s="11"/>
      <c r="N1038" s="11"/>
      <c r="O1038" s="11"/>
      <c r="P1038" s="11"/>
      <c r="Q1038" s="11"/>
      <c r="R1038" s="11"/>
      <c r="S1038" s="11"/>
      <c r="T1038" s="11"/>
      <c r="U1038" s="11"/>
      <c r="V1038" s="11"/>
      <c r="W1038" s="11"/>
      <c r="X1038" s="11"/>
      <c r="Y1038" s="11"/>
      <c r="Z1038" s="11"/>
      <c r="AA1038" s="11"/>
      <c r="AB1038" s="11"/>
      <c r="AC1038" s="11"/>
    </row>
    <row r="1039" spans="1:29" x14ac:dyDescent="0.3">
      <c r="A1039" s="11"/>
      <c r="B1039" s="11"/>
      <c r="C1039" s="11"/>
      <c r="D1039" s="11"/>
      <c r="E1039" s="11"/>
      <c r="F1039" s="11"/>
      <c r="G1039" s="11"/>
      <c r="H1039" s="11"/>
      <c r="I1039" s="11"/>
      <c r="J1039" s="11"/>
      <c r="K1039" s="11"/>
      <c r="L1039" s="11"/>
      <c r="M1039" s="11"/>
      <c r="N1039" s="11"/>
      <c r="O1039" s="11"/>
      <c r="P1039" s="11"/>
      <c r="Q1039" s="11"/>
      <c r="R1039" s="11"/>
      <c r="S1039" s="11"/>
      <c r="T1039" s="11"/>
      <c r="U1039" s="11"/>
      <c r="V1039" s="11"/>
      <c r="W1039" s="11"/>
      <c r="X1039" s="11"/>
      <c r="Y1039" s="11"/>
      <c r="Z1039" s="11"/>
      <c r="AA1039" s="11"/>
      <c r="AB1039" s="11"/>
      <c r="AC1039" s="11"/>
    </row>
    <row r="1040" spans="1:29" x14ac:dyDescent="0.3">
      <c r="A1040" s="11"/>
      <c r="B1040" s="11"/>
      <c r="C1040" s="11"/>
      <c r="D1040" s="11"/>
      <c r="E1040" s="11"/>
      <c r="F1040" s="11"/>
      <c r="G1040" s="11"/>
      <c r="H1040" s="11"/>
      <c r="I1040" s="11"/>
      <c r="J1040" s="11"/>
      <c r="K1040" s="11"/>
      <c r="L1040" s="11"/>
      <c r="M1040" s="11"/>
      <c r="N1040" s="11"/>
      <c r="O1040" s="11"/>
      <c r="P1040" s="11"/>
      <c r="Q1040" s="11"/>
      <c r="R1040" s="11"/>
      <c r="S1040" s="11"/>
      <c r="T1040" s="11"/>
      <c r="U1040" s="11"/>
      <c r="V1040" s="11"/>
      <c r="W1040" s="11"/>
      <c r="X1040" s="11"/>
      <c r="Y1040" s="11"/>
      <c r="Z1040" s="11"/>
      <c r="AA1040" s="11"/>
      <c r="AB1040" s="11"/>
      <c r="AC1040" s="11"/>
    </row>
    <row r="1041" spans="1:29" x14ac:dyDescent="0.3">
      <c r="A1041" s="11"/>
      <c r="B1041" s="11"/>
      <c r="C1041" s="11"/>
      <c r="D1041" s="11"/>
      <c r="E1041" s="11"/>
      <c r="F1041" s="11"/>
      <c r="G1041" s="11"/>
      <c r="H1041" s="11"/>
      <c r="I1041" s="11"/>
      <c r="J1041" s="11"/>
      <c r="K1041" s="11"/>
      <c r="L1041" s="11"/>
      <c r="M1041" s="11"/>
      <c r="N1041" s="11"/>
      <c r="O1041" s="11"/>
      <c r="P1041" s="11"/>
      <c r="Q1041" s="11"/>
      <c r="R1041" s="11"/>
      <c r="S1041" s="11"/>
      <c r="T1041" s="11"/>
      <c r="U1041" s="11"/>
      <c r="V1041" s="11"/>
      <c r="W1041" s="11"/>
      <c r="X1041" s="11"/>
      <c r="Y1041" s="11"/>
      <c r="Z1041" s="11"/>
      <c r="AA1041" s="11"/>
      <c r="AB1041" s="11"/>
      <c r="AC1041" s="11"/>
    </row>
    <row r="1042" spans="1:29" x14ac:dyDescent="0.3">
      <c r="A1042" s="11"/>
      <c r="B1042" s="11"/>
      <c r="C1042" s="11"/>
      <c r="D1042" s="11"/>
      <c r="E1042" s="11"/>
      <c r="F1042" s="11"/>
      <c r="G1042" s="11"/>
      <c r="H1042" s="11"/>
      <c r="I1042" s="11"/>
      <c r="J1042" s="11"/>
      <c r="K1042" s="11"/>
      <c r="L1042" s="11"/>
      <c r="M1042" s="11"/>
      <c r="N1042" s="11"/>
      <c r="O1042" s="11"/>
      <c r="P1042" s="11"/>
      <c r="Q1042" s="11"/>
      <c r="R1042" s="11"/>
      <c r="S1042" s="11"/>
      <c r="T1042" s="11"/>
      <c r="U1042" s="11"/>
      <c r="V1042" s="11"/>
      <c r="W1042" s="11"/>
      <c r="X1042" s="11"/>
      <c r="Y1042" s="11"/>
      <c r="Z1042" s="11"/>
      <c r="AA1042" s="11"/>
      <c r="AB1042" s="11"/>
      <c r="AC1042" s="11"/>
    </row>
    <row r="1043" spans="1:29" x14ac:dyDescent="0.3">
      <c r="A1043" s="11"/>
      <c r="B1043" s="11"/>
      <c r="C1043" s="11"/>
      <c r="D1043" s="11"/>
      <c r="E1043" s="11"/>
      <c r="F1043" s="11"/>
      <c r="G1043" s="11"/>
      <c r="H1043" s="11"/>
      <c r="I1043" s="11"/>
      <c r="J1043" s="11"/>
      <c r="K1043" s="11"/>
      <c r="L1043" s="11"/>
      <c r="M1043" s="11"/>
      <c r="N1043" s="11"/>
      <c r="O1043" s="11"/>
      <c r="P1043" s="11"/>
      <c r="Q1043" s="11"/>
      <c r="R1043" s="11"/>
      <c r="S1043" s="11"/>
      <c r="T1043" s="11"/>
      <c r="U1043" s="11"/>
      <c r="V1043" s="11"/>
      <c r="W1043" s="11"/>
      <c r="X1043" s="11"/>
      <c r="Y1043" s="11"/>
      <c r="Z1043" s="11"/>
      <c r="AA1043" s="11"/>
      <c r="AB1043" s="11"/>
      <c r="AC1043" s="11"/>
    </row>
    <row r="1044" spans="1:29" x14ac:dyDescent="0.3">
      <c r="A1044" s="11"/>
      <c r="B1044" s="11"/>
      <c r="C1044" s="11"/>
      <c r="D1044" s="11"/>
      <c r="E1044" s="11"/>
      <c r="F1044" s="11"/>
      <c r="G1044" s="11"/>
      <c r="H1044" s="11"/>
      <c r="I1044" s="11"/>
      <c r="J1044" s="11"/>
      <c r="K1044" s="11"/>
      <c r="L1044" s="11"/>
      <c r="M1044" s="11"/>
      <c r="N1044" s="11"/>
      <c r="O1044" s="11"/>
      <c r="P1044" s="11"/>
      <c r="Q1044" s="11"/>
      <c r="R1044" s="11"/>
      <c r="S1044" s="11"/>
      <c r="T1044" s="11"/>
      <c r="U1044" s="11"/>
      <c r="V1044" s="11"/>
      <c r="W1044" s="11"/>
      <c r="X1044" s="11"/>
      <c r="Y1044" s="11"/>
      <c r="Z1044" s="11"/>
      <c r="AA1044" s="11"/>
      <c r="AB1044" s="11"/>
      <c r="AC1044" s="11"/>
    </row>
    <row r="1045" spans="1:29" x14ac:dyDescent="0.3">
      <c r="A1045" s="11"/>
      <c r="B1045" s="11"/>
      <c r="C1045" s="11"/>
      <c r="D1045" s="11"/>
      <c r="E1045" s="11"/>
      <c r="F1045" s="11"/>
      <c r="G1045" s="11"/>
      <c r="H1045" s="11"/>
      <c r="I1045" s="11"/>
      <c r="J1045" s="11"/>
      <c r="K1045" s="11"/>
      <c r="L1045" s="11"/>
      <c r="M1045" s="11"/>
      <c r="N1045" s="11"/>
      <c r="O1045" s="11"/>
      <c r="P1045" s="11"/>
      <c r="Q1045" s="11"/>
      <c r="R1045" s="11"/>
      <c r="S1045" s="11"/>
      <c r="T1045" s="11"/>
      <c r="U1045" s="11"/>
      <c r="V1045" s="11"/>
      <c r="W1045" s="11"/>
      <c r="X1045" s="11"/>
      <c r="Y1045" s="11"/>
      <c r="Z1045" s="11"/>
      <c r="AA1045" s="11"/>
      <c r="AB1045" s="11"/>
      <c r="AC1045" s="11"/>
    </row>
    <row r="1046" spans="1:29" x14ac:dyDescent="0.3">
      <c r="A1046" s="11"/>
      <c r="B1046" s="11"/>
      <c r="C1046" s="11"/>
      <c r="D1046" s="11"/>
      <c r="E1046" s="11"/>
      <c r="F1046" s="11"/>
      <c r="G1046" s="11"/>
      <c r="H1046" s="11"/>
      <c r="I1046" s="11"/>
      <c r="J1046" s="11"/>
      <c r="K1046" s="11"/>
      <c r="L1046" s="11"/>
      <c r="M1046" s="11"/>
      <c r="N1046" s="11"/>
      <c r="O1046" s="11"/>
      <c r="P1046" s="11"/>
      <c r="Q1046" s="11"/>
      <c r="R1046" s="11"/>
      <c r="S1046" s="11"/>
      <c r="T1046" s="11"/>
      <c r="U1046" s="11"/>
      <c r="V1046" s="11"/>
      <c r="W1046" s="11"/>
      <c r="X1046" s="11"/>
      <c r="Y1046" s="11"/>
      <c r="Z1046" s="11"/>
      <c r="AA1046" s="11"/>
      <c r="AB1046" s="11"/>
      <c r="AC1046" s="11"/>
    </row>
    <row r="1047" spans="1:29" x14ac:dyDescent="0.3">
      <c r="A1047" s="11"/>
      <c r="B1047" s="11"/>
      <c r="C1047" s="11"/>
      <c r="D1047" s="11"/>
      <c r="E1047" s="11"/>
      <c r="F1047" s="11"/>
      <c r="G1047" s="11"/>
      <c r="H1047" s="11"/>
      <c r="I1047" s="11"/>
      <c r="J1047" s="11"/>
      <c r="K1047" s="11"/>
      <c r="L1047" s="11"/>
      <c r="M1047" s="11"/>
      <c r="N1047" s="11"/>
      <c r="O1047" s="11"/>
      <c r="P1047" s="11"/>
      <c r="Q1047" s="11"/>
      <c r="R1047" s="11"/>
      <c r="S1047" s="11"/>
      <c r="T1047" s="11"/>
      <c r="U1047" s="11"/>
      <c r="V1047" s="11"/>
      <c r="W1047" s="11"/>
      <c r="X1047" s="11"/>
      <c r="Y1047" s="11"/>
      <c r="Z1047" s="11"/>
      <c r="AA1047" s="11"/>
      <c r="AB1047" s="11"/>
      <c r="AC1047" s="11"/>
    </row>
    <row r="1048" spans="1:29" x14ac:dyDescent="0.3">
      <c r="A1048" s="11"/>
      <c r="B1048" s="11"/>
      <c r="C1048" s="11"/>
      <c r="D1048" s="11"/>
      <c r="E1048" s="11"/>
      <c r="F1048" s="11"/>
      <c r="G1048" s="11"/>
      <c r="H1048" s="11"/>
      <c r="I1048" s="11"/>
      <c r="J1048" s="11"/>
      <c r="K1048" s="11"/>
      <c r="L1048" s="11"/>
      <c r="M1048" s="11"/>
      <c r="N1048" s="11"/>
      <c r="O1048" s="11"/>
      <c r="P1048" s="11"/>
      <c r="Q1048" s="11"/>
      <c r="R1048" s="11"/>
      <c r="S1048" s="11"/>
      <c r="T1048" s="11"/>
      <c r="U1048" s="11"/>
      <c r="V1048" s="11"/>
      <c r="W1048" s="11"/>
      <c r="X1048" s="11"/>
      <c r="Y1048" s="11"/>
      <c r="Z1048" s="11"/>
      <c r="AA1048" s="11"/>
      <c r="AB1048" s="11"/>
      <c r="AC1048" s="11"/>
    </row>
    <row r="1049" spans="1:29" x14ac:dyDescent="0.3">
      <c r="A1049" s="11"/>
      <c r="B1049" s="11"/>
      <c r="C1049" s="11"/>
      <c r="D1049" s="11"/>
      <c r="E1049" s="11"/>
      <c r="F1049" s="11"/>
      <c r="G1049" s="11"/>
      <c r="H1049" s="11"/>
      <c r="I1049" s="11"/>
      <c r="J1049" s="11"/>
      <c r="K1049" s="11"/>
      <c r="L1049" s="11"/>
      <c r="M1049" s="11"/>
      <c r="N1049" s="11"/>
      <c r="O1049" s="11"/>
      <c r="P1049" s="11"/>
      <c r="Q1049" s="11"/>
      <c r="R1049" s="11"/>
      <c r="S1049" s="11"/>
      <c r="T1049" s="11"/>
      <c r="U1049" s="11"/>
      <c r="V1049" s="11"/>
      <c r="W1049" s="11"/>
      <c r="X1049" s="11"/>
      <c r="Y1049" s="11"/>
      <c r="Z1049" s="11"/>
      <c r="AA1049" s="11"/>
      <c r="AB1049" s="11"/>
      <c r="AC1049" s="11"/>
    </row>
    <row r="1050" spans="1:29" x14ac:dyDescent="0.3">
      <c r="A1050" s="11"/>
      <c r="B1050" s="11"/>
      <c r="C1050" s="11"/>
      <c r="D1050" s="11"/>
      <c r="E1050" s="11"/>
      <c r="F1050" s="11"/>
      <c r="G1050" s="11"/>
      <c r="H1050" s="11"/>
      <c r="I1050" s="11"/>
      <c r="J1050" s="11"/>
      <c r="K1050" s="11"/>
      <c r="L1050" s="11"/>
      <c r="M1050" s="11"/>
      <c r="N1050" s="11"/>
      <c r="O1050" s="11"/>
      <c r="P1050" s="11"/>
      <c r="Q1050" s="11"/>
      <c r="R1050" s="11"/>
      <c r="S1050" s="11"/>
      <c r="T1050" s="11"/>
      <c r="U1050" s="11"/>
      <c r="V1050" s="11"/>
      <c r="W1050" s="11"/>
      <c r="X1050" s="11"/>
      <c r="Y1050" s="11"/>
      <c r="Z1050" s="11"/>
      <c r="AA1050" s="11"/>
      <c r="AB1050" s="11"/>
      <c r="AC1050" s="11"/>
    </row>
    <row r="1051" spans="1:29" x14ac:dyDescent="0.3">
      <c r="A1051" s="11"/>
      <c r="B1051" s="11"/>
      <c r="C1051" s="11"/>
      <c r="D1051" s="11"/>
      <c r="E1051" s="11"/>
      <c r="F1051" s="11"/>
      <c r="G1051" s="11"/>
      <c r="H1051" s="11"/>
      <c r="I1051" s="11"/>
      <c r="J1051" s="11"/>
      <c r="K1051" s="11"/>
      <c r="L1051" s="11"/>
      <c r="M1051" s="11"/>
      <c r="N1051" s="11"/>
      <c r="O1051" s="11"/>
      <c r="P1051" s="11"/>
      <c r="Q1051" s="11"/>
      <c r="R1051" s="11"/>
      <c r="S1051" s="11"/>
      <c r="T1051" s="11"/>
      <c r="U1051" s="11"/>
      <c r="V1051" s="11"/>
      <c r="W1051" s="11"/>
      <c r="X1051" s="11"/>
      <c r="Y1051" s="11"/>
      <c r="Z1051" s="11"/>
      <c r="AA1051" s="11"/>
      <c r="AB1051" s="11"/>
      <c r="AC1051" s="11"/>
    </row>
    <row r="1052" spans="1:29" x14ac:dyDescent="0.3">
      <c r="A1052" s="11"/>
      <c r="B1052" s="11"/>
      <c r="C1052" s="11"/>
      <c r="D1052" s="11"/>
      <c r="E1052" s="11"/>
      <c r="F1052" s="11"/>
      <c r="G1052" s="11"/>
      <c r="H1052" s="11"/>
      <c r="I1052" s="11"/>
      <c r="J1052" s="11"/>
      <c r="K1052" s="11"/>
      <c r="L1052" s="11"/>
      <c r="M1052" s="11"/>
      <c r="N1052" s="11"/>
      <c r="O1052" s="11"/>
      <c r="P1052" s="11"/>
      <c r="Q1052" s="11"/>
      <c r="R1052" s="11"/>
      <c r="S1052" s="11"/>
      <c r="T1052" s="11"/>
      <c r="U1052" s="11"/>
      <c r="V1052" s="11"/>
      <c r="W1052" s="11"/>
      <c r="X1052" s="11"/>
      <c r="Y1052" s="11"/>
      <c r="Z1052" s="11"/>
      <c r="AA1052" s="11"/>
      <c r="AB1052" s="11"/>
      <c r="AC1052" s="11"/>
    </row>
    <row r="1053" spans="1:29" x14ac:dyDescent="0.3">
      <c r="A1053" s="11"/>
      <c r="B1053" s="11"/>
      <c r="C1053" s="11"/>
      <c r="D1053" s="11"/>
      <c r="E1053" s="11"/>
      <c r="F1053" s="11"/>
      <c r="G1053" s="11"/>
      <c r="H1053" s="11"/>
      <c r="I1053" s="11"/>
      <c r="J1053" s="11"/>
      <c r="K1053" s="11"/>
      <c r="L1053" s="11"/>
      <c r="M1053" s="11"/>
      <c r="N1053" s="11"/>
      <c r="O1053" s="11"/>
      <c r="P1053" s="11"/>
      <c r="Q1053" s="11"/>
      <c r="R1053" s="11"/>
      <c r="S1053" s="11"/>
      <c r="T1053" s="11"/>
      <c r="U1053" s="11"/>
      <c r="V1053" s="11"/>
      <c r="W1053" s="11"/>
      <c r="X1053" s="11"/>
      <c r="Y1053" s="11"/>
      <c r="Z1053" s="11"/>
      <c r="AA1053" s="11"/>
      <c r="AB1053" s="11"/>
      <c r="AC1053" s="11"/>
    </row>
    <row r="1054" spans="1:29" x14ac:dyDescent="0.3">
      <c r="A1054" s="11"/>
      <c r="B1054" s="11"/>
      <c r="C1054" s="11"/>
      <c r="D1054" s="11"/>
      <c r="E1054" s="11"/>
      <c r="F1054" s="11"/>
      <c r="G1054" s="11"/>
      <c r="H1054" s="11"/>
      <c r="I1054" s="11"/>
      <c r="J1054" s="11"/>
      <c r="K1054" s="11"/>
      <c r="L1054" s="11"/>
      <c r="M1054" s="11"/>
      <c r="N1054" s="11"/>
      <c r="O1054" s="11"/>
      <c r="P1054" s="11"/>
      <c r="Q1054" s="11"/>
      <c r="R1054" s="11"/>
      <c r="S1054" s="11"/>
      <c r="T1054" s="11"/>
      <c r="U1054" s="11"/>
      <c r="V1054" s="11"/>
      <c r="W1054" s="11"/>
      <c r="X1054" s="11"/>
      <c r="Y1054" s="11"/>
      <c r="Z1054" s="11"/>
      <c r="AA1054" s="11"/>
      <c r="AB1054" s="11"/>
      <c r="AC1054" s="11"/>
    </row>
    <row r="1055" spans="1:29" x14ac:dyDescent="0.3">
      <c r="A1055" s="11"/>
      <c r="B1055" s="11"/>
      <c r="C1055" s="11"/>
      <c r="D1055" s="11"/>
      <c r="E1055" s="11"/>
      <c r="F1055" s="11"/>
      <c r="G1055" s="11"/>
      <c r="H1055" s="11"/>
      <c r="I1055" s="11"/>
      <c r="J1055" s="11"/>
      <c r="K1055" s="11"/>
      <c r="L1055" s="11"/>
      <c r="M1055" s="11"/>
      <c r="N1055" s="11"/>
      <c r="O1055" s="11"/>
      <c r="P1055" s="11"/>
      <c r="Q1055" s="11"/>
      <c r="R1055" s="11"/>
      <c r="S1055" s="11"/>
      <c r="T1055" s="11"/>
      <c r="U1055" s="11"/>
      <c r="V1055" s="11"/>
      <c r="W1055" s="11"/>
      <c r="X1055" s="11"/>
      <c r="Y1055" s="11"/>
      <c r="Z1055" s="11"/>
      <c r="AA1055" s="11"/>
      <c r="AB1055" s="11"/>
      <c r="AC1055" s="11"/>
    </row>
    <row r="1056" spans="1:29" x14ac:dyDescent="0.3">
      <c r="A1056" s="11"/>
      <c r="B1056" s="11"/>
      <c r="C1056" s="11"/>
      <c r="D1056" s="11"/>
      <c r="E1056" s="11"/>
      <c r="F1056" s="11"/>
      <c r="G1056" s="11"/>
      <c r="H1056" s="11"/>
      <c r="I1056" s="11"/>
      <c r="J1056" s="11"/>
      <c r="K1056" s="11"/>
      <c r="L1056" s="11"/>
      <c r="M1056" s="11"/>
      <c r="N1056" s="11"/>
      <c r="O1056" s="11"/>
      <c r="P1056" s="11"/>
      <c r="Q1056" s="11"/>
      <c r="R1056" s="11"/>
      <c r="S1056" s="11"/>
      <c r="T1056" s="11"/>
      <c r="U1056" s="11"/>
      <c r="V1056" s="11"/>
      <c r="W1056" s="11"/>
      <c r="X1056" s="11"/>
      <c r="Y1056" s="11"/>
      <c r="Z1056" s="11"/>
      <c r="AA1056" s="11"/>
      <c r="AB1056" s="11"/>
      <c r="AC1056" s="11"/>
    </row>
    <row r="1057" spans="1:29" x14ac:dyDescent="0.3">
      <c r="A1057" s="11"/>
      <c r="B1057" s="11"/>
      <c r="C1057" s="11"/>
      <c r="D1057" s="11"/>
      <c r="E1057" s="11"/>
      <c r="F1057" s="11"/>
      <c r="G1057" s="11"/>
      <c r="H1057" s="11"/>
      <c r="I1057" s="11"/>
      <c r="J1057" s="11"/>
      <c r="K1057" s="11"/>
      <c r="L1057" s="11"/>
      <c r="M1057" s="11"/>
      <c r="N1057" s="11"/>
      <c r="O1057" s="11"/>
      <c r="P1057" s="11"/>
      <c r="Q1057" s="11"/>
      <c r="R1057" s="11"/>
      <c r="S1057" s="11"/>
      <c r="T1057" s="11"/>
      <c r="U1057" s="11"/>
      <c r="V1057" s="11"/>
      <c r="W1057" s="11"/>
      <c r="X1057" s="11"/>
      <c r="Y1057" s="11"/>
      <c r="Z1057" s="11"/>
      <c r="AA1057" s="11"/>
      <c r="AB1057" s="11"/>
      <c r="AC1057" s="11"/>
    </row>
    <row r="1058" spans="1:29" x14ac:dyDescent="0.3">
      <c r="A1058" s="11"/>
      <c r="B1058" s="11"/>
      <c r="C1058" s="11"/>
      <c r="D1058" s="11"/>
      <c r="E1058" s="11"/>
      <c r="F1058" s="11"/>
      <c r="G1058" s="11"/>
      <c r="H1058" s="11"/>
      <c r="I1058" s="11"/>
      <c r="J1058" s="11"/>
      <c r="K1058" s="11"/>
      <c r="L1058" s="11"/>
      <c r="M1058" s="11"/>
      <c r="N1058" s="11"/>
      <c r="O1058" s="11"/>
      <c r="P1058" s="11"/>
      <c r="Q1058" s="11"/>
      <c r="R1058" s="11"/>
      <c r="S1058" s="11"/>
      <c r="T1058" s="11"/>
      <c r="U1058" s="11"/>
      <c r="V1058" s="11"/>
      <c r="W1058" s="11"/>
      <c r="X1058" s="11"/>
      <c r="Y1058" s="11"/>
      <c r="Z1058" s="11"/>
      <c r="AA1058" s="11"/>
      <c r="AB1058" s="11"/>
      <c r="AC1058" s="11"/>
    </row>
    <row r="1059" spans="1:29" x14ac:dyDescent="0.3">
      <c r="A1059" s="11"/>
      <c r="B1059" s="11"/>
      <c r="C1059" s="11"/>
      <c r="D1059" s="11"/>
      <c r="E1059" s="11"/>
      <c r="F1059" s="11"/>
      <c r="G1059" s="11"/>
      <c r="H1059" s="11"/>
      <c r="I1059" s="11"/>
      <c r="J1059" s="11"/>
      <c r="K1059" s="11"/>
      <c r="L1059" s="11"/>
      <c r="M1059" s="11"/>
      <c r="N1059" s="11"/>
      <c r="O1059" s="11"/>
      <c r="P1059" s="11"/>
      <c r="Q1059" s="11"/>
      <c r="R1059" s="11"/>
      <c r="S1059" s="11"/>
      <c r="T1059" s="11"/>
      <c r="U1059" s="11"/>
      <c r="V1059" s="11"/>
      <c r="W1059" s="11"/>
      <c r="X1059" s="11"/>
      <c r="Y1059" s="11"/>
      <c r="Z1059" s="11"/>
      <c r="AA1059" s="11"/>
      <c r="AB1059" s="11"/>
      <c r="AC1059" s="11"/>
    </row>
    <row r="1060" spans="1:29" x14ac:dyDescent="0.3">
      <c r="A1060" s="11"/>
      <c r="B1060" s="11"/>
      <c r="C1060" s="11"/>
      <c r="D1060" s="11"/>
      <c r="E1060" s="11"/>
      <c r="F1060" s="11"/>
      <c r="G1060" s="11"/>
      <c r="H1060" s="11"/>
      <c r="I1060" s="11"/>
      <c r="J1060" s="11"/>
      <c r="K1060" s="11"/>
      <c r="L1060" s="11"/>
      <c r="M1060" s="11"/>
      <c r="N1060" s="11"/>
      <c r="O1060" s="11"/>
      <c r="P1060" s="11"/>
      <c r="Q1060" s="11"/>
      <c r="R1060" s="11"/>
      <c r="S1060" s="11"/>
      <c r="T1060" s="11"/>
      <c r="U1060" s="11"/>
      <c r="V1060" s="11"/>
      <c r="W1060" s="11"/>
      <c r="X1060" s="11"/>
      <c r="Y1060" s="11"/>
      <c r="Z1060" s="11"/>
      <c r="AA1060" s="11"/>
      <c r="AB1060" s="11"/>
      <c r="AC1060" s="11"/>
    </row>
    <row r="1061" spans="1:29" x14ac:dyDescent="0.3">
      <c r="A1061" s="11"/>
      <c r="B1061" s="11"/>
      <c r="C1061" s="11"/>
      <c r="D1061" s="11"/>
      <c r="E1061" s="11"/>
      <c r="F1061" s="11"/>
      <c r="G1061" s="11"/>
      <c r="H1061" s="11"/>
      <c r="I1061" s="11"/>
      <c r="J1061" s="11"/>
      <c r="K1061" s="11"/>
      <c r="L1061" s="11"/>
      <c r="M1061" s="11"/>
      <c r="N1061" s="11"/>
      <c r="O1061" s="11"/>
      <c r="P1061" s="11"/>
      <c r="Q1061" s="11"/>
      <c r="R1061" s="11"/>
      <c r="S1061" s="11"/>
      <c r="T1061" s="11"/>
      <c r="U1061" s="11"/>
      <c r="V1061" s="11"/>
      <c r="W1061" s="11"/>
      <c r="X1061" s="11"/>
      <c r="Y1061" s="11"/>
      <c r="Z1061" s="11"/>
      <c r="AA1061" s="11"/>
      <c r="AB1061" s="11"/>
      <c r="AC1061" s="11"/>
    </row>
    <row r="1062" spans="1:29" x14ac:dyDescent="0.3">
      <c r="A1062" s="11"/>
      <c r="B1062" s="11"/>
      <c r="C1062" s="11"/>
      <c r="D1062" s="11"/>
      <c r="E1062" s="11"/>
      <c r="F1062" s="11"/>
      <c r="G1062" s="11"/>
      <c r="H1062" s="11"/>
      <c r="I1062" s="11"/>
      <c r="J1062" s="11"/>
      <c r="K1062" s="11"/>
      <c r="L1062" s="11"/>
      <c r="M1062" s="11"/>
      <c r="N1062" s="11"/>
      <c r="O1062" s="11"/>
      <c r="P1062" s="11"/>
      <c r="Q1062" s="11"/>
      <c r="R1062" s="11"/>
      <c r="S1062" s="11"/>
      <c r="T1062" s="11"/>
      <c r="U1062" s="11"/>
      <c r="V1062" s="11"/>
      <c r="W1062" s="11"/>
      <c r="X1062" s="11"/>
      <c r="Y1062" s="11"/>
      <c r="Z1062" s="11"/>
      <c r="AA1062" s="11"/>
      <c r="AB1062" s="11"/>
      <c r="AC1062" s="11"/>
    </row>
    <row r="1063" spans="1:29" x14ac:dyDescent="0.3">
      <c r="A1063" s="11"/>
      <c r="B1063" s="11"/>
      <c r="C1063" s="11"/>
      <c r="D1063" s="11"/>
      <c r="E1063" s="11"/>
      <c r="F1063" s="11"/>
      <c r="G1063" s="11"/>
      <c r="H1063" s="11"/>
      <c r="I1063" s="11"/>
      <c r="J1063" s="11"/>
      <c r="K1063" s="11"/>
      <c r="L1063" s="11"/>
      <c r="M1063" s="11"/>
      <c r="N1063" s="11"/>
      <c r="O1063" s="11"/>
      <c r="P1063" s="11"/>
      <c r="Q1063" s="11"/>
      <c r="R1063" s="11"/>
      <c r="S1063" s="11"/>
      <c r="T1063" s="11"/>
      <c r="U1063" s="11"/>
      <c r="V1063" s="11"/>
      <c r="W1063" s="11"/>
      <c r="X1063" s="11"/>
      <c r="Y1063" s="11"/>
      <c r="Z1063" s="11"/>
      <c r="AA1063" s="11"/>
      <c r="AB1063" s="11"/>
      <c r="AC1063" s="11"/>
    </row>
    <row r="1064" spans="1:29" x14ac:dyDescent="0.3">
      <c r="A1064" s="11"/>
      <c r="B1064" s="11"/>
      <c r="C1064" s="11"/>
      <c r="D1064" s="11"/>
      <c r="E1064" s="11"/>
      <c r="F1064" s="11"/>
      <c r="G1064" s="11"/>
      <c r="H1064" s="11"/>
      <c r="I1064" s="11"/>
      <c r="J1064" s="11"/>
      <c r="K1064" s="11"/>
      <c r="L1064" s="11"/>
      <c r="M1064" s="11"/>
      <c r="N1064" s="11"/>
      <c r="O1064" s="11"/>
      <c r="P1064" s="11"/>
      <c r="Q1064" s="11"/>
      <c r="R1064" s="11"/>
      <c r="S1064" s="11"/>
      <c r="T1064" s="11"/>
      <c r="U1064" s="11"/>
      <c r="V1064" s="11"/>
      <c r="W1064" s="11"/>
      <c r="X1064" s="11"/>
      <c r="Y1064" s="11"/>
      <c r="Z1064" s="11"/>
      <c r="AA1064" s="11"/>
      <c r="AB1064" s="11"/>
      <c r="AC1064" s="11"/>
    </row>
    <row r="1065" spans="1:29" x14ac:dyDescent="0.3">
      <c r="A1065" s="11"/>
      <c r="B1065" s="11"/>
      <c r="C1065" s="11"/>
      <c r="D1065" s="11"/>
      <c r="E1065" s="11"/>
      <c r="F1065" s="11"/>
      <c r="G1065" s="11"/>
      <c r="H1065" s="11"/>
      <c r="I1065" s="11"/>
      <c r="J1065" s="11"/>
      <c r="K1065" s="11"/>
      <c r="L1065" s="11"/>
      <c r="M1065" s="11"/>
      <c r="N1065" s="11"/>
      <c r="O1065" s="11"/>
      <c r="P1065" s="11"/>
      <c r="Q1065" s="11"/>
      <c r="R1065" s="11"/>
      <c r="S1065" s="11"/>
      <c r="T1065" s="11"/>
      <c r="U1065" s="11"/>
      <c r="V1065" s="11"/>
      <c r="W1065" s="11"/>
      <c r="X1065" s="11"/>
      <c r="Y1065" s="11"/>
      <c r="Z1065" s="11"/>
      <c r="AA1065" s="11"/>
      <c r="AB1065" s="11"/>
      <c r="AC1065" s="11"/>
    </row>
    <row r="1066" spans="1:29" x14ac:dyDescent="0.3">
      <c r="A1066" s="11"/>
      <c r="B1066" s="11"/>
      <c r="C1066" s="11"/>
      <c r="D1066" s="11"/>
      <c r="E1066" s="11"/>
      <c r="F1066" s="11"/>
      <c r="G1066" s="11"/>
      <c r="H1066" s="11"/>
      <c r="I1066" s="11"/>
      <c r="J1066" s="11"/>
      <c r="K1066" s="11"/>
      <c r="L1066" s="11"/>
      <c r="M1066" s="11"/>
      <c r="N1066" s="11"/>
      <c r="O1066" s="11"/>
      <c r="P1066" s="11"/>
      <c r="Q1066" s="11"/>
      <c r="R1066" s="11"/>
      <c r="S1066" s="11"/>
      <c r="T1066" s="11"/>
      <c r="U1066" s="11"/>
      <c r="V1066" s="11"/>
      <c r="W1066" s="11"/>
      <c r="X1066" s="11"/>
      <c r="Y1066" s="11"/>
      <c r="Z1066" s="11"/>
      <c r="AA1066" s="11"/>
      <c r="AB1066" s="11"/>
      <c r="AC1066" s="11"/>
    </row>
    <row r="1067" spans="1:29" x14ac:dyDescent="0.3">
      <c r="A1067" s="11"/>
      <c r="B1067" s="11"/>
      <c r="C1067" s="11"/>
      <c r="D1067" s="11"/>
      <c r="E1067" s="11"/>
      <c r="F1067" s="11"/>
      <c r="G1067" s="11"/>
      <c r="H1067" s="11"/>
      <c r="I1067" s="11"/>
      <c r="J1067" s="11"/>
      <c r="K1067" s="11"/>
      <c r="L1067" s="11"/>
      <c r="M1067" s="11"/>
      <c r="N1067" s="11"/>
      <c r="O1067" s="11"/>
      <c r="P1067" s="11"/>
      <c r="Q1067" s="11"/>
      <c r="R1067" s="11"/>
      <c r="S1067" s="11"/>
      <c r="T1067" s="11"/>
      <c r="U1067" s="11"/>
      <c r="V1067" s="11"/>
      <c r="W1067" s="11"/>
      <c r="X1067" s="11"/>
      <c r="Y1067" s="11"/>
      <c r="Z1067" s="11"/>
      <c r="AA1067" s="11"/>
      <c r="AB1067" s="11"/>
      <c r="AC1067" s="11"/>
    </row>
    <row r="1068" spans="1:29" x14ac:dyDescent="0.3">
      <c r="A1068" s="11"/>
      <c r="B1068" s="11"/>
      <c r="C1068" s="11"/>
      <c r="D1068" s="11"/>
      <c r="E1068" s="11"/>
      <c r="F1068" s="11"/>
      <c r="G1068" s="11"/>
      <c r="H1068" s="11"/>
      <c r="I1068" s="11"/>
      <c r="J1068" s="11"/>
      <c r="K1068" s="11"/>
      <c r="L1068" s="11"/>
      <c r="M1068" s="11"/>
      <c r="N1068" s="11"/>
      <c r="O1068" s="11"/>
      <c r="P1068" s="11"/>
      <c r="Q1068" s="11"/>
      <c r="R1068" s="11"/>
      <c r="S1068" s="11"/>
      <c r="T1068" s="11"/>
      <c r="U1068" s="11"/>
      <c r="V1068" s="11"/>
      <c r="W1068" s="11"/>
      <c r="X1068" s="11"/>
      <c r="Y1068" s="11"/>
      <c r="Z1068" s="11"/>
      <c r="AA1068" s="11"/>
      <c r="AB1068" s="11"/>
      <c r="AC1068" s="11"/>
    </row>
    <row r="1069" spans="1:29" x14ac:dyDescent="0.3">
      <c r="A1069" s="11"/>
      <c r="B1069" s="11"/>
      <c r="C1069" s="11"/>
      <c r="D1069" s="11"/>
      <c r="E1069" s="11"/>
      <c r="F1069" s="11"/>
      <c r="G1069" s="11"/>
      <c r="H1069" s="11"/>
      <c r="I1069" s="11"/>
      <c r="J1069" s="11"/>
      <c r="K1069" s="11"/>
      <c r="L1069" s="11"/>
      <c r="M1069" s="11"/>
      <c r="N1069" s="11"/>
      <c r="O1069" s="11"/>
      <c r="P1069" s="11"/>
      <c r="Q1069" s="11"/>
      <c r="R1069" s="11"/>
      <c r="S1069" s="11"/>
      <c r="T1069" s="11"/>
      <c r="U1069" s="11"/>
      <c r="V1069" s="11"/>
      <c r="W1069" s="11"/>
      <c r="X1069" s="11"/>
      <c r="Y1069" s="11"/>
      <c r="Z1069" s="11"/>
      <c r="AA1069" s="11"/>
      <c r="AB1069" s="11"/>
      <c r="AC1069" s="11"/>
    </row>
    <row r="1070" spans="1:29" x14ac:dyDescent="0.3">
      <c r="A1070" s="11"/>
      <c r="B1070" s="11"/>
      <c r="C1070" s="11"/>
      <c r="D1070" s="11"/>
      <c r="E1070" s="11"/>
      <c r="F1070" s="11"/>
      <c r="G1070" s="11"/>
      <c r="H1070" s="11"/>
      <c r="I1070" s="11"/>
      <c r="J1070" s="11"/>
      <c r="K1070" s="11"/>
      <c r="L1070" s="11"/>
      <c r="M1070" s="11"/>
      <c r="N1070" s="11"/>
      <c r="O1070" s="11"/>
      <c r="P1070" s="11"/>
      <c r="Q1070" s="11"/>
      <c r="R1070" s="11"/>
      <c r="S1070" s="11"/>
      <c r="T1070" s="11"/>
      <c r="U1070" s="11"/>
      <c r="V1070" s="11"/>
      <c r="W1070" s="11"/>
      <c r="X1070" s="11"/>
      <c r="Y1070" s="11"/>
      <c r="Z1070" s="11"/>
      <c r="AA1070" s="11"/>
      <c r="AB1070" s="11"/>
      <c r="AC1070" s="11"/>
    </row>
    <row r="1071" spans="1:29" x14ac:dyDescent="0.3">
      <c r="A1071" s="11"/>
      <c r="B1071" s="11"/>
      <c r="C1071" s="11"/>
      <c r="D1071" s="11"/>
      <c r="E1071" s="11"/>
      <c r="F1071" s="11"/>
      <c r="G1071" s="11"/>
      <c r="H1071" s="11"/>
      <c r="I1071" s="11"/>
      <c r="J1071" s="11"/>
      <c r="K1071" s="11"/>
      <c r="L1071" s="11"/>
      <c r="M1071" s="11"/>
      <c r="N1071" s="11"/>
      <c r="O1071" s="11"/>
      <c r="P1071" s="11"/>
      <c r="Q1071" s="11"/>
      <c r="R1071" s="11"/>
      <c r="S1071" s="11"/>
      <c r="T1071" s="11"/>
      <c r="U1071" s="11"/>
      <c r="V1071" s="11"/>
      <c r="W1071" s="11"/>
      <c r="X1071" s="11"/>
      <c r="Y1071" s="11"/>
      <c r="Z1071" s="11"/>
      <c r="AA1071" s="11"/>
      <c r="AB1071" s="11"/>
      <c r="AC1071" s="11"/>
    </row>
    <row r="1072" spans="1:29" x14ac:dyDescent="0.3">
      <c r="A1072" s="11"/>
      <c r="B1072" s="11"/>
      <c r="C1072" s="11"/>
      <c r="D1072" s="11"/>
      <c r="E1072" s="11"/>
      <c r="F1072" s="11"/>
      <c r="G1072" s="11"/>
      <c r="H1072" s="11"/>
      <c r="I1072" s="11"/>
      <c r="J1072" s="11"/>
      <c r="K1072" s="11"/>
      <c r="L1072" s="11"/>
      <c r="M1072" s="11"/>
      <c r="N1072" s="11"/>
      <c r="O1072" s="11"/>
      <c r="P1072" s="11"/>
      <c r="Q1072" s="11"/>
      <c r="R1072" s="11"/>
      <c r="S1072" s="11"/>
      <c r="T1072" s="11"/>
      <c r="U1072" s="11"/>
      <c r="V1072" s="11"/>
      <c r="W1072" s="11"/>
      <c r="X1072" s="11"/>
      <c r="Y1072" s="11"/>
      <c r="Z1072" s="11"/>
      <c r="AA1072" s="11"/>
      <c r="AB1072" s="11"/>
      <c r="AC1072" s="11"/>
    </row>
    <row r="1073" spans="1:29" x14ac:dyDescent="0.3">
      <c r="A1073" s="11"/>
      <c r="B1073" s="11"/>
      <c r="C1073" s="11"/>
      <c r="D1073" s="11"/>
      <c r="E1073" s="11"/>
      <c r="F1073" s="11"/>
      <c r="G1073" s="11"/>
      <c r="H1073" s="11"/>
      <c r="I1073" s="11"/>
      <c r="J1073" s="11"/>
      <c r="K1073" s="11"/>
      <c r="L1073" s="11"/>
      <c r="M1073" s="11"/>
      <c r="N1073" s="11"/>
      <c r="O1073" s="11"/>
      <c r="P1073" s="11"/>
      <c r="Q1073" s="11"/>
      <c r="R1073" s="11"/>
      <c r="S1073" s="11"/>
      <c r="T1073" s="11"/>
      <c r="U1073" s="11"/>
      <c r="V1073" s="11"/>
      <c r="W1073" s="11"/>
      <c r="X1073" s="11"/>
      <c r="Y1073" s="11"/>
      <c r="Z1073" s="11"/>
      <c r="AA1073" s="11"/>
      <c r="AB1073" s="11"/>
      <c r="AC1073" s="11"/>
    </row>
    <row r="1074" spans="1:29" x14ac:dyDescent="0.3">
      <c r="A1074" s="11"/>
      <c r="B1074" s="11"/>
      <c r="C1074" s="11"/>
      <c r="D1074" s="11"/>
      <c r="E1074" s="11"/>
      <c r="F1074" s="11"/>
      <c r="G1074" s="11"/>
      <c r="H1074" s="11"/>
      <c r="I1074" s="11"/>
      <c r="J1074" s="11"/>
      <c r="K1074" s="11"/>
      <c r="L1074" s="11"/>
      <c r="M1074" s="11"/>
      <c r="N1074" s="11"/>
      <c r="O1074" s="11"/>
      <c r="P1074" s="11"/>
      <c r="Q1074" s="11"/>
      <c r="R1074" s="11"/>
      <c r="S1074" s="11"/>
      <c r="T1074" s="11"/>
      <c r="U1074" s="11"/>
      <c r="V1074" s="11"/>
      <c r="W1074" s="11"/>
      <c r="X1074" s="11"/>
      <c r="Y1074" s="11"/>
      <c r="Z1074" s="11"/>
      <c r="AA1074" s="11"/>
      <c r="AB1074" s="11"/>
      <c r="AC1074" s="11"/>
    </row>
    <row r="1075" spans="1:29" x14ac:dyDescent="0.3">
      <c r="A1075" s="11"/>
      <c r="B1075" s="11"/>
      <c r="C1075" s="11"/>
      <c r="D1075" s="11"/>
      <c r="E1075" s="11"/>
      <c r="F1075" s="11"/>
      <c r="G1075" s="11"/>
      <c r="H1075" s="11"/>
      <c r="I1075" s="11"/>
      <c r="J1075" s="11"/>
      <c r="K1075" s="11"/>
      <c r="L1075" s="11"/>
      <c r="M1075" s="11"/>
      <c r="N1075" s="11"/>
      <c r="O1075" s="11"/>
      <c r="P1075" s="11"/>
      <c r="Q1075" s="11"/>
      <c r="R1075" s="11"/>
      <c r="S1075" s="11"/>
      <c r="T1075" s="11"/>
      <c r="U1075" s="11"/>
      <c r="V1075" s="11"/>
      <c r="W1075" s="11"/>
      <c r="X1075" s="11"/>
      <c r="Y1075" s="11"/>
      <c r="Z1075" s="11"/>
      <c r="AA1075" s="11"/>
      <c r="AB1075" s="11"/>
      <c r="AC1075" s="11"/>
    </row>
    <row r="1076" spans="1:29" x14ac:dyDescent="0.3">
      <c r="A1076" s="11"/>
      <c r="B1076" s="11"/>
      <c r="C1076" s="11"/>
      <c r="D1076" s="11"/>
      <c r="E1076" s="11"/>
      <c r="F1076" s="11"/>
      <c r="G1076" s="11"/>
      <c r="H1076" s="11"/>
      <c r="I1076" s="11"/>
      <c r="J1076" s="11"/>
      <c r="K1076" s="11"/>
      <c r="L1076" s="11"/>
      <c r="M1076" s="11"/>
      <c r="N1076" s="11"/>
      <c r="O1076" s="11"/>
      <c r="P1076" s="11"/>
      <c r="Q1076" s="11"/>
      <c r="R1076" s="11"/>
      <c r="S1076" s="11"/>
      <c r="T1076" s="11"/>
      <c r="U1076" s="11"/>
      <c r="V1076" s="11"/>
      <c r="W1076" s="11"/>
      <c r="X1076" s="11"/>
      <c r="Y1076" s="11"/>
      <c r="Z1076" s="11"/>
      <c r="AA1076" s="11"/>
      <c r="AB1076" s="11"/>
      <c r="AC1076" s="11"/>
    </row>
    <row r="1077" spans="1:29" x14ac:dyDescent="0.3">
      <c r="A1077" s="11"/>
      <c r="B1077" s="11"/>
      <c r="C1077" s="11"/>
      <c r="D1077" s="11"/>
      <c r="E1077" s="11"/>
      <c r="F1077" s="11"/>
      <c r="G1077" s="11"/>
      <c r="H1077" s="11"/>
      <c r="I1077" s="11"/>
      <c r="J1077" s="11"/>
      <c r="K1077" s="11"/>
      <c r="L1077" s="11"/>
      <c r="M1077" s="11"/>
      <c r="N1077" s="11"/>
      <c r="O1077" s="11"/>
      <c r="P1077" s="11"/>
      <c r="Q1077" s="11"/>
      <c r="R1077" s="11"/>
      <c r="S1077" s="11"/>
      <c r="T1077" s="11"/>
      <c r="U1077" s="11"/>
      <c r="V1077" s="11"/>
      <c r="W1077" s="11"/>
      <c r="X1077" s="11"/>
      <c r="Y1077" s="11"/>
      <c r="Z1077" s="11"/>
      <c r="AA1077" s="11"/>
      <c r="AB1077" s="11"/>
      <c r="AC1077" s="11"/>
    </row>
    <row r="1078" spans="1:29" x14ac:dyDescent="0.3">
      <c r="A1078" s="11"/>
      <c r="B1078" s="11"/>
      <c r="C1078" s="11"/>
      <c r="D1078" s="11"/>
      <c r="E1078" s="11"/>
      <c r="F1078" s="11"/>
      <c r="G1078" s="11"/>
      <c r="H1078" s="11"/>
      <c r="I1078" s="11"/>
      <c r="J1078" s="11"/>
      <c r="K1078" s="11"/>
      <c r="L1078" s="11"/>
      <c r="M1078" s="11"/>
      <c r="N1078" s="11"/>
      <c r="O1078" s="11"/>
      <c r="P1078" s="11"/>
      <c r="Q1078" s="11"/>
      <c r="R1078" s="11"/>
      <c r="S1078" s="11"/>
      <c r="T1078" s="11"/>
      <c r="U1078" s="11"/>
      <c r="V1078" s="11"/>
      <c r="W1078" s="11"/>
      <c r="X1078" s="11"/>
      <c r="Y1078" s="11"/>
      <c r="Z1078" s="11"/>
      <c r="AA1078" s="11"/>
      <c r="AB1078" s="11"/>
      <c r="AC1078" s="11"/>
    </row>
    <row r="1079" spans="1:29" x14ac:dyDescent="0.3">
      <c r="A1079" s="11"/>
      <c r="B1079" s="11"/>
      <c r="C1079" s="11"/>
      <c r="D1079" s="11"/>
      <c r="E1079" s="11"/>
      <c r="F1079" s="11"/>
      <c r="G1079" s="11"/>
      <c r="H1079" s="11"/>
      <c r="I1079" s="11"/>
      <c r="J1079" s="11"/>
      <c r="K1079" s="11"/>
      <c r="L1079" s="11"/>
      <c r="M1079" s="11"/>
      <c r="N1079" s="11"/>
      <c r="O1079" s="11"/>
      <c r="P1079" s="11"/>
      <c r="Q1079" s="11"/>
      <c r="R1079" s="11"/>
      <c r="S1079" s="11"/>
      <c r="T1079" s="11"/>
      <c r="U1079" s="11"/>
      <c r="V1079" s="11"/>
      <c r="W1079" s="11"/>
      <c r="X1079" s="11"/>
      <c r="Y1079" s="11"/>
      <c r="Z1079" s="11"/>
      <c r="AA1079" s="11"/>
      <c r="AB1079" s="11"/>
      <c r="AC1079" s="11"/>
    </row>
    <row r="1080" spans="1:29" x14ac:dyDescent="0.3">
      <c r="A1080" s="11"/>
      <c r="B1080" s="11"/>
      <c r="C1080" s="11"/>
      <c r="D1080" s="11"/>
      <c r="E1080" s="11"/>
      <c r="F1080" s="11"/>
      <c r="G1080" s="11"/>
      <c r="H1080" s="11"/>
      <c r="I1080" s="11"/>
      <c r="J1080" s="11"/>
      <c r="K1080" s="11"/>
      <c r="L1080" s="11"/>
      <c r="M1080" s="11"/>
      <c r="N1080" s="11"/>
      <c r="O1080" s="11"/>
      <c r="P1080" s="11"/>
      <c r="Q1080" s="11"/>
      <c r="R1080" s="11"/>
      <c r="S1080" s="11"/>
      <c r="T1080" s="11"/>
      <c r="U1080" s="11"/>
      <c r="V1080" s="11"/>
      <c r="W1080" s="11"/>
      <c r="X1080" s="11"/>
      <c r="Y1080" s="11"/>
      <c r="Z1080" s="11"/>
      <c r="AA1080" s="11"/>
      <c r="AB1080" s="11"/>
      <c r="AC1080" s="11"/>
    </row>
    <row r="1081" spans="1:29" x14ac:dyDescent="0.3">
      <c r="A1081" s="11"/>
      <c r="B1081" s="11"/>
      <c r="C1081" s="11"/>
      <c r="D1081" s="11"/>
      <c r="E1081" s="11"/>
      <c r="F1081" s="11"/>
      <c r="G1081" s="11"/>
      <c r="H1081" s="11"/>
      <c r="I1081" s="11"/>
      <c r="J1081" s="11"/>
      <c r="K1081" s="11"/>
      <c r="L1081" s="11"/>
      <c r="M1081" s="11"/>
      <c r="N1081" s="11"/>
      <c r="O1081" s="11"/>
      <c r="P1081" s="11"/>
      <c r="Q1081" s="11"/>
      <c r="R1081" s="11"/>
      <c r="S1081" s="11"/>
      <c r="T1081" s="11"/>
      <c r="U1081" s="11"/>
      <c r="V1081" s="11"/>
      <c r="W1081" s="11"/>
      <c r="X1081" s="11"/>
      <c r="Y1081" s="11"/>
      <c r="Z1081" s="11"/>
      <c r="AA1081" s="11"/>
      <c r="AB1081" s="11"/>
      <c r="AC1081" s="11"/>
    </row>
    <row r="1082" spans="1:29" x14ac:dyDescent="0.3">
      <c r="A1082" s="11"/>
      <c r="B1082" s="11"/>
      <c r="C1082" s="11"/>
      <c r="D1082" s="11"/>
      <c r="E1082" s="11"/>
      <c r="F1082" s="11"/>
      <c r="G1082" s="11"/>
      <c r="H1082" s="11"/>
      <c r="I1082" s="11"/>
      <c r="J1082" s="11"/>
      <c r="K1082" s="11"/>
      <c r="L1082" s="11"/>
      <c r="M1082" s="11"/>
      <c r="N1082" s="11"/>
      <c r="O1082" s="11"/>
      <c r="P1082" s="11"/>
      <c r="Q1082" s="11"/>
      <c r="R1082" s="11"/>
      <c r="S1082" s="11"/>
      <c r="T1082" s="11"/>
      <c r="U1082" s="11"/>
      <c r="V1082" s="11"/>
      <c r="W1082" s="11"/>
      <c r="X1082" s="11"/>
      <c r="Y1082" s="11"/>
      <c r="Z1082" s="11"/>
      <c r="AA1082" s="11"/>
      <c r="AB1082" s="11"/>
      <c r="AC1082" s="11"/>
    </row>
    <row r="1083" spans="1:29" x14ac:dyDescent="0.3">
      <c r="A1083" s="11"/>
      <c r="B1083" s="11"/>
      <c r="C1083" s="11"/>
      <c r="D1083" s="11"/>
      <c r="E1083" s="11"/>
      <c r="F1083" s="11"/>
      <c r="G1083" s="11"/>
      <c r="H1083" s="11"/>
      <c r="I1083" s="11"/>
      <c r="J1083" s="11"/>
      <c r="K1083" s="11"/>
      <c r="L1083" s="11"/>
      <c r="M1083" s="11"/>
      <c r="N1083" s="11"/>
      <c r="O1083" s="11"/>
      <c r="P1083" s="11"/>
      <c r="Q1083" s="11"/>
      <c r="R1083" s="11"/>
      <c r="S1083" s="11"/>
      <c r="T1083" s="11"/>
      <c r="U1083" s="11"/>
      <c r="V1083" s="11"/>
      <c r="W1083" s="11"/>
      <c r="X1083" s="11"/>
      <c r="Y1083" s="11"/>
      <c r="Z1083" s="11"/>
      <c r="AA1083" s="11"/>
      <c r="AB1083" s="11"/>
      <c r="AC1083" s="11"/>
    </row>
    <row r="1084" spans="1:29" x14ac:dyDescent="0.3">
      <c r="A1084" s="11"/>
      <c r="B1084" s="11"/>
      <c r="C1084" s="11"/>
      <c r="D1084" s="11"/>
      <c r="E1084" s="11"/>
      <c r="F1084" s="11"/>
      <c r="G1084" s="11"/>
      <c r="H1084" s="11"/>
      <c r="I1084" s="11"/>
      <c r="J1084" s="11"/>
      <c r="K1084" s="11"/>
      <c r="L1084" s="11"/>
      <c r="M1084" s="11"/>
      <c r="N1084" s="11"/>
      <c r="O1084" s="11"/>
      <c r="P1084" s="11"/>
      <c r="Q1084" s="11"/>
      <c r="R1084" s="11"/>
      <c r="S1084" s="11"/>
      <c r="T1084" s="11"/>
      <c r="U1084" s="11"/>
      <c r="V1084" s="11"/>
      <c r="W1084" s="11"/>
      <c r="X1084" s="11"/>
      <c r="Y1084" s="11"/>
      <c r="Z1084" s="11"/>
      <c r="AA1084" s="11"/>
      <c r="AB1084" s="11"/>
      <c r="AC1084" s="11"/>
    </row>
    <row r="1085" spans="1:29" x14ac:dyDescent="0.3">
      <c r="A1085" s="11"/>
      <c r="B1085" s="11"/>
      <c r="C1085" s="11"/>
      <c r="D1085" s="11"/>
      <c r="E1085" s="11"/>
      <c r="F1085" s="11"/>
      <c r="G1085" s="11"/>
      <c r="H1085" s="11"/>
      <c r="I1085" s="11"/>
      <c r="J1085" s="11"/>
      <c r="K1085" s="11"/>
      <c r="L1085" s="11"/>
      <c r="M1085" s="11"/>
      <c r="N1085" s="11"/>
      <c r="O1085" s="11"/>
      <c r="P1085" s="11"/>
      <c r="Q1085" s="11"/>
      <c r="R1085" s="11"/>
      <c r="S1085" s="11"/>
      <c r="T1085" s="11"/>
      <c r="U1085" s="11"/>
      <c r="V1085" s="11"/>
      <c r="W1085" s="11"/>
      <c r="X1085" s="11"/>
      <c r="Y1085" s="11"/>
      <c r="Z1085" s="11"/>
      <c r="AA1085" s="11"/>
      <c r="AB1085" s="11"/>
      <c r="AC1085" s="11"/>
    </row>
    <row r="1086" spans="1:29" x14ac:dyDescent="0.3">
      <c r="A1086" s="11"/>
      <c r="B1086" s="11"/>
      <c r="C1086" s="11"/>
      <c r="D1086" s="11"/>
      <c r="E1086" s="11"/>
      <c r="F1086" s="11"/>
      <c r="G1086" s="11"/>
      <c r="H1086" s="11"/>
      <c r="I1086" s="11"/>
      <c r="J1086" s="11"/>
      <c r="K1086" s="11"/>
      <c r="L1086" s="11"/>
      <c r="M1086" s="11"/>
      <c r="N1086" s="11"/>
      <c r="O1086" s="11"/>
      <c r="P1086" s="11"/>
      <c r="Q1086" s="11"/>
      <c r="R1086" s="11"/>
      <c r="S1086" s="11"/>
      <c r="T1086" s="11"/>
      <c r="U1086" s="11"/>
      <c r="V1086" s="11"/>
      <c r="W1086" s="11"/>
      <c r="X1086" s="11"/>
      <c r="Y1086" s="11"/>
      <c r="Z1086" s="11"/>
      <c r="AA1086" s="11"/>
      <c r="AB1086" s="11"/>
      <c r="AC1086" s="11"/>
    </row>
    <row r="1087" spans="1:29" x14ac:dyDescent="0.3">
      <c r="A1087" s="11"/>
      <c r="B1087" s="11"/>
      <c r="C1087" s="11"/>
      <c r="D1087" s="11"/>
      <c r="E1087" s="11"/>
      <c r="F1087" s="11"/>
      <c r="G1087" s="11"/>
      <c r="H1087" s="11"/>
      <c r="I1087" s="11"/>
      <c r="J1087" s="11"/>
      <c r="K1087" s="11"/>
      <c r="L1087" s="11"/>
      <c r="M1087" s="11"/>
      <c r="N1087" s="11"/>
      <c r="O1087" s="11"/>
      <c r="P1087" s="11"/>
      <c r="Q1087" s="11"/>
      <c r="R1087" s="11"/>
      <c r="S1087" s="11"/>
      <c r="T1087" s="11"/>
      <c r="U1087" s="11"/>
      <c r="V1087" s="11"/>
      <c r="W1087" s="11"/>
      <c r="X1087" s="11"/>
      <c r="Y1087" s="11"/>
      <c r="Z1087" s="11"/>
      <c r="AA1087" s="11"/>
      <c r="AB1087" s="11"/>
      <c r="AC1087" s="11"/>
    </row>
    <row r="1088" spans="1:29" x14ac:dyDescent="0.3">
      <c r="A1088" s="11"/>
      <c r="B1088" s="11"/>
      <c r="C1088" s="11"/>
      <c r="D1088" s="11"/>
      <c r="E1088" s="11"/>
      <c r="F1088" s="11"/>
      <c r="G1088" s="11"/>
      <c r="H1088" s="11"/>
      <c r="I1088" s="11"/>
      <c r="J1088" s="11"/>
      <c r="K1088" s="11"/>
      <c r="L1088" s="11"/>
      <c r="M1088" s="11"/>
      <c r="N1088" s="11"/>
      <c r="O1088" s="11"/>
      <c r="P1088" s="11"/>
      <c r="Q1088" s="11"/>
      <c r="R1088" s="11"/>
      <c r="S1088" s="11"/>
      <c r="T1088" s="11"/>
      <c r="U1088" s="11"/>
      <c r="V1088" s="11"/>
      <c r="W1088" s="11"/>
      <c r="X1088" s="11"/>
      <c r="Y1088" s="11"/>
      <c r="Z1088" s="11"/>
      <c r="AA1088" s="11"/>
      <c r="AB1088" s="11"/>
      <c r="AC1088" s="11"/>
    </row>
    <row r="1089" spans="1:29" x14ac:dyDescent="0.3">
      <c r="A1089" s="11"/>
      <c r="B1089" s="11"/>
      <c r="C1089" s="11"/>
      <c r="D1089" s="11"/>
      <c r="E1089" s="11"/>
      <c r="F1089" s="11"/>
      <c r="G1089" s="11"/>
      <c r="H1089" s="11"/>
      <c r="I1089" s="11"/>
      <c r="J1089" s="11"/>
      <c r="K1089" s="11"/>
      <c r="L1089" s="11"/>
      <c r="M1089" s="11"/>
      <c r="N1089" s="11"/>
      <c r="O1089" s="11"/>
      <c r="P1089" s="11"/>
      <c r="Q1089" s="11"/>
      <c r="R1089" s="11"/>
      <c r="S1089" s="11"/>
      <c r="T1089" s="11"/>
      <c r="U1089" s="11"/>
      <c r="V1089" s="11"/>
      <c r="W1089" s="11"/>
      <c r="X1089" s="11"/>
      <c r="Y1089" s="11"/>
      <c r="Z1089" s="11"/>
      <c r="AA1089" s="11"/>
      <c r="AB1089" s="11"/>
      <c r="AC1089" s="11"/>
    </row>
    <row r="1090" spans="1:29" x14ac:dyDescent="0.3">
      <c r="A1090" s="11"/>
      <c r="B1090" s="11"/>
      <c r="C1090" s="11"/>
      <c r="D1090" s="11"/>
      <c r="E1090" s="11"/>
      <c r="F1090" s="11"/>
      <c r="G1090" s="11"/>
      <c r="H1090" s="11"/>
      <c r="I1090" s="11"/>
      <c r="J1090" s="11"/>
      <c r="K1090" s="11"/>
      <c r="L1090" s="11"/>
      <c r="M1090" s="11"/>
      <c r="N1090" s="11"/>
      <c r="O1090" s="11"/>
      <c r="P1090" s="11"/>
      <c r="Q1090" s="11"/>
      <c r="R1090" s="11"/>
      <c r="S1090" s="11"/>
      <c r="T1090" s="11"/>
      <c r="U1090" s="11"/>
      <c r="V1090" s="11"/>
      <c r="W1090" s="11"/>
      <c r="X1090" s="11"/>
      <c r="Y1090" s="11"/>
      <c r="Z1090" s="11"/>
      <c r="AA1090" s="11"/>
      <c r="AB1090" s="11"/>
      <c r="AC1090" s="11"/>
    </row>
    <row r="1091" spans="1:29" x14ac:dyDescent="0.3">
      <c r="A1091" s="11"/>
      <c r="B1091" s="11"/>
      <c r="C1091" s="11"/>
      <c r="D1091" s="11"/>
      <c r="E1091" s="11"/>
      <c r="F1091" s="11"/>
      <c r="G1091" s="11"/>
      <c r="H1091" s="11"/>
      <c r="I1091" s="11"/>
      <c r="J1091" s="11"/>
      <c r="K1091" s="11"/>
      <c r="L1091" s="11"/>
      <c r="M1091" s="11"/>
      <c r="N1091" s="11"/>
      <c r="O1091" s="11"/>
      <c r="P1091" s="11"/>
      <c r="Q1091" s="11"/>
      <c r="R1091" s="11"/>
      <c r="S1091" s="11"/>
      <c r="T1091" s="11"/>
      <c r="U1091" s="11"/>
      <c r="V1091" s="11"/>
      <c r="W1091" s="11"/>
      <c r="X1091" s="11"/>
      <c r="Y1091" s="11"/>
      <c r="Z1091" s="11"/>
      <c r="AA1091" s="11"/>
      <c r="AB1091" s="11"/>
      <c r="AC1091" s="11"/>
    </row>
    <row r="1092" spans="1:29" x14ac:dyDescent="0.3">
      <c r="A1092" s="11"/>
      <c r="B1092" s="11"/>
      <c r="C1092" s="11"/>
      <c r="D1092" s="11"/>
      <c r="E1092" s="11"/>
      <c r="F1092" s="11"/>
      <c r="G1092" s="11"/>
      <c r="H1092" s="11"/>
      <c r="I1092" s="11"/>
      <c r="J1092" s="11"/>
      <c r="K1092" s="11"/>
      <c r="L1092" s="11"/>
      <c r="M1092" s="11"/>
      <c r="N1092" s="11"/>
      <c r="O1092" s="11"/>
      <c r="P1092" s="11"/>
      <c r="Q1092" s="11"/>
      <c r="R1092" s="11"/>
      <c r="S1092" s="11"/>
      <c r="T1092" s="11"/>
      <c r="U1092" s="11"/>
      <c r="V1092" s="11"/>
      <c r="W1092" s="11"/>
      <c r="X1092" s="11"/>
      <c r="Y1092" s="11"/>
      <c r="Z1092" s="11"/>
      <c r="AA1092" s="11"/>
      <c r="AB1092" s="11"/>
      <c r="AC1092" s="11"/>
    </row>
    <row r="1093" spans="1:29" x14ac:dyDescent="0.3">
      <c r="A1093" s="11"/>
      <c r="B1093" s="11"/>
      <c r="C1093" s="11"/>
      <c r="D1093" s="11"/>
      <c r="E1093" s="11"/>
      <c r="F1093" s="11"/>
      <c r="G1093" s="11"/>
      <c r="H1093" s="11"/>
      <c r="I1093" s="11"/>
      <c r="J1093" s="11"/>
      <c r="K1093" s="11"/>
      <c r="L1093" s="11"/>
      <c r="M1093" s="11"/>
      <c r="N1093" s="11"/>
      <c r="O1093" s="11"/>
      <c r="P1093" s="11"/>
      <c r="Q1093" s="11"/>
      <c r="R1093" s="11"/>
      <c r="S1093" s="11"/>
      <c r="T1093" s="11"/>
      <c r="U1093" s="11"/>
      <c r="V1093" s="11"/>
      <c r="W1093" s="11"/>
      <c r="X1093" s="11"/>
      <c r="Y1093" s="11"/>
      <c r="Z1093" s="11"/>
      <c r="AA1093" s="11"/>
      <c r="AB1093" s="11"/>
      <c r="AC1093" s="11"/>
    </row>
    <row r="1094" spans="1:29" x14ac:dyDescent="0.3">
      <c r="A1094" s="11"/>
      <c r="B1094" s="11"/>
      <c r="C1094" s="11"/>
      <c r="D1094" s="11"/>
      <c r="E1094" s="11"/>
      <c r="F1094" s="11"/>
      <c r="G1094" s="11"/>
      <c r="H1094" s="11"/>
      <c r="I1094" s="11"/>
      <c r="J1094" s="11"/>
      <c r="K1094" s="11"/>
      <c r="L1094" s="11"/>
      <c r="M1094" s="11"/>
      <c r="N1094" s="11"/>
      <c r="O1094" s="11"/>
      <c r="P1094" s="11"/>
      <c r="Q1094" s="11"/>
      <c r="R1094" s="11"/>
      <c r="S1094" s="11"/>
      <c r="T1094" s="11"/>
      <c r="U1094" s="11"/>
      <c r="V1094" s="11"/>
      <c r="W1094" s="11"/>
      <c r="X1094" s="11"/>
      <c r="Y1094" s="11"/>
      <c r="Z1094" s="11"/>
      <c r="AA1094" s="11"/>
      <c r="AB1094" s="11"/>
      <c r="AC1094" s="11"/>
    </row>
    <row r="1095" spans="1:29" x14ac:dyDescent="0.3">
      <c r="A1095" s="11"/>
      <c r="B1095" s="11"/>
      <c r="C1095" s="11"/>
      <c r="D1095" s="11"/>
      <c r="E1095" s="11"/>
      <c r="F1095" s="11"/>
      <c r="G1095" s="11"/>
      <c r="H1095" s="11"/>
      <c r="I1095" s="11"/>
      <c r="J1095" s="11"/>
      <c r="K1095" s="11"/>
      <c r="L1095" s="11"/>
      <c r="M1095" s="11"/>
      <c r="N1095" s="11"/>
      <c r="O1095" s="11"/>
      <c r="P1095" s="11"/>
      <c r="Q1095" s="11"/>
      <c r="R1095" s="11"/>
      <c r="S1095" s="11"/>
      <c r="T1095" s="11"/>
      <c r="U1095" s="11"/>
      <c r="V1095" s="11"/>
      <c r="W1095" s="11"/>
      <c r="X1095" s="11"/>
      <c r="Y1095" s="11"/>
      <c r="Z1095" s="11"/>
      <c r="AA1095" s="11"/>
      <c r="AB1095" s="11"/>
      <c r="AC1095" s="11"/>
    </row>
    <row r="1096" spans="1:29" x14ac:dyDescent="0.3">
      <c r="A1096" s="11"/>
      <c r="B1096" s="11"/>
      <c r="C1096" s="11"/>
      <c r="D1096" s="11"/>
      <c r="E1096" s="11"/>
      <c r="F1096" s="11"/>
      <c r="G1096" s="11"/>
      <c r="H1096" s="11"/>
      <c r="I1096" s="11"/>
      <c r="J1096" s="11"/>
      <c r="K1096" s="11"/>
      <c r="L1096" s="11"/>
      <c r="M1096" s="11"/>
      <c r="N1096" s="11"/>
      <c r="O1096" s="11"/>
      <c r="P1096" s="11"/>
      <c r="Q1096" s="11"/>
      <c r="R1096" s="11"/>
      <c r="S1096" s="11"/>
      <c r="T1096" s="11"/>
      <c r="U1096" s="11"/>
      <c r="V1096" s="11"/>
      <c r="W1096" s="11"/>
      <c r="X1096" s="11"/>
      <c r="Y1096" s="11"/>
      <c r="Z1096" s="11"/>
      <c r="AA1096" s="11"/>
      <c r="AB1096" s="11"/>
      <c r="AC1096" s="11"/>
    </row>
    <row r="1097" spans="1:29" x14ac:dyDescent="0.3">
      <c r="A1097" s="11"/>
      <c r="B1097" s="11"/>
      <c r="C1097" s="11"/>
      <c r="D1097" s="11"/>
      <c r="E1097" s="11"/>
      <c r="F1097" s="11"/>
      <c r="G1097" s="11"/>
      <c r="H1097" s="11"/>
      <c r="I1097" s="11"/>
      <c r="J1097" s="11"/>
      <c r="K1097" s="11"/>
      <c r="L1097" s="11"/>
      <c r="M1097" s="11"/>
      <c r="N1097" s="11"/>
      <c r="O1097" s="11"/>
      <c r="P1097" s="11"/>
      <c r="Q1097" s="11"/>
      <c r="R1097" s="11"/>
      <c r="S1097" s="11"/>
      <c r="T1097" s="11"/>
      <c r="U1097" s="11"/>
      <c r="V1097" s="11"/>
      <c r="W1097" s="11"/>
      <c r="X1097" s="11"/>
      <c r="Y1097" s="11"/>
      <c r="Z1097" s="11"/>
      <c r="AA1097" s="11"/>
      <c r="AB1097" s="11"/>
      <c r="AC1097" s="11"/>
    </row>
    <row r="1098" spans="1:29" x14ac:dyDescent="0.3">
      <c r="A1098" s="11"/>
      <c r="B1098" s="11"/>
      <c r="C1098" s="11"/>
      <c r="D1098" s="11"/>
      <c r="E1098" s="11"/>
      <c r="F1098" s="11"/>
      <c r="G1098" s="11"/>
      <c r="H1098" s="11"/>
      <c r="I1098" s="11"/>
      <c r="J1098" s="11"/>
      <c r="K1098" s="11"/>
      <c r="L1098" s="11"/>
      <c r="M1098" s="11"/>
      <c r="N1098" s="11"/>
      <c r="O1098" s="11"/>
      <c r="P1098" s="11"/>
      <c r="Q1098" s="11"/>
      <c r="R1098" s="11"/>
      <c r="S1098" s="11"/>
      <c r="T1098" s="11"/>
      <c r="U1098" s="11"/>
      <c r="V1098" s="11"/>
      <c r="W1098" s="11"/>
      <c r="X1098" s="11"/>
      <c r="Y1098" s="11"/>
      <c r="Z1098" s="11"/>
      <c r="AA1098" s="11"/>
      <c r="AB1098" s="11"/>
      <c r="AC1098" s="11"/>
    </row>
    <row r="1099" spans="1:29" x14ac:dyDescent="0.3">
      <c r="A1099" s="11"/>
      <c r="B1099" s="11"/>
      <c r="C1099" s="11"/>
      <c r="D1099" s="11"/>
      <c r="E1099" s="11"/>
      <c r="F1099" s="11"/>
      <c r="G1099" s="11"/>
      <c r="H1099" s="11"/>
      <c r="I1099" s="11"/>
      <c r="J1099" s="11"/>
      <c r="K1099" s="11"/>
      <c r="L1099" s="11"/>
      <c r="M1099" s="11"/>
      <c r="N1099" s="11"/>
      <c r="O1099" s="11"/>
      <c r="P1099" s="11"/>
      <c r="Q1099" s="11"/>
      <c r="R1099" s="11"/>
      <c r="S1099" s="11"/>
      <c r="T1099" s="11"/>
      <c r="U1099" s="11"/>
      <c r="V1099" s="11"/>
      <c r="W1099" s="11"/>
      <c r="X1099" s="11"/>
      <c r="Y1099" s="11"/>
      <c r="Z1099" s="11"/>
      <c r="AA1099" s="11"/>
      <c r="AB1099" s="11"/>
      <c r="AC1099" s="11"/>
    </row>
    <row r="1100" spans="1:29" x14ac:dyDescent="0.3">
      <c r="A1100" s="11"/>
      <c r="B1100" s="11"/>
      <c r="C1100" s="11"/>
      <c r="D1100" s="11"/>
      <c r="E1100" s="11"/>
      <c r="F1100" s="11"/>
      <c r="G1100" s="11"/>
      <c r="H1100" s="11"/>
      <c r="I1100" s="11"/>
      <c r="J1100" s="11"/>
      <c r="K1100" s="11"/>
      <c r="L1100" s="11"/>
      <c r="M1100" s="11"/>
      <c r="N1100" s="11"/>
      <c r="O1100" s="11"/>
      <c r="P1100" s="11"/>
      <c r="Q1100" s="11"/>
      <c r="R1100" s="11"/>
      <c r="S1100" s="11"/>
      <c r="T1100" s="11"/>
      <c r="U1100" s="11"/>
      <c r="V1100" s="11"/>
      <c r="W1100" s="11"/>
      <c r="X1100" s="11"/>
      <c r="Y1100" s="11"/>
      <c r="Z1100" s="11"/>
      <c r="AA1100" s="11"/>
      <c r="AB1100" s="11"/>
      <c r="AC1100" s="11"/>
    </row>
    <row r="1101" spans="1:29" x14ac:dyDescent="0.3">
      <c r="A1101" s="11"/>
      <c r="B1101" s="11"/>
      <c r="C1101" s="11"/>
      <c r="D1101" s="11"/>
      <c r="E1101" s="11"/>
      <c r="F1101" s="11"/>
      <c r="G1101" s="11"/>
      <c r="H1101" s="11"/>
      <c r="I1101" s="11"/>
      <c r="J1101" s="11"/>
      <c r="K1101" s="11"/>
      <c r="L1101" s="11"/>
      <c r="M1101" s="11"/>
      <c r="N1101" s="11"/>
      <c r="O1101" s="11"/>
      <c r="P1101" s="11"/>
      <c r="Q1101" s="11"/>
      <c r="R1101" s="11"/>
      <c r="S1101" s="11"/>
      <c r="T1101" s="11"/>
      <c r="U1101" s="11"/>
      <c r="V1101" s="11"/>
      <c r="W1101" s="11"/>
      <c r="X1101" s="11"/>
      <c r="Y1101" s="11"/>
      <c r="Z1101" s="11"/>
      <c r="AA1101" s="11"/>
      <c r="AB1101" s="11"/>
      <c r="AC1101" s="11"/>
    </row>
    <row r="1102" spans="1:29" x14ac:dyDescent="0.3">
      <c r="A1102" s="11"/>
      <c r="B1102" s="11"/>
      <c r="C1102" s="11"/>
      <c r="D1102" s="11"/>
      <c r="E1102" s="11"/>
      <c r="F1102" s="11"/>
      <c r="G1102" s="11"/>
      <c r="H1102" s="11"/>
      <c r="I1102" s="11"/>
      <c r="J1102" s="11"/>
      <c r="K1102" s="11"/>
      <c r="L1102" s="11"/>
      <c r="M1102" s="11"/>
      <c r="N1102" s="11"/>
      <c r="O1102" s="11"/>
      <c r="P1102" s="11"/>
      <c r="Q1102" s="11"/>
      <c r="R1102" s="11"/>
      <c r="S1102" s="11"/>
      <c r="T1102" s="11"/>
      <c r="U1102" s="11"/>
      <c r="V1102" s="11"/>
      <c r="W1102" s="11"/>
      <c r="X1102" s="11"/>
      <c r="Y1102" s="11"/>
      <c r="Z1102" s="11"/>
      <c r="AA1102" s="11"/>
      <c r="AB1102" s="11"/>
      <c r="AC1102" s="11"/>
    </row>
    <row r="1103" spans="1:29" x14ac:dyDescent="0.3">
      <c r="A1103" s="11"/>
      <c r="B1103" s="11"/>
      <c r="C1103" s="11"/>
      <c r="D1103" s="11"/>
      <c r="E1103" s="11"/>
      <c r="F1103" s="11"/>
      <c r="G1103" s="11"/>
      <c r="H1103" s="11"/>
      <c r="I1103" s="11"/>
      <c r="J1103" s="11"/>
      <c r="K1103" s="11"/>
      <c r="L1103" s="11"/>
      <c r="M1103" s="11"/>
      <c r="N1103" s="11"/>
      <c r="O1103" s="11"/>
      <c r="P1103" s="11"/>
      <c r="Q1103" s="11"/>
      <c r="R1103" s="11"/>
      <c r="S1103" s="11"/>
      <c r="T1103" s="11"/>
      <c r="U1103" s="11"/>
      <c r="V1103" s="11"/>
      <c r="W1103" s="11"/>
      <c r="X1103" s="11"/>
      <c r="Y1103" s="11"/>
      <c r="Z1103" s="11"/>
      <c r="AA1103" s="11"/>
      <c r="AB1103" s="11"/>
      <c r="AC1103" s="11"/>
    </row>
    <row r="1104" spans="1:29" x14ac:dyDescent="0.3">
      <c r="A1104" s="11"/>
      <c r="B1104" s="11"/>
      <c r="C1104" s="11"/>
      <c r="D1104" s="11"/>
      <c r="E1104" s="11"/>
      <c r="F1104" s="11"/>
      <c r="G1104" s="11"/>
      <c r="H1104" s="11"/>
      <c r="I1104" s="11"/>
      <c r="J1104" s="11"/>
      <c r="K1104" s="11"/>
      <c r="L1104" s="11"/>
      <c r="M1104" s="11"/>
      <c r="N1104" s="11"/>
      <c r="O1104" s="11"/>
      <c r="P1104" s="11"/>
      <c r="Q1104" s="11"/>
      <c r="R1104" s="11"/>
      <c r="S1104" s="11"/>
      <c r="T1104" s="11"/>
      <c r="U1104" s="11"/>
      <c r="V1104" s="11"/>
      <c r="W1104" s="11"/>
      <c r="X1104" s="11"/>
      <c r="Y1104" s="11"/>
      <c r="Z1104" s="11"/>
      <c r="AA1104" s="11"/>
      <c r="AB1104" s="11"/>
      <c r="AC1104" s="11"/>
    </row>
    <row r="1105" spans="1:29" x14ac:dyDescent="0.3">
      <c r="A1105" s="11"/>
      <c r="B1105" s="11"/>
      <c r="C1105" s="11"/>
      <c r="D1105" s="11"/>
      <c r="E1105" s="11"/>
      <c r="F1105" s="11"/>
      <c r="G1105" s="11"/>
      <c r="H1105" s="11"/>
      <c r="I1105" s="11"/>
      <c r="J1105" s="11"/>
      <c r="K1105" s="11"/>
      <c r="L1105" s="11"/>
      <c r="M1105" s="11"/>
      <c r="N1105" s="11"/>
      <c r="O1105" s="11"/>
      <c r="P1105" s="11"/>
      <c r="Q1105" s="11"/>
      <c r="R1105" s="11"/>
      <c r="S1105" s="11"/>
      <c r="T1105" s="11"/>
      <c r="U1105" s="11"/>
      <c r="V1105" s="11"/>
      <c r="W1105" s="11"/>
      <c r="X1105" s="11"/>
      <c r="Y1105" s="11"/>
      <c r="Z1105" s="11"/>
      <c r="AA1105" s="11"/>
      <c r="AB1105" s="11"/>
      <c r="AC1105" s="11"/>
    </row>
    <row r="1106" spans="1:29" x14ac:dyDescent="0.3">
      <c r="A1106" s="11"/>
      <c r="B1106" s="11"/>
      <c r="C1106" s="11"/>
      <c r="D1106" s="11"/>
      <c r="E1106" s="11"/>
      <c r="F1106" s="11"/>
      <c r="G1106" s="11"/>
      <c r="H1106" s="11"/>
      <c r="I1106" s="11"/>
      <c r="J1106" s="11"/>
      <c r="K1106" s="11"/>
      <c r="L1106" s="11"/>
      <c r="M1106" s="11"/>
      <c r="N1106" s="11"/>
      <c r="O1106" s="11"/>
      <c r="P1106" s="11"/>
      <c r="Q1106" s="11"/>
      <c r="R1106" s="11"/>
      <c r="S1106" s="11"/>
      <c r="T1106" s="11"/>
      <c r="U1106" s="11"/>
      <c r="V1106" s="11"/>
      <c r="W1106" s="11"/>
      <c r="X1106" s="11"/>
      <c r="Y1106" s="11"/>
      <c r="Z1106" s="11"/>
      <c r="AA1106" s="11"/>
      <c r="AB1106" s="11"/>
      <c r="AC1106" s="11"/>
    </row>
    <row r="1107" spans="1:29" x14ac:dyDescent="0.3">
      <c r="A1107" s="11"/>
      <c r="B1107" s="11"/>
      <c r="C1107" s="11"/>
      <c r="D1107" s="11"/>
      <c r="E1107" s="11"/>
      <c r="F1107" s="11"/>
      <c r="G1107" s="11"/>
      <c r="H1107" s="11"/>
      <c r="I1107" s="11"/>
      <c r="J1107" s="11"/>
      <c r="K1107" s="11"/>
      <c r="L1107" s="11"/>
      <c r="M1107" s="11"/>
      <c r="N1107" s="11"/>
      <c r="O1107" s="11"/>
      <c r="P1107" s="11"/>
      <c r="Q1107" s="11"/>
      <c r="R1107" s="11"/>
      <c r="S1107" s="11"/>
      <c r="T1107" s="11"/>
      <c r="U1107" s="11"/>
      <c r="V1107" s="11"/>
      <c r="W1107" s="11"/>
      <c r="X1107" s="11"/>
      <c r="Y1107" s="11"/>
      <c r="Z1107" s="11"/>
      <c r="AA1107" s="11"/>
      <c r="AB1107" s="11"/>
      <c r="AC1107" s="11"/>
    </row>
    <row r="1108" spans="1:29" x14ac:dyDescent="0.3">
      <c r="A1108" s="11"/>
      <c r="B1108" s="11"/>
      <c r="C1108" s="11"/>
      <c r="D1108" s="11"/>
      <c r="E1108" s="11"/>
      <c r="F1108" s="11"/>
      <c r="G1108" s="11"/>
      <c r="H1108" s="11"/>
      <c r="I1108" s="11"/>
      <c r="J1108" s="11"/>
      <c r="K1108" s="11"/>
      <c r="L1108" s="11"/>
      <c r="M1108" s="11"/>
      <c r="N1108" s="11"/>
      <c r="O1108" s="11"/>
      <c r="P1108" s="11"/>
      <c r="Q1108" s="11"/>
      <c r="R1108" s="11"/>
      <c r="S1108" s="11"/>
      <c r="T1108" s="11"/>
      <c r="U1108" s="11"/>
      <c r="V1108" s="11"/>
      <c r="W1108" s="11"/>
      <c r="X1108" s="11"/>
      <c r="Y1108" s="11"/>
      <c r="Z1108" s="11"/>
      <c r="AA1108" s="11"/>
      <c r="AB1108" s="11"/>
      <c r="AC1108" s="11"/>
    </row>
    <row r="1109" spans="1:29" x14ac:dyDescent="0.3">
      <c r="A1109" s="11"/>
      <c r="B1109" s="11"/>
      <c r="C1109" s="11"/>
      <c r="D1109" s="11"/>
      <c r="E1109" s="11"/>
      <c r="F1109" s="11"/>
      <c r="G1109" s="11"/>
      <c r="H1109" s="11"/>
      <c r="I1109" s="11"/>
      <c r="J1109" s="11"/>
      <c r="K1109" s="11"/>
      <c r="L1109" s="11"/>
      <c r="M1109" s="11"/>
      <c r="N1109" s="11"/>
      <c r="O1109" s="11"/>
      <c r="P1109" s="11"/>
      <c r="Q1109" s="11"/>
      <c r="R1109" s="11"/>
      <c r="S1109" s="11"/>
      <c r="T1109" s="11"/>
      <c r="U1109" s="11"/>
      <c r="V1109" s="11"/>
      <c r="W1109" s="11"/>
      <c r="X1109" s="11"/>
      <c r="Y1109" s="11"/>
      <c r="Z1109" s="11"/>
      <c r="AA1109" s="11"/>
      <c r="AB1109" s="11"/>
      <c r="AC1109" s="11"/>
    </row>
    <row r="1110" spans="1:29" x14ac:dyDescent="0.3">
      <c r="A1110" s="11"/>
      <c r="B1110" s="11"/>
      <c r="C1110" s="11"/>
      <c r="D1110" s="11"/>
      <c r="E1110" s="11"/>
      <c r="F1110" s="11"/>
      <c r="G1110" s="11"/>
      <c r="H1110" s="11"/>
      <c r="I1110" s="11"/>
      <c r="J1110" s="11"/>
      <c r="K1110" s="11"/>
      <c r="L1110" s="11"/>
      <c r="M1110" s="11"/>
      <c r="N1110" s="11"/>
      <c r="O1110" s="11"/>
      <c r="P1110" s="11"/>
      <c r="Q1110" s="11"/>
      <c r="R1110" s="11"/>
      <c r="S1110" s="11"/>
      <c r="T1110" s="11"/>
      <c r="U1110" s="11"/>
      <c r="V1110" s="11"/>
      <c r="W1110" s="11"/>
      <c r="X1110" s="11"/>
      <c r="Y1110" s="11"/>
      <c r="Z1110" s="11"/>
      <c r="AA1110" s="11"/>
      <c r="AB1110" s="11"/>
      <c r="AC1110" s="11"/>
    </row>
    <row r="1111" spans="1:29" x14ac:dyDescent="0.3">
      <c r="A1111" s="11"/>
      <c r="B1111" s="11"/>
      <c r="C1111" s="11"/>
      <c r="D1111" s="11"/>
      <c r="E1111" s="11"/>
      <c r="F1111" s="11"/>
      <c r="G1111" s="11"/>
      <c r="H1111" s="11"/>
      <c r="I1111" s="11"/>
      <c r="J1111" s="11"/>
      <c r="K1111" s="11"/>
      <c r="L1111" s="11"/>
      <c r="M1111" s="11"/>
      <c r="N1111" s="11"/>
      <c r="O1111" s="11"/>
      <c r="P1111" s="11"/>
      <c r="Q1111" s="11"/>
      <c r="R1111" s="11"/>
      <c r="S1111" s="11"/>
      <c r="T1111" s="11"/>
      <c r="U1111" s="11"/>
      <c r="V1111" s="11"/>
      <c r="W1111" s="11"/>
      <c r="X1111" s="11"/>
      <c r="Y1111" s="11"/>
      <c r="Z1111" s="11"/>
      <c r="AA1111" s="11"/>
      <c r="AB1111" s="11"/>
      <c r="AC1111" s="11"/>
    </row>
    <row r="1112" spans="1:29" x14ac:dyDescent="0.3">
      <c r="A1112" s="11"/>
      <c r="B1112" s="11"/>
      <c r="C1112" s="11"/>
      <c r="D1112" s="11"/>
      <c r="E1112" s="11"/>
      <c r="F1112" s="11"/>
      <c r="G1112" s="11"/>
      <c r="H1112" s="11"/>
      <c r="I1112" s="11"/>
      <c r="J1112" s="11"/>
      <c r="K1112" s="11"/>
      <c r="L1112" s="11"/>
      <c r="M1112" s="11"/>
      <c r="N1112" s="11"/>
      <c r="O1112" s="11"/>
      <c r="P1112" s="11"/>
      <c r="Q1112" s="11"/>
      <c r="R1112" s="11"/>
      <c r="S1112" s="11"/>
      <c r="T1112" s="11"/>
      <c r="U1112" s="11"/>
      <c r="V1112" s="11"/>
      <c r="W1112" s="11"/>
      <c r="X1112" s="11"/>
      <c r="Y1112" s="11"/>
      <c r="Z1112" s="11"/>
      <c r="AA1112" s="11"/>
      <c r="AB1112" s="11"/>
      <c r="AC1112" s="11"/>
    </row>
    <row r="1113" spans="1:29" x14ac:dyDescent="0.3">
      <c r="A1113" s="11"/>
      <c r="B1113" s="11"/>
      <c r="C1113" s="11"/>
      <c r="D1113" s="11"/>
      <c r="E1113" s="11"/>
      <c r="F1113" s="11"/>
      <c r="G1113" s="11"/>
      <c r="H1113" s="11"/>
      <c r="I1113" s="11"/>
      <c r="J1113" s="11"/>
      <c r="K1113" s="11"/>
      <c r="L1113" s="11"/>
      <c r="M1113" s="11"/>
      <c r="N1113" s="11"/>
      <c r="O1113" s="11"/>
      <c r="P1113" s="11"/>
      <c r="Q1113" s="11"/>
      <c r="R1113" s="11"/>
      <c r="S1113" s="11"/>
      <c r="T1113" s="11"/>
      <c r="U1113" s="11"/>
      <c r="V1113" s="11"/>
      <c r="W1113" s="11"/>
      <c r="X1113" s="11"/>
      <c r="Y1113" s="11"/>
      <c r="Z1113" s="11"/>
      <c r="AA1113" s="11"/>
      <c r="AB1113" s="11"/>
      <c r="AC1113" s="11"/>
    </row>
    <row r="1114" spans="1:29" x14ac:dyDescent="0.3">
      <c r="A1114" s="11"/>
      <c r="B1114" s="11"/>
      <c r="C1114" s="11"/>
      <c r="D1114" s="11"/>
      <c r="E1114" s="11"/>
      <c r="F1114" s="11"/>
      <c r="G1114" s="11"/>
      <c r="H1114" s="11"/>
      <c r="I1114" s="11"/>
      <c r="J1114" s="11"/>
      <c r="K1114" s="11"/>
      <c r="L1114" s="11"/>
      <c r="M1114" s="11"/>
      <c r="N1114" s="11"/>
      <c r="O1114" s="11"/>
      <c r="P1114" s="11"/>
      <c r="Q1114" s="11"/>
      <c r="R1114" s="11"/>
      <c r="S1114" s="11"/>
      <c r="T1114" s="11"/>
      <c r="U1114" s="11"/>
      <c r="V1114" s="11"/>
      <c r="W1114" s="11"/>
      <c r="X1114" s="11"/>
      <c r="Y1114" s="11"/>
      <c r="Z1114" s="11"/>
      <c r="AA1114" s="11"/>
      <c r="AB1114" s="11"/>
      <c r="AC1114" s="11"/>
    </row>
    <row r="1115" spans="1:29" x14ac:dyDescent="0.3">
      <c r="A1115" s="11"/>
      <c r="B1115" s="11"/>
      <c r="C1115" s="11"/>
      <c r="D1115" s="11"/>
      <c r="E1115" s="11"/>
      <c r="F1115" s="11"/>
      <c r="G1115" s="11"/>
      <c r="H1115" s="11"/>
      <c r="I1115" s="11"/>
      <c r="J1115" s="11"/>
      <c r="K1115" s="11"/>
      <c r="L1115" s="11"/>
      <c r="M1115" s="11"/>
      <c r="N1115" s="11"/>
      <c r="O1115" s="11"/>
      <c r="P1115" s="11"/>
      <c r="Q1115" s="11"/>
      <c r="R1115" s="11"/>
      <c r="S1115" s="11"/>
      <c r="T1115" s="11"/>
      <c r="U1115" s="11"/>
      <c r="V1115" s="11"/>
      <c r="W1115" s="11"/>
      <c r="X1115" s="11"/>
      <c r="Y1115" s="11"/>
      <c r="Z1115" s="11"/>
      <c r="AA1115" s="11"/>
      <c r="AB1115" s="11"/>
      <c r="AC1115" s="11"/>
    </row>
    <row r="1116" spans="1:29" x14ac:dyDescent="0.3">
      <c r="A1116" s="11"/>
      <c r="B1116" s="11"/>
      <c r="C1116" s="11"/>
      <c r="D1116" s="11"/>
      <c r="E1116" s="11"/>
      <c r="F1116" s="11"/>
      <c r="G1116" s="11"/>
      <c r="H1116" s="11"/>
      <c r="I1116" s="11"/>
      <c r="J1116" s="11"/>
      <c r="K1116" s="11"/>
      <c r="L1116" s="11"/>
      <c r="M1116" s="11"/>
      <c r="N1116" s="11"/>
      <c r="O1116" s="11"/>
      <c r="P1116" s="11"/>
      <c r="Q1116" s="11"/>
      <c r="R1116" s="11"/>
      <c r="S1116" s="11"/>
      <c r="T1116" s="11"/>
      <c r="U1116" s="11"/>
      <c r="V1116" s="11"/>
      <c r="W1116" s="11"/>
      <c r="X1116" s="11"/>
      <c r="Y1116" s="11"/>
      <c r="Z1116" s="11"/>
      <c r="AA1116" s="11"/>
      <c r="AB1116" s="11"/>
      <c r="AC1116" s="11"/>
    </row>
    <row r="1117" spans="1:29" x14ac:dyDescent="0.3">
      <c r="A1117" s="11"/>
      <c r="B1117" s="11"/>
      <c r="C1117" s="11"/>
      <c r="D1117" s="11"/>
      <c r="E1117" s="11"/>
      <c r="F1117" s="11"/>
      <c r="G1117" s="11"/>
      <c r="H1117" s="11"/>
      <c r="I1117" s="11"/>
      <c r="J1117" s="11"/>
      <c r="K1117" s="11"/>
      <c r="L1117" s="11"/>
      <c r="M1117" s="11"/>
      <c r="N1117" s="11"/>
      <c r="O1117" s="11"/>
      <c r="P1117" s="11"/>
      <c r="Q1117" s="11"/>
      <c r="R1117" s="11"/>
      <c r="S1117" s="11"/>
      <c r="T1117" s="11"/>
      <c r="U1117" s="11"/>
      <c r="V1117" s="11"/>
      <c r="W1117" s="11"/>
      <c r="X1117" s="11"/>
      <c r="Y1117" s="11"/>
      <c r="Z1117" s="11"/>
      <c r="AA1117" s="11"/>
      <c r="AB1117" s="11"/>
      <c r="AC1117" s="11"/>
    </row>
    <row r="1118" spans="1:29" x14ac:dyDescent="0.3">
      <c r="A1118" s="11"/>
      <c r="B1118" s="11"/>
      <c r="C1118" s="11"/>
      <c r="D1118" s="11"/>
      <c r="E1118" s="11"/>
      <c r="F1118" s="11"/>
      <c r="G1118" s="11"/>
      <c r="H1118" s="11"/>
      <c r="I1118" s="11"/>
      <c r="J1118" s="11"/>
      <c r="K1118" s="11"/>
      <c r="L1118" s="11"/>
      <c r="M1118" s="11"/>
      <c r="N1118" s="11"/>
      <c r="O1118" s="11"/>
      <c r="P1118" s="11"/>
      <c r="Q1118" s="11"/>
      <c r="R1118" s="11"/>
      <c r="S1118" s="11"/>
      <c r="T1118" s="11"/>
      <c r="U1118" s="11"/>
      <c r="V1118" s="11"/>
      <c r="W1118" s="11"/>
      <c r="X1118" s="11"/>
      <c r="Y1118" s="11"/>
      <c r="Z1118" s="11"/>
      <c r="AA1118" s="11"/>
      <c r="AB1118" s="11"/>
      <c r="AC1118" s="11"/>
    </row>
    <row r="1119" spans="1:29" x14ac:dyDescent="0.3">
      <c r="A1119" s="11"/>
      <c r="B1119" s="11"/>
      <c r="C1119" s="11"/>
      <c r="D1119" s="11"/>
      <c r="E1119" s="11"/>
      <c r="F1119" s="11"/>
      <c r="G1119" s="11"/>
      <c r="H1119" s="11"/>
      <c r="I1119" s="11"/>
      <c r="J1119" s="11"/>
      <c r="K1119" s="11"/>
      <c r="L1119" s="11"/>
      <c r="M1119" s="11"/>
      <c r="N1119" s="11"/>
      <c r="O1119" s="11"/>
      <c r="P1119" s="11"/>
      <c r="Q1119" s="11"/>
      <c r="R1119" s="11"/>
      <c r="S1119" s="11"/>
      <c r="T1119" s="11"/>
      <c r="U1119" s="11"/>
      <c r="V1119" s="11"/>
      <c r="W1119" s="11"/>
      <c r="X1119" s="11"/>
      <c r="Y1119" s="11"/>
      <c r="Z1119" s="11"/>
      <c r="AA1119" s="11"/>
      <c r="AB1119" s="11"/>
      <c r="AC1119" s="11"/>
    </row>
    <row r="1120" spans="1:29" x14ac:dyDescent="0.3">
      <c r="A1120" s="11"/>
      <c r="B1120" s="11"/>
      <c r="C1120" s="11"/>
      <c r="D1120" s="11"/>
      <c r="E1120" s="11"/>
      <c r="F1120" s="11"/>
      <c r="G1120" s="11"/>
      <c r="H1120" s="11"/>
      <c r="I1120" s="11"/>
      <c r="J1120" s="11"/>
      <c r="K1120" s="11"/>
      <c r="L1120" s="11"/>
      <c r="M1120" s="11"/>
      <c r="N1120" s="11"/>
      <c r="O1120" s="11"/>
      <c r="P1120" s="11"/>
      <c r="Q1120" s="11"/>
      <c r="R1120" s="11"/>
      <c r="S1120" s="11"/>
      <c r="T1120" s="11"/>
      <c r="U1120" s="11"/>
      <c r="V1120" s="11"/>
      <c r="W1120" s="11"/>
      <c r="X1120" s="11"/>
      <c r="Y1120" s="11"/>
      <c r="Z1120" s="11"/>
      <c r="AA1120" s="11"/>
      <c r="AB1120" s="11"/>
      <c r="AC1120" s="11"/>
    </row>
    <row r="1121" spans="1:29" x14ac:dyDescent="0.3">
      <c r="A1121" s="11"/>
      <c r="B1121" s="11"/>
      <c r="C1121" s="11"/>
      <c r="D1121" s="11"/>
      <c r="E1121" s="11"/>
      <c r="F1121" s="11"/>
      <c r="G1121" s="11"/>
      <c r="H1121" s="11"/>
      <c r="I1121" s="11"/>
      <c r="J1121" s="11"/>
      <c r="K1121" s="11"/>
      <c r="L1121" s="11"/>
      <c r="M1121" s="11"/>
      <c r="N1121" s="11"/>
      <c r="O1121" s="11"/>
      <c r="P1121" s="11"/>
      <c r="Q1121" s="11"/>
      <c r="R1121" s="11"/>
      <c r="S1121" s="11"/>
      <c r="T1121" s="11"/>
      <c r="U1121" s="11"/>
      <c r="V1121" s="11"/>
      <c r="W1121" s="11"/>
      <c r="X1121" s="11"/>
      <c r="Y1121" s="11"/>
      <c r="Z1121" s="11"/>
      <c r="AA1121" s="11"/>
      <c r="AB1121" s="11"/>
      <c r="AC1121" s="11"/>
    </row>
    <row r="1122" spans="1:29" x14ac:dyDescent="0.3">
      <c r="A1122" s="11"/>
      <c r="B1122" s="11"/>
      <c r="C1122" s="11"/>
      <c r="D1122" s="11"/>
      <c r="E1122" s="11"/>
      <c r="F1122" s="11"/>
      <c r="G1122" s="11"/>
      <c r="H1122" s="11"/>
      <c r="I1122" s="11"/>
      <c r="J1122" s="11"/>
      <c r="K1122" s="11"/>
      <c r="L1122" s="11"/>
      <c r="M1122" s="11"/>
      <c r="N1122" s="11"/>
      <c r="O1122" s="11"/>
      <c r="P1122" s="11"/>
      <c r="Q1122" s="11"/>
      <c r="R1122" s="11"/>
      <c r="S1122" s="11"/>
      <c r="T1122" s="11"/>
      <c r="U1122" s="11"/>
      <c r="V1122" s="11"/>
      <c r="W1122" s="11"/>
      <c r="X1122" s="11"/>
      <c r="Y1122" s="11"/>
      <c r="Z1122" s="11"/>
      <c r="AA1122" s="11"/>
      <c r="AB1122" s="11"/>
      <c r="AC1122" s="11"/>
    </row>
    <row r="1123" spans="1:29" x14ac:dyDescent="0.3">
      <c r="A1123" s="11"/>
      <c r="B1123" s="11"/>
      <c r="C1123" s="11"/>
      <c r="D1123" s="11"/>
      <c r="E1123" s="11"/>
      <c r="F1123" s="11"/>
      <c r="G1123" s="11"/>
      <c r="H1123" s="11"/>
      <c r="I1123" s="11"/>
      <c r="J1123" s="11"/>
      <c r="K1123" s="11"/>
      <c r="L1123" s="11"/>
      <c r="M1123" s="11"/>
      <c r="N1123" s="11"/>
      <c r="O1123" s="11"/>
      <c r="P1123" s="11"/>
      <c r="Q1123" s="11"/>
      <c r="R1123" s="11"/>
      <c r="S1123" s="11"/>
      <c r="T1123" s="11"/>
      <c r="U1123" s="11"/>
      <c r="V1123" s="11"/>
      <c r="W1123" s="11"/>
      <c r="X1123" s="11"/>
      <c r="Y1123" s="11"/>
      <c r="Z1123" s="11"/>
      <c r="AA1123" s="11"/>
      <c r="AB1123" s="11"/>
      <c r="AC1123" s="11"/>
    </row>
    <row r="1124" spans="1:29" x14ac:dyDescent="0.3">
      <c r="A1124" s="11"/>
      <c r="B1124" s="11"/>
      <c r="C1124" s="11"/>
      <c r="D1124" s="11"/>
      <c r="E1124" s="11"/>
      <c r="F1124" s="11"/>
      <c r="G1124" s="11"/>
      <c r="H1124" s="11"/>
      <c r="I1124" s="11"/>
      <c r="J1124" s="11"/>
      <c r="K1124" s="11"/>
      <c r="L1124" s="11"/>
      <c r="M1124" s="11"/>
      <c r="N1124" s="11"/>
      <c r="O1124" s="11"/>
      <c r="P1124" s="11"/>
      <c r="Q1124" s="11"/>
      <c r="R1124" s="11"/>
      <c r="S1124" s="11"/>
      <c r="T1124" s="11"/>
      <c r="U1124" s="11"/>
      <c r="V1124" s="11"/>
      <c r="W1124" s="11"/>
      <c r="X1124" s="11"/>
      <c r="Y1124" s="11"/>
      <c r="Z1124" s="11"/>
      <c r="AA1124" s="11"/>
      <c r="AB1124" s="11"/>
      <c r="AC1124" s="11"/>
    </row>
    <row r="1125" spans="1:29" x14ac:dyDescent="0.3">
      <c r="A1125" s="11"/>
      <c r="B1125" s="11"/>
      <c r="C1125" s="11"/>
      <c r="D1125" s="11"/>
      <c r="E1125" s="11"/>
      <c r="F1125" s="11"/>
      <c r="G1125" s="11"/>
      <c r="H1125" s="11"/>
      <c r="I1125" s="11"/>
      <c r="J1125" s="11"/>
      <c r="K1125" s="11"/>
      <c r="L1125" s="11"/>
      <c r="M1125" s="11"/>
      <c r="N1125" s="11"/>
      <c r="O1125" s="11"/>
      <c r="P1125" s="11"/>
      <c r="Q1125" s="11"/>
      <c r="R1125" s="11"/>
      <c r="S1125" s="11"/>
      <c r="T1125" s="11"/>
      <c r="U1125" s="11"/>
      <c r="V1125" s="11"/>
      <c r="W1125" s="11"/>
      <c r="X1125" s="11"/>
      <c r="Y1125" s="11"/>
      <c r="Z1125" s="11"/>
      <c r="AA1125" s="11"/>
      <c r="AB1125" s="11"/>
      <c r="AC1125" s="11"/>
    </row>
    <row r="1126" spans="1:29" x14ac:dyDescent="0.3">
      <c r="A1126" s="11"/>
      <c r="B1126" s="11"/>
      <c r="C1126" s="11"/>
      <c r="D1126" s="11"/>
      <c r="E1126" s="11"/>
      <c r="F1126" s="11"/>
      <c r="G1126" s="11"/>
      <c r="H1126" s="11"/>
      <c r="I1126" s="11"/>
      <c r="J1126" s="11"/>
      <c r="K1126" s="11"/>
      <c r="L1126" s="11"/>
      <c r="M1126" s="11"/>
      <c r="N1126" s="11"/>
      <c r="O1126" s="11"/>
      <c r="P1126" s="11"/>
      <c r="Q1126" s="11"/>
      <c r="R1126" s="11"/>
      <c r="S1126" s="11"/>
      <c r="T1126" s="11"/>
      <c r="U1126" s="11"/>
      <c r="V1126" s="11"/>
      <c r="W1126" s="11"/>
      <c r="X1126" s="11"/>
      <c r="Y1126" s="11"/>
      <c r="Z1126" s="11"/>
      <c r="AA1126" s="11"/>
      <c r="AB1126" s="11"/>
      <c r="AC1126" s="11"/>
    </row>
    <row r="1127" spans="1:29" x14ac:dyDescent="0.3">
      <c r="A1127" s="11"/>
      <c r="B1127" s="11"/>
      <c r="C1127" s="11"/>
      <c r="D1127" s="11"/>
      <c r="E1127" s="11"/>
      <c r="F1127" s="11"/>
      <c r="G1127" s="11"/>
      <c r="H1127" s="11"/>
      <c r="I1127" s="11"/>
      <c r="J1127" s="11"/>
      <c r="K1127" s="11"/>
      <c r="L1127" s="11"/>
      <c r="M1127" s="11"/>
      <c r="N1127" s="11"/>
      <c r="O1127" s="11"/>
      <c r="P1127" s="11"/>
      <c r="Q1127" s="11"/>
      <c r="R1127" s="11"/>
      <c r="S1127" s="11"/>
      <c r="T1127" s="11"/>
      <c r="U1127" s="11"/>
      <c r="V1127" s="11"/>
      <c r="W1127" s="11"/>
      <c r="X1127" s="11"/>
      <c r="Y1127" s="11"/>
      <c r="Z1127" s="11"/>
      <c r="AA1127" s="11"/>
      <c r="AB1127" s="11"/>
      <c r="AC1127" s="11"/>
    </row>
    <row r="1128" spans="1:29" x14ac:dyDescent="0.3">
      <c r="A1128" s="11"/>
      <c r="B1128" s="11"/>
      <c r="C1128" s="11"/>
      <c r="D1128" s="11"/>
      <c r="E1128" s="11"/>
      <c r="F1128" s="11"/>
      <c r="G1128" s="11"/>
      <c r="H1128" s="11"/>
      <c r="I1128" s="11"/>
      <c r="J1128" s="11"/>
      <c r="K1128" s="11"/>
      <c r="L1128" s="11"/>
      <c r="M1128" s="11"/>
      <c r="N1128" s="11"/>
      <c r="O1128" s="11"/>
      <c r="P1128" s="11"/>
      <c r="Q1128" s="11"/>
      <c r="R1128" s="11"/>
      <c r="S1128" s="11"/>
      <c r="T1128" s="11"/>
      <c r="U1128" s="11"/>
      <c r="V1128" s="11"/>
      <c r="W1128" s="11"/>
      <c r="X1128" s="11"/>
      <c r="Y1128" s="11"/>
      <c r="Z1128" s="11"/>
      <c r="AA1128" s="11"/>
      <c r="AB1128" s="11"/>
      <c r="AC1128" s="11"/>
    </row>
    <row r="1129" spans="1:29" x14ac:dyDescent="0.3">
      <c r="A1129" s="11"/>
      <c r="B1129" s="11"/>
      <c r="C1129" s="11"/>
      <c r="D1129" s="11"/>
      <c r="E1129" s="11"/>
      <c r="F1129" s="11"/>
      <c r="G1129" s="11"/>
      <c r="H1129" s="11"/>
      <c r="I1129" s="11"/>
      <c r="J1129" s="11"/>
      <c r="K1129" s="11"/>
      <c r="L1129" s="11"/>
      <c r="M1129" s="11"/>
      <c r="N1129" s="11"/>
      <c r="O1129" s="11"/>
      <c r="P1129" s="11"/>
      <c r="Q1129" s="11"/>
      <c r="R1129" s="11"/>
      <c r="S1129" s="11"/>
      <c r="T1129" s="11"/>
      <c r="U1129" s="11"/>
      <c r="V1129" s="11"/>
      <c r="W1129" s="11"/>
      <c r="X1129" s="11"/>
      <c r="Y1129" s="11"/>
      <c r="Z1129" s="11"/>
      <c r="AA1129" s="11"/>
      <c r="AB1129" s="11"/>
      <c r="AC1129" s="11"/>
    </row>
    <row r="1130" spans="1:29" x14ac:dyDescent="0.3">
      <c r="A1130" s="11"/>
      <c r="B1130" s="11"/>
      <c r="C1130" s="11"/>
      <c r="D1130" s="11"/>
      <c r="E1130" s="11"/>
      <c r="F1130" s="11"/>
      <c r="G1130" s="11"/>
      <c r="H1130" s="11"/>
      <c r="I1130" s="11"/>
      <c r="J1130" s="11"/>
      <c r="K1130" s="11"/>
      <c r="L1130" s="11"/>
      <c r="M1130" s="11"/>
      <c r="N1130" s="11"/>
      <c r="O1130" s="11"/>
      <c r="P1130" s="11"/>
      <c r="Q1130" s="11"/>
      <c r="R1130" s="11"/>
      <c r="S1130" s="11"/>
      <c r="T1130" s="11"/>
      <c r="U1130" s="11"/>
      <c r="V1130" s="11"/>
      <c r="W1130" s="11"/>
      <c r="X1130" s="11"/>
      <c r="Y1130" s="11"/>
      <c r="Z1130" s="11"/>
      <c r="AA1130" s="11"/>
      <c r="AB1130" s="11"/>
      <c r="AC1130" s="11"/>
    </row>
    <row r="1131" spans="1:29" x14ac:dyDescent="0.3">
      <c r="A1131" s="11"/>
      <c r="B1131" s="11"/>
      <c r="C1131" s="11"/>
      <c r="D1131" s="11"/>
      <c r="E1131" s="11"/>
      <c r="F1131" s="11"/>
      <c r="G1131" s="11"/>
      <c r="H1131" s="11"/>
      <c r="I1131" s="11"/>
      <c r="J1131" s="11"/>
      <c r="K1131" s="11"/>
      <c r="L1131" s="11"/>
      <c r="M1131" s="11"/>
      <c r="N1131" s="11"/>
      <c r="O1131" s="11"/>
      <c r="P1131" s="11"/>
      <c r="Q1131" s="11"/>
      <c r="R1131" s="11"/>
      <c r="S1131" s="11"/>
      <c r="T1131" s="11"/>
      <c r="U1131" s="11"/>
      <c r="V1131" s="11"/>
      <c r="W1131" s="11"/>
      <c r="X1131" s="11"/>
      <c r="Y1131" s="11"/>
      <c r="Z1131" s="11"/>
      <c r="AA1131" s="11"/>
      <c r="AB1131" s="11"/>
      <c r="AC1131" s="11"/>
    </row>
    <row r="1132" spans="1:29" x14ac:dyDescent="0.3">
      <c r="A1132" s="11"/>
      <c r="B1132" s="11"/>
      <c r="C1132" s="11"/>
      <c r="D1132" s="11"/>
      <c r="E1132" s="11"/>
      <c r="F1132" s="11"/>
      <c r="G1132" s="11"/>
      <c r="H1132" s="11"/>
      <c r="I1132" s="11"/>
      <c r="J1132" s="11"/>
      <c r="K1132" s="11"/>
      <c r="L1132" s="11"/>
      <c r="M1132" s="11"/>
      <c r="N1132" s="11"/>
      <c r="O1132" s="11"/>
      <c r="P1132" s="11"/>
      <c r="Q1132" s="11"/>
      <c r="R1132" s="11"/>
      <c r="S1132" s="11"/>
      <c r="T1132" s="11"/>
      <c r="U1132" s="11"/>
      <c r="V1132" s="11"/>
      <c r="W1132" s="11"/>
      <c r="X1132" s="11"/>
      <c r="Y1132" s="11"/>
      <c r="Z1132" s="11"/>
      <c r="AA1132" s="11"/>
      <c r="AB1132" s="11"/>
      <c r="AC1132" s="11"/>
    </row>
    <row r="1133" spans="1:29" x14ac:dyDescent="0.3">
      <c r="A1133" s="11"/>
      <c r="B1133" s="11"/>
      <c r="C1133" s="11"/>
      <c r="D1133" s="11"/>
      <c r="E1133" s="11"/>
      <c r="F1133" s="11"/>
      <c r="G1133" s="11"/>
      <c r="H1133" s="11"/>
      <c r="I1133" s="11"/>
      <c r="J1133" s="11"/>
      <c r="K1133" s="11"/>
      <c r="L1133" s="11"/>
      <c r="M1133" s="11"/>
      <c r="N1133" s="11"/>
      <c r="O1133" s="11"/>
      <c r="P1133" s="11"/>
      <c r="Q1133" s="11"/>
      <c r="R1133" s="11"/>
      <c r="S1133" s="11"/>
      <c r="T1133" s="11"/>
      <c r="U1133" s="11"/>
      <c r="V1133" s="11"/>
      <c r="W1133" s="11"/>
      <c r="X1133" s="11"/>
      <c r="Y1133" s="11"/>
      <c r="Z1133" s="11"/>
      <c r="AA1133" s="11"/>
      <c r="AB1133" s="11"/>
      <c r="AC1133" s="11"/>
    </row>
    <row r="1134" spans="1:29" x14ac:dyDescent="0.3">
      <c r="A1134" s="11"/>
      <c r="B1134" s="11"/>
      <c r="C1134" s="11"/>
      <c r="D1134" s="11"/>
      <c r="E1134" s="11"/>
      <c r="F1134" s="11"/>
      <c r="G1134" s="11"/>
      <c r="H1134" s="11"/>
      <c r="I1134" s="11"/>
      <c r="J1134" s="11"/>
      <c r="K1134" s="11"/>
      <c r="L1134" s="11"/>
      <c r="M1134" s="11"/>
      <c r="N1134" s="11"/>
      <c r="O1134" s="11"/>
      <c r="P1134" s="11"/>
      <c r="Q1134" s="11"/>
      <c r="R1134" s="11"/>
      <c r="S1134" s="11"/>
      <c r="T1134" s="11"/>
      <c r="U1134" s="11"/>
      <c r="V1134" s="11"/>
      <c r="W1134" s="11"/>
      <c r="X1134" s="11"/>
      <c r="Y1134" s="11"/>
      <c r="Z1134" s="11"/>
      <c r="AA1134" s="11"/>
      <c r="AB1134" s="11"/>
      <c r="AC1134" s="11"/>
    </row>
    <row r="1135" spans="1:29" x14ac:dyDescent="0.3">
      <c r="A1135" s="11"/>
      <c r="B1135" s="11"/>
      <c r="C1135" s="11"/>
      <c r="D1135" s="11"/>
      <c r="E1135" s="11"/>
      <c r="F1135" s="11"/>
      <c r="G1135" s="11"/>
      <c r="H1135" s="11"/>
      <c r="I1135" s="11"/>
      <c r="J1135" s="11"/>
      <c r="K1135" s="11"/>
      <c r="L1135" s="11"/>
      <c r="M1135" s="11"/>
      <c r="N1135" s="11"/>
      <c r="O1135" s="11"/>
      <c r="P1135" s="11"/>
      <c r="Q1135" s="11"/>
      <c r="R1135" s="11"/>
      <c r="S1135" s="11"/>
      <c r="T1135" s="11"/>
      <c r="U1135" s="11"/>
      <c r="V1135" s="11"/>
      <c r="W1135" s="11"/>
      <c r="X1135" s="11"/>
      <c r="Y1135" s="11"/>
      <c r="Z1135" s="11"/>
      <c r="AA1135" s="11"/>
      <c r="AB1135" s="11"/>
      <c r="AC1135" s="11"/>
    </row>
    <row r="1136" spans="1:29" x14ac:dyDescent="0.3">
      <c r="A1136" s="11"/>
      <c r="B1136" s="11"/>
      <c r="C1136" s="11"/>
      <c r="D1136" s="11"/>
      <c r="E1136" s="11"/>
      <c r="F1136" s="11"/>
      <c r="G1136" s="11"/>
      <c r="H1136" s="11"/>
      <c r="I1136" s="11"/>
      <c r="J1136" s="11"/>
      <c r="K1136" s="11"/>
      <c r="L1136" s="11"/>
      <c r="M1136" s="11"/>
      <c r="N1136" s="11"/>
      <c r="O1136" s="11"/>
      <c r="P1136" s="11"/>
      <c r="Q1136" s="11"/>
      <c r="R1136" s="11"/>
      <c r="S1136" s="11"/>
      <c r="T1136" s="11"/>
      <c r="U1136" s="11"/>
      <c r="V1136" s="11"/>
      <c r="W1136" s="11"/>
      <c r="X1136" s="11"/>
      <c r="Y1136" s="11"/>
      <c r="Z1136" s="11"/>
      <c r="AA1136" s="11"/>
      <c r="AB1136" s="11"/>
      <c r="AC1136" s="11"/>
    </row>
    <row r="1137" spans="1:29" x14ac:dyDescent="0.3">
      <c r="A1137" s="11"/>
      <c r="B1137" s="11"/>
      <c r="C1137" s="11"/>
      <c r="D1137" s="11"/>
      <c r="E1137" s="11"/>
      <c r="F1137" s="11"/>
      <c r="G1137" s="11"/>
      <c r="H1137" s="11"/>
      <c r="I1137" s="11"/>
      <c r="J1137" s="11"/>
      <c r="K1137" s="11"/>
      <c r="L1137" s="11"/>
      <c r="M1137" s="11"/>
      <c r="N1137" s="11"/>
      <c r="O1137" s="11"/>
      <c r="P1137" s="11"/>
      <c r="Q1137" s="11"/>
      <c r="R1137" s="11"/>
      <c r="S1137" s="11"/>
      <c r="T1137" s="11"/>
      <c r="U1137" s="11"/>
      <c r="V1137" s="11"/>
      <c r="W1137" s="11"/>
      <c r="X1137" s="11"/>
      <c r="Y1137" s="11"/>
      <c r="Z1137" s="11"/>
      <c r="AA1137" s="11"/>
      <c r="AB1137" s="11"/>
      <c r="AC1137" s="11"/>
    </row>
    <row r="1138" spans="1:29" x14ac:dyDescent="0.3">
      <c r="A1138" s="11"/>
      <c r="B1138" s="11"/>
      <c r="C1138" s="11"/>
      <c r="D1138" s="11"/>
      <c r="E1138" s="11"/>
      <c r="F1138" s="11"/>
      <c r="G1138" s="11"/>
      <c r="H1138" s="11"/>
      <c r="I1138" s="11"/>
      <c r="J1138" s="11"/>
      <c r="K1138" s="11"/>
      <c r="L1138" s="11"/>
      <c r="M1138" s="11"/>
      <c r="N1138" s="11"/>
      <c r="O1138" s="11"/>
      <c r="P1138" s="11"/>
      <c r="Q1138" s="11"/>
      <c r="R1138" s="11"/>
      <c r="S1138" s="11"/>
      <c r="T1138" s="11"/>
      <c r="U1138" s="11"/>
      <c r="V1138" s="11"/>
      <c r="W1138" s="11"/>
      <c r="X1138" s="11"/>
      <c r="Y1138" s="11"/>
      <c r="Z1138" s="11"/>
      <c r="AA1138" s="11"/>
      <c r="AB1138" s="11"/>
      <c r="AC1138" s="11"/>
    </row>
    <row r="1139" spans="1:29" x14ac:dyDescent="0.3">
      <c r="A1139" s="11"/>
      <c r="B1139" s="11"/>
      <c r="C1139" s="11"/>
      <c r="D1139" s="11"/>
      <c r="E1139" s="11"/>
      <c r="F1139" s="11"/>
      <c r="G1139" s="11"/>
      <c r="H1139" s="11"/>
      <c r="I1139" s="11"/>
      <c r="J1139" s="11"/>
      <c r="K1139" s="11"/>
      <c r="L1139" s="11"/>
      <c r="M1139" s="11"/>
      <c r="N1139" s="11"/>
      <c r="O1139" s="11"/>
      <c r="P1139" s="11"/>
      <c r="Q1139" s="11"/>
      <c r="R1139" s="11"/>
      <c r="S1139" s="11"/>
      <c r="T1139" s="11"/>
      <c r="U1139" s="11"/>
      <c r="V1139" s="11"/>
      <c r="W1139" s="11"/>
      <c r="X1139" s="11"/>
      <c r="Y1139" s="11"/>
      <c r="Z1139" s="11"/>
      <c r="AA1139" s="11"/>
      <c r="AB1139" s="11"/>
      <c r="AC1139" s="11"/>
    </row>
    <row r="1140" spans="1:29" x14ac:dyDescent="0.3">
      <c r="A1140" s="11"/>
      <c r="B1140" s="11"/>
      <c r="C1140" s="11"/>
      <c r="D1140" s="11"/>
      <c r="E1140" s="11"/>
      <c r="F1140" s="11"/>
      <c r="G1140" s="11"/>
      <c r="H1140" s="11"/>
      <c r="I1140" s="11"/>
      <c r="J1140" s="11"/>
      <c r="K1140" s="11"/>
      <c r="L1140" s="11"/>
      <c r="M1140" s="11"/>
      <c r="N1140" s="11"/>
      <c r="O1140" s="11"/>
      <c r="P1140" s="11"/>
      <c r="Q1140" s="11"/>
      <c r="R1140" s="11"/>
      <c r="S1140" s="11"/>
      <c r="T1140" s="11"/>
      <c r="U1140" s="11"/>
      <c r="V1140" s="11"/>
      <c r="W1140" s="11"/>
      <c r="X1140" s="11"/>
      <c r="Y1140" s="11"/>
      <c r="Z1140" s="11"/>
      <c r="AA1140" s="11"/>
      <c r="AB1140" s="11"/>
      <c r="AC1140" s="11"/>
    </row>
    <row r="1141" spans="1:29" x14ac:dyDescent="0.3">
      <c r="A1141" s="11"/>
      <c r="B1141" s="11"/>
      <c r="C1141" s="11"/>
      <c r="D1141" s="11"/>
      <c r="E1141" s="11"/>
      <c r="F1141" s="11"/>
      <c r="G1141" s="11"/>
      <c r="H1141" s="11"/>
      <c r="I1141" s="11"/>
      <c r="J1141" s="11"/>
      <c r="K1141" s="11"/>
      <c r="L1141" s="11"/>
      <c r="M1141" s="11"/>
      <c r="N1141" s="11"/>
      <c r="O1141" s="11"/>
      <c r="P1141" s="11"/>
      <c r="Q1141" s="11"/>
      <c r="R1141" s="11"/>
      <c r="S1141" s="11"/>
      <c r="T1141" s="11"/>
      <c r="U1141" s="11"/>
      <c r="V1141" s="11"/>
      <c r="W1141" s="11"/>
      <c r="X1141" s="11"/>
      <c r="Y1141" s="11"/>
      <c r="Z1141" s="11"/>
      <c r="AA1141" s="11"/>
      <c r="AB1141" s="11"/>
      <c r="AC1141" s="11"/>
    </row>
    <row r="1142" spans="1:29" x14ac:dyDescent="0.3">
      <c r="A1142" s="11"/>
      <c r="B1142" s="11"/>
      <c r="C1142" s="11"/>
      <c r="D1142" s="11"/>
      <c r="E1142" s="11"/>
      <c r="F1142" s="11"/>
      <c r="G1142" s="11"/>
      <c r="H1142" s="11"/>
      <c r="I1142" s="11"/>
      <c r="J1142" s="11"/>
      <c r="K1142" s="11"/>
      <c r="L1142" s="11"/>
      <c r="M1142" s="11"/>
      <c r="N1142" s="11"/>
      <c r="O1142" s="11"/>
      <c r="P1142" s="11"/>
      <c r="Q1142" s="11"/>
      <c r="R1142" s="11"/>
      <c r="S1142" s="11"/>
      <c r="T1142" s="11"/>
      <c r="U1142" s="11"/>
      <c r="V1142" s="11"/>
      <c r="W1142" s="11"/>
      <c r="X1142" s="11"/>
      <c r="Y1142" s="11"/>
      <c r="Z1142" s="11"/>
      <c r="AA1142" s="11"/>
      <c r="AB1142" s="11"/>
      <c r="AC1142" s="11"/>
    </row>
    <row r="1143" spans="1:29" x14ac:dyDescent="0.3">
      <c r="A1143" s="11"/>
      <c r="B1143" s="11"/>
      <c r="C1143" s="11"/>
      <c r="D1143" s="11"/>
      <c r="E1143" s="11"/>
      <c r="F1143" s="11"/>
      <c r="G1143" s="11"/>
      <c r="H1143" s="11"/>
      <c r="I1143" s="11"/>
      <c r="J1143" s="11"/>
      <c r="K1143" s="11"/>
      <c r="L1143" s="11"/>
      <c r="M1143" s="11"/>
      <c r="N1143" s="11"/>
      <c r="O1143" s="11"/>
      <c r="P1143" s="11"/>
      <c r="Q1143" s="11"/>
      <c r="R1143" s="11"/>
      <c r="S1143" s="11"/>
      <c r="T1143" s="11"/>
      <c r="U1143" s="11"/>
      <c r="V1143" s="11"/>
      <c r="W1143" s="11"/>
      <c r="X1143" s="11"/>
      <c r="Y1143" s="11"/>
      <c r="Z1143" s="11"/>
      <c r="AA1143" s="11"/>
      <c r="AB1143" s="11"/>
      <c r="AC1143" s="11"/>
    </row>
    <row r="1144" spans="1:29" x14ac:dyDescent="0.3">
      <c r="A1144" s="11"/>
      <c r="B1144" s="11"/>
      <c r="C1144" s="11"/>
      <c r="D1144" s="11"/>
      <c r="E1144" s="11"/>
      <c r="F1144" s="11"/>
      <c r="G1144" s="11"/>
      <c r="H1144" s="11"/>
      <c r="I1144" s="11"/>
      <c r="J1144" s="11"/>
      <c r="K1144" s="11"/>
      <c r="L1144" s="11"/>
      <c r="M1144" s="11"/>
      <c r="N1144" s="11"/>
      <c r="O1144" s="11"/>
      <c r="P1144" s="11"/>
      <c r="Q1144" s="11"/>
      <c r="R1144" s="11"/>
      <c r="S1144" s="11"/>
      <c r="T1144" s="11"/>
      <c r="U1144" s="11"/>
      <c r="V1144" s="11"/>
      <c r="W1144" s="11"/>
      <c r="X1144" s="11"/>
      <c r="Y1144" s="11"/>
      <c r="Z1144" s="11"/>
      <c r="AA1144" s="11"/>
      <c r="AB1144" s="11"/>
      <c r="AC1144" s="11"/>
    </row>
    <row r="1145" spans="1:29" x14ac:dyDescent="0.3">
      <c r="A1145" s="11"/>
      <c r="B1145" s="11"/>
      <c r="C1145" s="11"/>
      <c r="D1145" s="11"/>
      <c r="E1145" s="11"/>
      <c r="F1145" s="11"/>
      <c r="G1145" s="11"/>
      <c r="H1145" s="11"/>
      <c r="I1145" s="11"/>
      <c r="J1145" s="11"/>
      <c r="K1145" s="11"/>
      <c r="L1145" s="11"/>
      <c r="M1145" s="11"/>
      <c r="N1145" s="11"/>
      <c r="O1145" s="11"/>
      <c r="P1145" s="11"/>
      <c r="Q1145" s="11"/>
      <c r="R1145" s="11"/>
      <c r="S1145" s="11"/>
      <c r="T1145" s="11"/>
      <c r="U1145" s="11"/>
      <c r="V1145" s="11"/>
      <c r="W1145" s="11"/>
      <c r="X1145" s="11"/>
      <c r="Y1145" s="11"/>
      <c r="Z1145" s="11"/>
      <c r="AA1145" s="11"/>
      <c r="AB1145" s="11"/>
      <c r="AC1145" s="11"/>
    </row>
    <row r="1146" spans="1:29" x14ac:dyDescent="0.3">
      <c r="A1146" s="11"/>
      <c r="B1146" s="11"/>
      <c r="C1146" s="11"/>
      <c r="D1146" s="11"/>
      <c r="E1146" s="11"/>
      <c r="F1146" s="11"/>
      <c r="G1146" s="11"/>
      <c r="H1146" s="11"/>
      <c r="I1146" s="11"/>
      <c r="J1146" s="11"/>
      <c r="K1146" s="11"/>
      <c r="L1146" s="11"/>
      <c r="M1146" s="11"/>
      <c r="N1146" s="11"/>
      <c r="O1146" s="11"/>
      <c r="P1146" s="11"/>
      <c r="Q1146" s="11"/>
      <c r="R1146" s="11"/>
      <c r="S1146" s="11"/>
      <c r="T1146" s="11"/>
      <c r="U1146" s="11"/>
      <c r="V1146" s="11"/>
      <c r="W1146" s="11"/>
      <c r="X1146" s="11"/>
      <c r="Y1146" s="11"/>
      <c r="Z1146" s="11"/>
      <c r="AA1146" s="11"/>
      <c r="AB1146" s="11"/>
      <c r="AC1146" s="11"/>
    </row>
    <row r="1147" spans="1:29" x14ac:dyDescent="0.3">
      <c r="A1147" s="11"/>
      <c r="B1147" s="11"/>
      <c r="C1147" s="11"/>
      <c r="D1147" s="11"/>
      <c r="E1147" s="11"/>
      <c r="F1147" s="11"/>
      <c r="G1147" s="11"/>
      <c r="H1147" s="11"/>
      <c r="I1147" s="11"/>
      <c r="J1147" s="11"/>
      <c r="K1147" s="11"/>
      <c r="L1147" s="11"/>
      <c r="M1147" s="11"/>
      <c r="N1147" s="11"/>
      <c r="O1147" s="11"/>
      <c r="P1147" s="11"/>
      <c r="Q1147" s="11"/>
      <c r="R1147" s="11"/>
      <c r="S1147" s="11"/>
      <c r="T1147" s="11"/>
      <c r="U1147" s="11"/>
      <c r="V1147" s="11"/>
      <c r="W1147" s="11"/>
      <c r="X1147" s="11"/>
      <c r="Y1147" s="11"/>
      <c r="Z1147" s="11"/>
      <c r="AA1147" s="11"/>
      <c r="AB1147" s="11"/>
      <c r="AC1147" s="11"/>
    </row>
    <row r="1148" spans="1:29" x14ac:dyDescent="0.3">
      <c r="A1148" s="11"/>
      <c r="B1148" s="11"/>
      <c r="C1148" s="11"/>
      <c r="D1148" s="11"/>
      <c r="E1148" s="11"/>
      <c r="F1148" s="11"/>
      <c r="G1148" s="11"/>
      <c r="H1148" s="11"/>
      <c r="I1148" s="11"/>
      <c r="J1148" s="11"/>
      <c r="K1148" s="11"/>
      <c r="L1148" s="11"/>
      <c r="M1148" s="11"/>
      <c r="N1148" s="11"/>
      <c r="O1148" s="11"/>
      <c r="P1148" s="11"/>
      <c r="Q1148" s="11"/>
      <c r="R1148" s="11"/>
      <c r="S1148" s="11"/>
      <c r="T1148" s="11"/>
      <c r="U1148" s="11"/>
      <c r="V1148" s="11"/>
      <c r="W1148" s="11"/>
      <c r="X1148" s="11"/>
      <c r="Y1148" s="11"/>
      <c r="Z1148" s="11"/>
      <c r="AA1148" s="11"/>
      <c r="AB1148" s="11"/>
      <c r="AC1148" s="11"/>
    </row>
    <row r="1149" spans="1:29" x14ac:dyDescent="0.3">
      <c r="A1149" s="11"/>
      <c r="B1149" s="11"/>
      <c r="C1149" s="11"/>
      <c r="D1149" s="11"/>
      <c r="E1149" s="11"/>
      <c r="F1149" s="11"/>
      <c r="G1149" s="11"/>
      <c r="H1149" s="11"/>
      <c r="I1149" s="11"/>
      <c r="J1149" s="11"/>
      <c r="K1149" s="11"/>
      <c r="L1149" s="11"/>
      <c r="M1149" s="11"/>
      <c r="N1149" s="11"/>
      <c r="O1149" s="11"/>
      <c r="P1149" s="11"/>
      <c r="Q1149" s="11"/>
      <c r="R1149" s="11"/>
      <c r="S1149" s="11"/>
      <c r="T1149" s="11"/>
      <c r="U1149" s="11"/>
      <c r="V1149" s="11"/>
      <c r="W1149" s="11"/>
      <c r="X1149" s="11"/>
      <c r="Y1149" s="11"/>
      <c r="Z1149" s="11"/>
      <c r="AA1149" s="11"/>
      <c r="AB1149" s="11"/>
      <c r="AC1149" s="11"/>
    </row>
    <row r="1150" spans="1:29" x14ac:dyDescent="0.3">
      <c r="A1150" s="11"/>
      <c r="B1150" s="11"/>
      <c r="C1150" s="11"/>
      <c r="D1150" s="11"/>
      <c r="E1150" s="11"/>
      <c r="F1150" s="11"/>
      <c r="G1150" s="11"/>
      <c r="H1150" s="11"/>
      <c r="I1150" s="11"/>
      <c r="J1150" s="11"/>
      <c r="K1150" s="11"/>
      <c r="L1150" s="11"/>
      <c r="M1150" s="11"/>
      <c r="N1150" s="11"/>
      <c r="O1150" s="11"/>
      <c r="P1150" s="11"/>
      <c r="Q1150" s="11"/>
      <c r="R1150" s="11"/>
      <c r="S1150" s="11"/>
      <c r="T1150" s="11"/>
      <c r="U1150" s="11"/>
      <c r="V1150" s="11"/>
      <c r="W1150" s="11"/>
      <c r="X1150" s="11"/>
      <c r="Y1150" s="11"/>
      <c r="Z1150" s="11"/>
      <c r="AA1150" s="11"/>
      <c r="AB1150" s="11"/>
      <c r="AC1150" s="11"/>
    </row>
    <row r="1151" spans="1:29" x14ac:dyDescent="0.3">
      <c r="A1151" s="11"/>
      <c r="B1151" s="11"/>
      <c r="C1151" s="11"/>
      <c r="D1151" s="11"/>
      <c r="E1151" s="11"/>
      <c r="F1151" s="11"/>
      <c r="G1151" s="11"/>
      <c r="H1151" s="11"/>
      <c r="I1151" s="11"/>
      <c r="J1151" s="11"/>
      <c r="K1151" s="11"/>
      <c r="L1151" s="11"/>
      <c r="M1151" s="11"/>
      <c r="N1151" s="11"/>
      <c r="O1151" s="11"/>
      <c r="P1151" s="11"/>
      <c r="Q1151" s="11"/>
      <c r="R1151" s="11"/>
      <c r="S1151" s="11"/>
      <c r="T1151" s="11"/>
      <c r="U1151" s="11"/>
      <c r="V1151" s="11"/>
      <c r="W1151" s="11"/>
      <c r="X1151" s="11"/>
      <c r="Y1151" s="11"/>
      <c r="Z1151" s="11"/>
      <c r="AA1151" s="11"/>
      <c r="AB1151" s="11"/>
      <c r="AC1151" s="11"/>
    </row>
    <row r="1152" spans="1:29" x14ac:dyDescent="0.3">
      <c r="A1152" s="11"/>
      <c r="B1152" s="11"/>
      <c r="C1152" s="11"/>
      <c r="D1152" s="11"/>
      <c r="E1152" s="11"/>
      <c r="F1152" s="11"/>
      <c r="G1152" s="11"/>
      <c r="H1152" s="11"/>
      <c r="I1152" s="11"/>
      <c r="J1152" s="11"/>
      <c r="K1152" s="11"/>
      <c r="L1152" s="11"/>
      <c r="M1152" s="11"/>
      <c r="N1152" s="11"/>
      <c r="O1152" s="11"/>
      <c r="P1152" s="11"/>
      <c r="Q1152" s="11"/>
      <c r="R1152" s="11"/>
      <c r="S1152" s="11"/>
      <c r="T1152" s="11"/>
      <c r="U1152" s="11"/>
      <c r="V1152" s="11"/>
      <c r="W1152" s="11"/>
      <c r="X1152" s="11"/>
      <c r="Y1152" s="11"/>
      <c r="Z1152" s="11"/>
      <c r="AA1152" s="11"/>
      <c r="AB1152" s="11"/>
      <c r="AC1152" s="11"/>
    </row>
    <row r="1153" spans="1:29" x14ac:dyDescent="0.3">
      <c r="A1153" s="11"/>
      <c r="B1153" s="11"/>
      <c r="C1153" s="11"/>
      <c r="D1153" s="11"/>
      <c r="E1153" s="11"/>
      <c r="F1153" s="11"/>
      <c r="G1153" s="11"/>
      <c r="H1153" s="11"/>
      <c r="I1153" s="11"/>
      <c r="J1153" s="11"/>
      <c r="K1153" s="11"/>
      <c r="L1153" s="11"/>
      <c r="M1153" s="11"/>
      <c r="N1153" s="11"/>
      <c r="O1153" s="11"/>
      <c r="P1153" s="11"/>
      <c r="Q1153" s="11"/>
      <c r="R1153" s="11"/>
      <c r="S1153" s="11"/>
      <c r="T1153" s="11"/>
      <c r="U1153" s="11"/>
      <c r="V1153" s="11"/>
      <c r="W1153" s="11"/>
      <c r="X1153" s="11"/>
      <c r="Y1153" s="11"/>
      <c r="Z1153" s="11"/>
      <c r="AA1153" s="11"/>
      <c r="AB1153" s="11"/>
      <c r="AC1153" s="11"/>
    </row>
    <row r="1154" spans="1:29" x14ac:dyDescent="0.3">
      <c r="A1154" s="11"/>
      <c r="B1154" s="11"/>
      <c r="C1154" s="11"/>
      <c r="D1154" s="11"/>
      <c r="E1154" s="11"/>
      <c r="F1154" s="11"/>
      <c r="G1154" s="11"/>
      <c r="H1154" s="11"/>
      <c r="I1154" s="11"/>
      <c r="J1154" s="11"/>
      <c r="K1154" s="11"/>
      <c r="L1154" s="11"/>
      <c r="M1154" s="11"/>
      <c r="N1154" s="11"/>
      <c r="O1154" s="11"/>
      <c r="P1154" s="11"/>
      <c r="Q1154" s="11"/>
      <c r="R1154" s="11"/>
      <c r="S1154" s="11"/>
      <c r="T1154" s="11"/>
      <c r="U1154" s="11"/>
      <c r="V1154" s="11"/>
      <c r="W1154" s="11"/>
      <c r="X1154" s="11"/>
      <c r="Y1154" s="11"/>
      <c r="Z1154" s="11"/>
      <c r="AA1154" s="11"/>
      <c r="AB1154" s="11"/>
      <c r="AC1154" s="11"/>
    </row>
    <row r="1155" spans="1:29" x14ac:dyDescent="0.3">
      <c r="A1155" s="11"/>
      <c r="B1155" s="11"/>
      <c r="C1155" s="11"/>
      <c r="D1155" s="11"/>
      <c r="E1155" s="11"/>
      <c r="F1155" s="11"/>
      <c r="G1155" s="11"/>
      <c r="H1155" s="11"/>
      <c r="I1155" s="11"/>
      <c r="J1155" s="11"/>
      <c r="K1155" s="11"/>
      <c r="L1155" s="11"/>
      <c r="M1155" s="11"/>
      <c r="N1155" s="11"/>
      <c r="O1155" s="11"/>
      <c r="P1155" s="11"/>
      <c r="Q1155" s="11"/>
      <c r="R1155" s="11"/>
      <c r="S1155" s="11"/>
      <c r="T1155" s="11"/>
      <c r="U1155" s="11"/>
      <c r="V1155" s="11"/>
      <c r="W1155" s="11"/>
      <c r="X1155" s="11"/>
      <c r="Y1155" s="11"/>
      <c r="Z1155" s="11"/>
      <c r="AA1155" s="11"/>
      <c r="AB1155" s="11"/>
      <c r="AC1155" s="11"/>
    </row>
    <row r="1156" spans="1:29" x14ac:dyDescent="0.3">
      <c r="A1156" s="11"/>
      <c r="B1156" s="11"/>
      <c r="C1156" s="11"/>
      <c r="D1156" s="11"/>
      <c r="E1156" s="11"/>
      <c r="F1156" s="11"/>
      <c r="G1156" s="11"/>
      <c r="H1156" s="11"/>
      <c r="I1156" s="11"/>
      <c r="J1156" s="11"/>
      <c r="K1156" s="11"/>
      <c r="L1156" s="11"/>
      <c r="M1156" s="11"/>
      <c r="N1156" s="11"/>
      <c r="O1156" s="11"/>
      <c r="P1156" s="11"/>
      <c r="Q1156" s="11"/>
      <c r="R1156" s="11"/>
      <c r="S1156" s="11"/>
      <c r="T1156" s="11"/>
      <c r="U1156" s="11"/>
      <c r="V1156" s="11"/>
      <c r="W1156" s="11"/>
      <c r="X1156" s="11"/>
      <c r="Y1156" s="11"/>
      <c r="Z1156" s="11"/>
      <c r="AA1156" s="11"/>
      <c r="AB1156" s="11"/>
      <c r="AC1156" s="11"/>
    </row>
    <row r="1157" spans="1:29" x14ac:dyDescent="0.3">
      <c r="A1157" s="11"/>
      <c r="B1157" s="11"/>
      <c r="C1157" s="11"/>
      <c r="D1157" s="11"/>
      <c r="E1157" s="11"/>
      <c r="F1157" s="11"/>
      <c r="G1157" s="11"/>
      <c r="H1157" s="11"/>
      <c r="I1157" s="11"/>
      <c r="J1157" s="11"/>
      <c r="K1157" s="11"/>
      <c r="L1157" s="11"/>
      <c r="M1157" s="11"/>
      <c r="N1157" s="11"/>
      <c r="O1157" s="11"/>
      <c r="P1157" s="11"/>
      <c r="Q1157" s="11"/>
      <c r="R1157" s="11"/>
      <c r="S1157" s="11"/>
      <c r="T1157" s="11"/>
      <c r="U1157" s="11"/>
      <c r="V1157" s="11"/>
      <c r="W1157" s="11"/>
      <c r="X1157" s="11"/>
      <c r="Y1157" s="11"/>
      <c r="Z1157" s="11"/>
      <c r="AA1157" s="11"/>
      <c r="AB1157" s="11"/>
      <c r="AC1157" s="11"/>
    </row>
    <row r="1158" spans="1:29" x14ac:dyDescent="0.3">
      <c r="A1158" s="11"/>
      <c r="B1158" s="11"/>
      <c r="C1158" s="11"/>
      <c r="D1158" s="11"/>
      <c r="E1158" s="11"/>
      <c r="F1158" s="11"/>
      <c r="G1158" s="11"/>
      <c r="H1158" s="11"/>
      <c r="I1158" s="11"/>
      <c r="J1158" s="11"/>
      <c r="K1158" s="11"/>
      <c r="L1158" s="11"/>
      <c r="M1158" s="11"/>
      <c r="N1158" s="11"/>
      <c r="O1158" s="11"/>
      <c r="P1158" s="11"/>
      <c r="Q1158" s="11"/>
      <c r="R1158" s="11"/>
      <c r="S1158" s="11"/>
      <c r="T1158" s="11"/>
      <c r="U1158" s="11"/>
      <c r="V1158" s="11"/>
      <c r="W1158" s="11"/>
      <c r="X1158" s="11"/>
      <c r="Y1158" s="11"/>
      <c r="Z1158" s="11"/>
      <c r="AA1158" s="11"/>
      <c r="AB1158" s="11"/>
      <c r="AC1158" s="11"/>
    </row>
    <row r="1159" spans="1:29" x14ac:dyDescent="0.3">
      <c r="A1159" s="11"/>
      <c r="B1159" s="11"/>
      <c r="C1159" s="11"/>
      <c r="D1159" s="11"/>
      <c r="E1159" s="11"/>
      <c r="F1159" s="11"/>
      <c r="G1159" s="11"/>
      <c r="H1159" s="11"/>
      <c r="I1159" s="11"/>
      <c r="J1159" s="11"/>
      <c r="K1159" s="11"/>
      <c r="L1159" s="11"/>
      <c r="M1159" s="11"/>
      <c r="N1159" s="11"/>
      <c r="O1159" s="11"/>
      <c r="P1159" s="11"/>
      <c r="Q1159" s="11"/>
      <c r="R1159" s="11"/>
      <c r="S1159" s="11"/>
      <c r="T1159" s="11"/>
      <c r="U1159" s="11"/>
      <c r="V1159" s="11"/>
      <c r="W1159" s="11"/>
      <c r="X1159" s="11"/>
      <c r="Y1159" s="11"/>
      <c r="Z1159" s="11"/>
      <c r="AA1159" s="11"/>
      <c r="AB1159" s="11"/>
      <c r="AC1159" s="11"/>
    </row>
    <row r="1160" spans="1:29" x14ac:dyDescent="0.3">
      <c r="A1160" s="11"/>
      <c r="B1160" s="11"/>
      <c r="C1160" s="11"/>
      <c r="D1160" s="11"/>
      <c r="E1160" s="11"/>
      <c r="F1160" s="11"/>
      <c r="G1160" s="11"/>
      <c r="H1160" s="11"/>
      <c r="I1160" s="11"/>
      <c r="J1160" s="11"/>
      <c r="K1160" s="11"/>
      <c r="L1160" s="11"/>
      <c r="M1160" s="11"/>
      <c r="N1160" s="11"/>
      <c r="O1160" s="11"/>
      <c r="P1160" s="11"/>
      <c r="Q1160" s="11"/>
      <c r="R1160" s="11"/>
      <c r="S1160" s="11"/>
      <c r="T1160" s="11"/>
      <c r="U1160" s="11"/>
      <c r="V1160" s="11"/>
      <c r="W1160" s="11"/>
      <c r="X1160" s="11"/>
      <c r="Y1160" s="11"/>
      <c r="Z1160" s="11"/>
      <c r="AA1160" s="11"/>
      <c r="AB1160" s="11"/>
      <c r="AC1160" s="11"/>
    </row>
    <row r="1161" spans="1:29" x14ac:dyDescent="0.3">
      <c r="A1161" s="11"/>
      <c r="B1161" s="11"/>
      <c r="C1161" s="11"/>
      <c r="D1161" s="11"/>
      <c r="E1161" s="11"/>
      <c r="F1161" s="11"/>
      <c r="G1161" s="11"/>
      <c r="H1161" s="11"/>
      <c r="I1161" s="11"/>
      <c r="J1161" s="11"/>
      <c r="K1161" s="11"/>
      <c r="L1161" s="11"/>
      <c r="M1161" s="11"/>
      <c r="N1161" s="11"/>
      <c r="O1161" s="11"/>
      <c r="P1161" s="11"/>
      <c r="Q1161" s="11"/>
      <c r="R1161" s="11"/>
      <c r="S1161" s="11"/>
      <c r="T1161" s="11"/>
      <c r="U1161" s="11"/>
      <c r="V1161" s="11"/>
      <c r="W1161" s="11"/>
      <c r="X1161" s="11"/>
      <c r="Y1161" s="11"/>
      <c r="Z1161" s="11"/>
      <c r="AA1161" s="11"/>
      <c r="AB1161" s="11"/>
      <c r="AC1161" s="11"/>
    </row>
    <row r="1162" spans="1:29" x14ac:dyDescent="0.3">
      <c r="A1162" s="11"/>
      <c r="B1162" s="11"/>
      <c r="C1162" s="11"/>
      <c r="D1162" s="11"/>
      <c r="E1162" s="11"/>
      <c r="F1162" s="11"/>
      <c r="G1162" s="11"/>
      <c r="H1162" s="11"/>
      <c r="I1162" s="11"/>
      <c r="J1162" s="11"/>
      <c r="K1162" s="11"/>
      <c r="L1162" s="11"/>
      <c r="M1162" s="11"/>
      <c r="N1162" s="11"/>
      <c r="O1162" s="11"/>
      <c r="P1162" s="11"/>
      <c r="Q1162" s="11"/>
      <c r="R1162" s="11"/>
      <c r="S1162" s="11"/>
      <c r="T1162" s="11"/>
      <c r="U1162" s="11"/>
      <c r="V1162" s="11"/>
      <c r="W1162" s="11"/>
      <c r="X1162" s="11"/>
      <c r="Y1162" s="11"/>
      <c r="Z1162" s="11"/>
      <c r="AA1162" s="11"/>
      <c r="AB1162" s="11"/>
      <c r="AC1162" s="11"/>
    </row>
    <row r="1163" spans="1:29" x14ac:dyDescent="0.3">
      <c r="A1163" s="11"/>
      <c r="B1163" s="11"/>
      <c r="C1163" s="11"/>
      <c r="D1163" s="11"/>
      <c r="E1163" s="11"/>
      <c r="F1163" s="11"/>
      <c r="G1163" s="11"/>
      <c r="H1163" s="11"/>
      <c r="I1163" s="11"/>
      <c r="J1163" s="11"/>
      <c r="K1163" s="11"/>
      <c r="L1163" s="11"/>
      <c r="M1163" s="11"/>
      <c r="N1163" s="11"/>
      <c r="O1163" s="11"/>
      <c r="P1163" s="11"/>
      <c r="Q1163" s="11"/>
      <c r="R1163" s="11"/>
      <c r="S1163" s="11"/>
      <c r="T1163" s="11"/>
      <c r="U1163" s="11"/>
      <c r="V1163" s="11"/>
      <c r="W1163" s="11"/>
      <c r="X1163" s="11"/>
      <c r="Y1163" s="11"/>
      <c r="Z1163" s="11"/>
      <c r="AA1163" s="11"/>
      <c r="AB1163" s="11"/>
      <c r="AC1163" s="11"/>
    </row>
    <row r="1164" spans="1:29" x14ac:dyDescent="0.3">
      <c r="A1164" s="11"/>
      <c r="B1164" s="11"/>
      <c r="C1164" s="11"/>
      <c r="D1164" s="11"/>
      <c r="E1164" s="11"/>
      <c r="F1164" s="11"/>
      <c r="G1164" s="11"/>
      <c r="H1164" s="11"/>
      <c r="I1164" s="11"/>
      <c r="J1164" s="11"/>
      <c r="K1164" s="11"/>
      <c r="L1164" s="11"/>
      <c r="M1164" s="11"/>
      <c r="N1164" s="11"/>
      <c r="O1164" s="11"/>
      <c r="P1164" s="11"/>
      <c r="Q1164" s="11"/>
      <c r="R1164" s="11"/>
      <c r="S1164" s="11"/>
      <c r="T1164" s="11"/>
      <c r="U1164" s="11"/>
      <c r="V1164" s="11"/>
      <c r="W1164" s="11"/>
      <c r="X1164" s="11"/>
      <c r="Y1164" s="11"/>
      <c r="Z1164" s="11"/>
      <c r="AA1164" s="11"/>
      <c r="AB1164" s="11"/>
      <c r="AC1164" s="11"/>
    </row>
    <row r="1165" spans="1:29" x14ac:dyDescent="0.3">
      <c r="A1165" s="11"/>
      <c r="B1165" s="11"/>
      <c r="C1165" s="11"/>
      <c r="D1165" s="11"/>
      <c r="E1165" s="11"/>
      <c r="F1165" s="11"/>
      <c r="G1165" s="11"/>
      <c r="H1165" s="11"/>
      <c r="I1165" s="11"/>
      <c r="J1165" s="11"/>
      <c r="K1165" s="11"/>
      <c r="L1165" s="11"/>
      <c r="M1165" s="11"/>
      <c r="N1165" s="11"/>
      <c r="O1165" s="11"/>
      <c r="P1165" s="11"/>
      <c r="Q1165" s="11"/>
      <c r="R1165" s="11"/>
      <c r="S1165" s="11"/>
      <c r="T1165" s="11"/>
      <c r="U1165" s="11"/>
      <c r="V1165" s="11"/>
      <c r="W1165" s="11"/>
      <c r="X1165" s="11"/>
      <c r="Y1165" s="11"/>
      <c r="Z1165" s="11"/>
      <c r="AA1165" s="11"/>
      <c r="AB1165" s="11"/>
      <c r="AC1165" s="11"/>
    </row>
    <row r="1166" spans="1:29" x14ac:dyDescent="0.3">
      <c r="A1166" s="11"/>
      <c r="B1166" s="11"/>
      <c r="C1166" s="11"/>
      <c r="D1166" s="11"/>
      <c r="E1166" s="11"/>
      <c r="F1166" s="11"/>
      <c r="G1166" s="11"/>
      <c r="H1166" s="11"/>
      <c r="I1166" s="11"/>
      <c r="J1166" s="11"/>
      <c r="K1166" s="11"/>
      <c r="L1166" s="11"/>
      <c r="M1166" s="11"/>
      <c r="N1166" s="11"/>
      <c r="O1166" s="11"/>
      <c r="P1166" s="11"/>
      <c r="Q1166" s="11"/>
      <c r="R1166" s="11"/>
      <c r="S1166" s="11"/>
      <c r="T1166" s="11"/>
      <c r="U1166" s="11"/>
      <c r="V1166" s="11"/>
      <c r="W1166" s="11"/>
      <c r="X1166" s="11"/>
      <c r="Y1166" s="11"/>
      <c r="Z1166" s="11"/>
      <c r="AA1166" s="11"/>
      <c r="AB1166" s="11"/>
      <c r="AC1166" s="11"/>
    </row>
    <row r="1167" spans="1:29" x14ac:dyDescent="0.3">
      <c r="A1167" s="11"/>
      <c r="B1167" s="11"/>
      <c r="C1167" s="11"/>
      <c r="D1167" s="11"/>
      <c r="E1167" s="11"/>
      <c r="F1167" s="11"/>
      <c r="G1167" s="11"/>
      <c r="H1167" s="11"/>
      <c r="I1167" s="11"/>
      <c r="J1167" s="11"/>
      <c r="K1167" s="11"/>
      <c r="L1167" s="11"/>
      <c r="M1167" s="11"/>
      <c r="N1167" s="11"/>
      <c r="O1167" s="11"/>
      <c r="P1167" s="11"/>
      <c r="Q1167" s="11"/>
      <c r="R1167" s="11"/>
      <c r="S1167" s="11"/>
      <c r="T1167" s="11"/>
      <c r="U1167" s="11"/>
      <c r="V1167" s="11"/>
      <c r="W1167" s="11"/>
      <c r="X1167" s="11"/>
      <c r="Y1167" s="11"/>
      <c r="Z1167" s="11"/>
      <c r="AA1167" s="11"/>
      <c r="AB1167" s="11"/>
      <c r="AC1167" s="11"/>
    </row>
    <row r="1168" spans="1:29" x14ac:dyDescent="0.3">
      <c r="A1168" s="11"/>
      <c r="B1168" s="11"/>
      <c r="C1168" s="11"/>
      <c r="D1168" s="11"/>
      <c r="E1168" s="11"/>
      <c r="F1168" s="11"/>
      <c r="G1168" s="11"/>
      <c r="H1168" s="11"/>
      <c r="I1168" s="11"/>
      <c r="J1168" s="11"/>
      <c r="K1168" s="11"/>
      <c r="L1168" s="11"/>
      <c r="M1168" s="11"/>
      <c r="N1168" s="11"/>
      <c r="O1168" s="11"/>
      <c r="P1168" s="11"/>
      <c r="Q1168" s="11"/>
      <c r="R1168" s="11"/>
      <c r="S1168" s="11"/>
      <c r="T1168" s="11"/>
      <c r="U1168" s="11"/>
      <c r="V1168" s="11"/>
      <c r="W1168" s="11"/>
      <c r="X1168" s="11"/>
      <c r="Y1168" s="11"/>
      <c r="Z1168" s="11"/>
      <c r="AA1168" s="11"/>
      <c r="AB1168" s="11"/>
      <c r="AC1168" s="11"/>
    </row>
    <row r="1169" spans="1:29" x14ac:dyDescent="0.3">
      <c r="A1169" s="11"/>
      <c r="B1169" s="11"/>
      <c r="C1169" s="11"/>
      <c r="D1169" s="11"/>
      <c r="E1169" s="11"/>
      <c r="F1169" s="11"/>
      <c r="G1169" s="11"/>
      <c r="H1169" s="11"/>
      <c r="I1169" s="11"/>
      <c r="J1169" s="11"/>
      <c r="K1169" s="11"/>
      <c r="L1169" s="11"/>
      <c r="M1169" s="11"/>
      <c r="N1169" s="11"/>
      <c r="O1169" s="11"/>
      <c r="P1169" s="11"/>
      <c r="Q1169" s="11"/>
      <c r="R1169" s="11"/>
      <c r="S1169" s="11"/>
      <c r="T1169" s="11"/>
      <c r="U1169" s="11"/>
      <c r="V1169" s="11"/>
      <c r="W1169" s="11"/>
      <c r="X1169" s="11"/>
      <c r="Y1169" s="11"/>
      <c r="Z1169" s="11"/>
      <c r="AA1169" s="11"/>
      <c r="AB1169" s="11"/>
      <c r="AC1169" s="11"/>
    </row>
    <row r="1170" spans="1:29" x14ac:dyDescent="0.3">
      <c r="A1170" s="11"/>
      <c r="B1170" s="11"/>
      <c r="C1170" s="11"/>
      <c r="D1170" s="11"/>
      <c r="E1170" s="11"/>
      <c r="F1170" s="11"/>
      <c r="G1170" s="11"/>
      <c r="H1170" s="11"/>
      <c r="I1170" s="11"/>
      <c r="J1170" s="11"/>
      <c r="K1170" s="11"/>
      <c r="L1170" s="11"/>
      <c r="M1170" s="11"/>
      <c r="N1170" s="11"/>
      <c r="O1170" s="11"/>
      <c r="P1170" s="11"/>
      <c r="Q1170" s="11"/>
      <c r="R1170" s="11"/>
      <c r="S1170" s="11"/>
      <c r="T1170" s="11"/>
      <c r="U1170" s="11"/>
      <c r="V1170" s="11"/>
      <c r="W1170" s="11"/>
      <c r="X1170" s="11"/>
      <c r="Y1170" s="11"/>
      <c r="Z1170" s="11"/>
      <c r="AA1170" s="11"/>
      <c r="AB1170" s="11"/>
      <c r="AC1170" s="11"/>
    </row>
    <row r="1171" spans="1:29" x14ac:dyDescent="0.3">
      <c r="A1171" s="11"/>
      <c r="B1171" s="11"/>
      <c r="C1171" s="11"/>
      <c r="D1171" s="11"/>
      <c r="E1171" s="11"/>
      <c r="F1171" s="11"/>
      <c r="G1171" s="11"/>
      <c r="H1171" s="11"/>
      <c r="I1171" s="11"/>
      <c r="J1171" s="11"/>
      <c r="K1171" s="11"/>
      <c r="L1171" s="11"/>
      <c r="M1171" s="11"/>
      <c r="N1171" s="11"/>
      <c r="O1171" s="11"/>
      <c r="P1171" s="11"/>
      <c r="Q1171" s="11"/>
      <c r="R1171" s="11"/>
      <c r="S1171" s="11"/>
      <c r="T1171" s="11"/>
      <c r="U1171" s="11"/>
      <c r="V1171" s="11"/>
      <c r="W1171" s="11"/>
      <c r="X1171" s="11"/>
      <c r="Y1171" s="11"/>
      <c r="Z1171" s="11"/>
      <c r="AA1171" s="11"/>
      <c r="AB1171" s="11"/>
      <c r="AC1171" s="11"/>
    </row>
    <row r="1172" spans="1:29" x14ac:dyDescent="0.3">
      <c r="A1172" s="11"/>
      <c r="B1172" s="11"/>
      <c r="C1172" s="11"/>
      <c r="D1172" s="11"/>
      <c r="E1172" s="11"/>
      <c r="F1172" s="11"/>
      <c r="G1172" s="11"/>
      <c r="H1172" s="11"/>
      <c r="I1172" s="11"/>
      <c r="J1172" s="11"/>
      <c r="K1172" s="11"/>
      <c r="L1172" s="11"/>
      <c r="M1172" s="11"/>
      <c r="N1172" s="11"/>
      <c r="O1172" s="11"/>
      <c r="P1172" s="11"/>
      <c r="Q1172" s="11"/>
      <c r="R1172" s="11"/>
      <c r="S1172" s="11"/>
      <c r="T1172" s="11"/>
      <c r="U1172" s="11"/>
      <c r="V1172" s="11"/>
      <c r="W1172" s="11"/>
      <c r="X1172" s="11"/>
      <c r="Y1172" s="11"/>
      <c r="Z1172" s="11"/>
      <c r="AA1172" s="11"/>
      <c r="AB1172" s="11"/>
      <c r="AC1172" s="11"/>
    </row>
    <row r="1173" spans="1:29" x14ac:dyDescent="0.3">
      <c r="A1173" s="11"/>
      <c r="B1173" s="11"/>
      <c r="C1173" s="11"/>
      <c r="D1173" s="11"/>
      <c r="E1173" s="11"/>
      <c r="F1173" s="11"/>
      <c r="G1173" s="11"/>
      <c r="H1173" s="11"/>
      <c r="I1173" s="11"/>
      <c r="J1173" s="11"/>
      <c r="K1173" s="11"/>
      <c r="L1173" s="11"/>
      <c r="M1173" s="11"/>
      <c r="N1173" s="11"/>
      <c r="O1173" s="11"/>
      <c r="P1173" s="11"/>
      <c r="Q1173" s="11"/>
      <c r="R1173" s="11"/>
      <c r="S1173" s="11"/>
      <c r="T1173" s="11"/>
      <c r="U1173" s="11"/>
      <c r="V1173" s="11"/>
      <c r="W1173" s="11"/>
      <c r="X1173" s="11"/>
      <c r="Y1173" s="11"/>
      <c r="Z1173" s="11"/>
      <c r="AA1173" s="11"/>
      <c r="AB1173" s="11"/>
      <c r="AC1173" s="11"/>
    </row>
    <row r="1174" spans="1:29" x14ac:dyDescent="0.3">
      <c r="A1174" s="11"/>
      <c r="B1174" s="11"/>
      <c r="C1174" s="11"/>
      <c r="D1174" s="11"/>
      <c r="E1174" s="11"/>
      <c r="F1174" s="11"/>
      <c r="G1174" s="11"/>
      <c r="H1174" s="11"/>
      <c r="I1174" s="11"/>
      <c r="J1174" s="11"/>
      <c r="K1174" s="11"/>
      <c r="L1174" s="11"/>
      <c r="M1174" s="11"/>
      <c r="N1174" s="11"/>
      <c r="O1174" s="11"/>
      <c r="P1174" s="11"/>
      <c r="Q1174" s="11"/>
      <c r="R1174" s="11"/>
      <c r="S1174" s="11"/>
      <c r="T1174" s="11"/>
      <c r="U1174" s="11"/>
      <c r="V1174" s="11"/>
      <c r="W1174" s="11"/>
      <c r="X1174" s="11"/>
      <c r="Y1174" s="11"/>
      <c r="Z1174" s="11"/>
      <c r="AA1174" s="11"/>
      <c r="AB1174" s="11"/>
      <c r="AC1174" s="11"/>
    </row>
    <row r="1175" spans="1:29" x14ac:dyDescent="0.3">
      <c r="A1175" s="11"/>
      <c r="B1175" s="11"/>
      <c r="C1175" s="11"/>
      <c r="D1175" s="11"/>
      <c r="E1175" s="11"/>
      <c r="F1175" s="11"/>
      <c r="G1175" s="11"/>
      <c r="H1175" s="11"/>
      <c r="I1175" s="11"/>
      <c r="J1175" s="11"/>
      <c r="K1175" s="11"/>
      <c r="L1175" s="11"/>
      <c r="M1175" s="11"/>
      <c r="N1175" s="11"/>
      <c r="O1175" s="11"/>
      <c r="P1175" s="11"/>
      <c r="Q1175" s="11"/>
      <c r="R1175" s="11"/>
      <c r="S1175" s="11"/>
      <c r="T1175" s="11"/>
      <c r="U1175" s="11"/>
      <c r="V1175" s="11"/>
      <c r="W1175" s="11"/>
      <c r="X1175" s="11"/>
      <c r="Y1175" s="11"/>
      <c r="Z1175" s="11"/>
      <c r="AA1175" s="11"/>
      <c r="AB1175" s="11"/>
      <c r="AC1175" s="11"/>
    </row>
    <row r="1176" spans="1:29" x14ac:dyDescent="0.3">
      <c r="A1176" s="11"/>
      <c r="B1176" s="11"/>
      <c r="C1176" s="11"/>
      <c r="D1176" s="11"/>
      <c r="E1176" s="11"/>
      <c r="F1176" s="11"/>
      <c r="G1176" s="11"/>
      <c r="H1176" s="11"/>
      <c r="I1176" s="11"/>
      <c r="J1176" s="11"/>
      <c r="K1176" s="11"/>
      <c r="L1176" s="11"/>
      <c r="M1176" s="11"/>
      <c r="N1176" s="11"/>
      <c r="O1176" s="11"/>
      <c r="P1176" s="11"/>
      <c r="Q1176" s="11"/>
      <c r="R1176" s="11"/>
      <c r="S1176" s="11"/>
      <c r="T1176" s="11"/>
      <c r="U1176" s="11"/>
      <c r="V1176" s="11"/>
      <c r="W1176" s="11"/>
      <c r="X1176" s="11"/>
      <c r="Y1176" s="11"/>
      <c r="Z1176" s="11"/>
      <c r="AA1176" s="11"/>
      <c r="AB1176" s="11"/>
      <c r="AC1176" s="11"/>
    </row>
    <row r="1177" spans="1:29" x14ac:dyDescent="0.3">
      <c r="A1177" s="11"/>
      <c r="B1177" s="11"/>
      <c r="C1177" s="11"/>
      <c r="D1177" s="11"/>
      <c r="E1177" s="11"/>
      <c r="F1177" s="11"/>
      <c r="G1177" s="11"/>
      <c r="H1177" s="11"/>
      <c r="I1177" s="11"/>
      <c r="J1177" s="11"/>
      <c r="K1177" s="11"/>
      <c r="L1177" s="11"/>
      <c r="M1177" s="11"/>
      <c r="N1177" s="11"/>
      <c r="O1177" s="11"/>
      <c r="P1177" s="11"/>
      <c r="Q1177" s="11"/>
      <c r="R1177" s="11"/>
      <c r="S1177" s="11"/>
      <c r="T1177" s="11"/>
      <c r="U1177" s="11"/>
      <c r="V1177" s="11"/>
      <c r="W1177" s="11"/>
      <c r="X1177" s="11"/>
      <c r="Y1177" s="11"/>
      <c r="Z1177" s="11"/>
      <c r="AA1177" s="11"/>
      <c r="AB1177" s="11"/>
      <c r="AC1177" s="11"/>
    </row>
    <row r="1178" spans="1:29" x14ac:dyDescent="0.3">
      <c r="A1178" s="11"/>
      <c r="B1178" s="11"/>
      <c r="C1178" s="11"/>
      <c r="D1178" s="11"/>
      <c r="E1178" s="11"/>
      <c r="F1178" s="11"/>
      <c r="G1178" s="11"/>
      <c r="H1178" s="11"/>
      <c r="I1178" s="11"/>
      <c r="J1178" s="11"/>
      <c r="K1178" s="11"/>
      <c r="L1178" s="11"/>
      <c r="M1178" s="11"/>
      <c r="N1178" s="11"/>
      <c r="O1178" s="11"/>
      <c r="P1178" s="11"/>
      <c r="Q1178" s="11"/>
      <c r="R1178" s="11"/>
      <c r="S1178" s="11"/>
      <c r="T1178" s="11"/>
      <c r="U1178" s="11"/>
      <c r="V1178" s="11"/>
      <c r="W1178" s="11"/>
      <c r="X1178" s="11"/>
      <c r="Y1178" s="11"/>
      <c r="Z1178" s="11"/>
      <c r="AA1178" s="11"/>
      <c r="AB1178" s="11"/>
      <c r="AC1178" s="11"/>
    </row>
    <row r="1179" spans="1:29" x14ac:dyDescent="0.3">
      <c r="A1179" s="11"/>
      <c r="B1179" s="11"/>
      <c r="C1179" s="11"/>
      <c r="D1179" s="11"/>
      <c r="E1179" s="11"/>
      <c r="F1179" s="11"/>
      <c r="G1179" s="11"/>
      <c r="H1179" s="11"/>
      <c r="I1179" s="11"/>
      <c r="J1179" s="11"/>
      <c r="K1179" s="11"/>
      <c r="L1179" s="11"/>
      <c r="M1179" s="11"/>
      <c r="N1179" s="11"/>
      <c r="O1179" s="11"/>
      <c r="P1179" s="11"/>
      <c r="Q1179" s="11"/>
      <c r="R1179" s="11"/>
      <c r="S1179" s="11"/>
      <c r="T1179" s="11"/>
      <c r="U1179" s="11"/>
      <c r="V1179" s="11"/>
      <c r="W1179" s="11"/>
      <c r="X1179" s="11"/>
      <c r="Y1179" s="11"/>
      <c r="Z1179" s="11"/>
      <c r="AA1179" s="11"/>
      <c r="AB1179" s="11"/>
      <c r="AC1179" s="11"/>
    </row>
    <row r="1180" spans="1:29" x14ac:dyDescent="0.3">
      <c r="A1180" s="11"/>
      <c r="B1180" s="11"/>
      <c r="C1180" s="11"/>
      <c r="D1180" s="11"/>
      <c r="E1180" s="11"/>
      <c r="F1180" s="11"/>
      <c r="G1180" s="11"/>
      <c r="H1180" s="11"/>
      <c r="I1180" s="11"/>
      <c r="J1180" s="11"/>
      <c r="K1180" s="11"/>
      <c r="L1180" s="11"/>
      <c r="M1180" s="11"/>
      <c r="N1180" s="11"/>
      <c r="O1180" s="11"/>
      <c r="P1180" s="11"/>
      <c r="Q1180" s="11"/>
      <c r="R1180" s="11"/>
      <c r="S1180" s="11"/>
      <c r="T1180" s="11"/>
      <c r="U1180" s="11"/>
      <c r="V1180" s="11"/>
      <c r="W1180" s="11"/>
      <c r="X1180" s="11"/>
      <c r="Y1180" s="11"/>
      <c r="Z1180" s="11"/>
      <c r="AA1180" s="11"/>
      <c r="AB1180" s="11"/>
      <c r="AC1180" s="11"/>
    </row>
    <row r="1181" spans="1:29" x14ac:dyDescent="0.3">
      <c r="A1181" s="11"/>
      <c r="B1181" s="11"/>
      <c r="C1181" s="11"/>
      <c r="D1181" s="11"/>
      <c r="E1181" s="11"/>
      <c r="F1181" s="11"/>
      <c r="G1181" s="11"/>
      <c r="H1181" s="11"/>
      <c r="I1181" s="11"/>
      <c r="J1181" s="11"/>
      <c r="K1181" s="11"/>
      <c r="L1181" s="11"/>
      <c r="M1181" s="11"/>
      <c r="N1181" s="11"/>
      <c r="O1181" s="11"/>
      <c r="P1181" s="11"/>
      <c r="Q1181" s="11"/>
      <c r="R1181" s="11"/>
      <c r="S1181" s="11"/>
      <c r="T1181" s="11"/>
      <c r="U1181" s="11"/>
      <c r="V1181" s="11"/>
      <c r="W1181" s="11"/>
      <c r="X1181" s="11"/>
      <c r="Y1181" s="11"/>
      <c r="Z1181" s="11"/>
      <c r="AA1181" s="11"/>
      <c r="AB1181" s="11"/>
      <c r="AC1181" s="11"/>
    </row>
    <row r="1182" spans="1:29" x14ac:dyDescent="0.3">
      <c r="A1182" s="11"/>
      <c r="B1182" s="11"/>
      <c r="C1182" s="11"/>
      <c r="D1182" s="11"/>
      <c r="E1182" s="11"/>
      <c r="F1182" s="11"/>
      <c r="G1182" s="11"/>
      <c r="H1182" s="11"/>
      <c r="I1182" s="11"/>
      <c r="J1182" s="11"/>
      <c r="K1182" s="11"/>
      <c r="L1182" s="11"/>
      <c r="M1182" s="11"/>
      <c r="N1182" s="11"/>
      <c r="O1182" s="11"/>
      <c r="P1182" s="11"/>
      <c r="Q1182" s="11"/>
      <c r="R1182" s="11"/>
      <c r="S1182" s="11"/>
      <c r="T1182" s="11"/>
      <c r="U1182" s="11"/>
      <c r="V1182" s="11"/>
      <c r="W1182" s="11"/>
      <c r="X1182" s="11"/>
      <c r="Y1182" s="11"/>
      <c r="Z1182" s="11"/>
      <c r="AA1182" s="11"/>
      <c r="AB1182" s="11"/>
      <c r="AC1182" s="11"/>
    </row>
    <row r="1183" spans="1:29" x14ac:dyDescent="0.3">
      <c r="A1183" s="11"/>
      <c r="B1183" s="11"/>
      <c r="C1183" s="11"/>
      <c r="D1183" s="11"/>
      <c r="E1183" s="11"/>
      <c r="F1183" s="11"/>
      <c r="G1183" s="11"/>
      <c r="H1183" s="11"/>
      <c r="I1183" s="11"/>
      <c r="J1183" s="11"/>
      <c r="K1183" s="11"/>
      <c r="L1183" s="11"/>
      <c r="M1183" s="11"/>
      <c r="N1183" s="11"/>
      <c r="O1183" s="11"/>
      <c r="P1183" s="11"/>
      <c r="Q1183" s="11"/>
      <c r="R1183" s="11"/>
      <c r="S1183" s="11"/>
      <c r="T1183" s="11"/>
      <c r="U1183" s="11"/>
      <c r="V1183" s="11"/>
      <c r="W1183" s="11"/>
      <c r="X1183" s="11"/>
      <c r="Y1183" s="11"/>
      <c r="Z1183" s="11"/>
      <c r="AA1183" s="11"/>
      <c r="AB1183" s="11"/>
      <c r="AC1183" s="11"/>
    </row>
    <row r="1184" spans="1:29" x14ac:dyDescent="0.3">
      <c r="A1184" s="11"/>
      <c r="B1184" s="11"/>
      <c r="C1184" s="11"/>
      <c r="D1184" s="11"/>
      <c r="E1184" s="11"/>
      <c r="F1184" s="11"/>
      <c r="G1184" s="11"/>
      <c r="H1184" s="11"/>
      <c r="I1184" s="11"/>
      <c r="J1184" s="11"/>
      <c r="K1184" s="11"/>
      <c r="L1184" s="11"/>
      <c r="M1184" s="11"/>
      <c r="N1184" s="11"/>
      <c r="O1184" s="11"/>
      <c r="P1184" s="11"/>
      <c r="Q1184" s="11"/>
      <c r="R1184" s="11"/>
      <c r="S1184" s="11"/>
      <c r="T1184" s="11"/>
      <c r="U1184" s="11"/>
      <c r="V1184" s="11"/>
      <c r="W1184" s="11"/>
      <c r="X1184" s="11"/>
      <c r="Y1184" s="11"/>
      <c r="Z1184" s="11"/>
      <c r="AA1184" s="11"/>
      <c r="AB1184" s="11"/>
      <c r="AC1184" s="11"/>
    </row>
    <row r="1185" spans="1:29" x14ac:dyDescent="0.3">
      <c r="A1185" s="11"/>
      <c r="B1185" s="11"/>
      <c r="C1185" s="11"/>
      <c r="D1185" s="11"/>
      <c r="E1185" s="11"/>
      <c r="F1185" s="11"/>
      <c r="G1185" s="11"/>
      <c r="H1185" s="11"/>
      <c r="I1185" s="11"/>
      <c r="J1185" s="11"/>
      <c r="K1185" s="11"/>
      <c r="L1185" s="11"/>
      <c r="M1185" s="11"/>
      <c r="N1185" s="11"/>
      <c r="O1185" s="11"/>
      <c r="P1185" s="11"/>
      <c r="Q1185" s="11"/>
      <c r="R1185" s="11"/>
      <c r="S1185" s="11"/>
      <c r="T1185" s="11"/>
      <c r="U1185" s="11"/>
      <c r="V1185" s="11"/>
      <c r="W1185" s="11"/>
      <c r="X1185" s="11"/>
      <c r="Y1185" s="11"/>
      <c r="Z1185" s="11"/>
      <c r="AA1185" s="11"/>
      <c r="AB1185" s="11"/>
      <c r="AC1185" s="11"/>
    </row>
    <row r="1186" spans="1:29" x14ac:dyDescent="0.3">
      <c r="A1186" s="11"/>
      <c r="B1186" s="11"/>
      <c r="C1186" s="11"/>
      <c r="D1186" s="11"/>
      <c r="E1186" s="11"/>
      <c r="F1186" s="11"/>
      <c r="G1186" s="11"/>
      <c r="H1186" s="11"/>
      <c r="I1186" s="11"/>
      <c r="J1186" s="11"/>
      <c r="K1186" s="11"/>
      <c r="L1186" s="11"/>
      <c r="M1186" s="11"/>
      <c r="N1186" s="11"/>
      <c r="O1186" s="11"/>
      <c r="P1186" s="11"/>
      <c r="Q1186" s="11"/>
      <c r="R1186" s="11"/>
      <c r="S1186" s="11"/>
      <c r="T1186" s="11"/>
      <c r="U1186" s="11"/>
      <c r="V1186" s="11"/>
      <c r="W1186" s="11"/>
      <c r="X1186" s="11"/>
      <c r="Y1186" s="11"/>
      <c r="Z1186" s="11"/>
      <c r="AA1186" s="11"/>
      <c r="AB1186" s="11"/>
      <c r="AC1186" s="11"/>
    </row>
    <row r="1187" spans="1:29" x14ac:dyDescent="0.3">
      <c r="A1187" s="11"/>
      <c r="B1187" s="11"/>
      <c r="C1187" s="11"/>
      <c r="D1187" s="11"/>
      <c r="E1187" s="11"/>
      <c r="F1187" s="11"/>
      <c r="G1187" s="11"/>
      <c r="H1187" s="11"/>
      <c r="I1187" s="11"/>
      <c r="J1187" s="11"/>
      <c r="K1187" s="11"/>
      <c r="L1187" s="11"/>
      <c r="M1187" s="11"/>
      <c r="N1187" s="11"/>
      <c r="O1187" s="11"/>
      <c r="P1187" s="11"/>
      <c r="Q1187" s="11"/>
      <c r="R1187" s="11"/>
      <c r="S1187" s="11"/>
      <c r="T1187" s="11"/>
      <c r="U1187" s="11"/>
      <c r="V1187" s="11"/>
      <c r="W1187" s="11"/>
      <c r="X1187" s="11"/>
      <c r="Y1187" s="11"/>
      <c r="Z1187" s="11"/>
      <c r="AA1187" s="11"/>
      <c r="AB1187" s="11"/>
      <c r="AC1187" s="11"/>
    </row>
    <row r="1188" spans="1:29" x14ac:dyDescent="0.3">
      <c r="A1188" s="11"/>
      <c r="B1188" s="11"/>
      <c r="C1188" s="11"/>
      <c r="D1188" s="11"/>
      <c r="E1188" s="11"/>
      <c r="F1188" s="11"/>
      <c r="G1188" s="11"/>
      <c r="H1188" s="11"/>
      <c r="I1188" s="11"/>
      <c r="J1188" s="11"/>
      <c r="K1188" s="11"/>
      <c r="L1188" s="11"/>
      <c r="M1188" s="11"/>
      <c r="N1188" s="11"/>
      <c r="O1188" s="11"/>
      <c r="P1188" s="11"/>
      <c r="Q1188" s="11"/>
      <c r="R1188" s="11"/>
      <c r="S1188" s="11"/>
      <c r="T1188" s="11"/>
      <c r="U1188" s="11"/>
      <c r="V1188" s="11"/>
      <c r="W1188" s="11"/>
      <c r="X1188" s="11"/>
      <c r="Y1188" s="11"/>
      <c r="Z1188" s="11"/>
      <c r="AA1188" s="11"/>
      <c r="AB1188" s="11"/>
      <c r="AC1188" s="11"/>
    </row>
    <row r="1189" spans="1:29" x14ac:dyDescent="0.3">
      <c r="A1189" s="11"/>
      <c r="B1189" s="11"/>
      <c r="C1189" s="11"/>
      <c r="D1189" s="11"/>
      <c r="E1189" s="11"/>
      <c r="F1189" s="11"/>
      <c r="G1189" s="11"/>
      <c r="H1189" s="11"/>
      <c r="I1189" s="11"/>
      <c r="J1189" s="11"/>
      <c r="K1189" s="11"/>
      <c r="L1189" s="11"/>
      <c r="M1189" s="11"/>
      <c r="N1189" s="11"/>
      <c r="O1189" s="11"/>
      <c r="P1189" s="11"/>
      <c r="Q1189" s="11"/>
      <c r="R1189" s="11"/>
      <c r="S1189" s="11"/>
      <c r="T1189" s="11"/>
      <c r="U1189" s="11"/>
      <c r="V1189" s="11"/>
      <c r="W1189" s="11"/>
      <c r="X1189" s="11"/>
      <c r="Y1189" s="11"/>
      <c r="Z1189" s="11"/>
      <c r="AA1189" s="11"/>
      <c r="AB1189" s="11"/>
      <c r="AC1189" s="11"/>
    </row>
    <row r="1190" spans="1:29" x14ac:dyDescent="0.3">
      <c r="A1190" s="11"/>
      <c r="B1190" s="11"/>
      <c r="C1190" s="11"/>
      <c r="D1190" s="11"/>
      <c r="E1190" s="11"/>
      <c r="F1190" s="11"/>
      <c r="G1190" s="11"/>
      <c r="H1190" s="11"/>
      <c r="I1190" s="11"/>
      <c r="J1190" s="11"/>
      <c r="K1190" s="11"/>
      <c r="L1190" s="11"/>
      <c r="M1190" s="11"/>
      <c r="N1190" s="11"/>
      <c r="O1190" s="11"/>
      <c r="P1190" s="11"/>
      <c r="Q1190" s="11"/>
      <c r="R1190" s="11"/>
      <c r="S1190" s="11"/>
      <c r="T1190" s="11"/>
      <c r="U1190" s="11"/>
      <c r="V1190" s="11"/>
      <c r="W1190" s="11"/>
      <c r="X1190" s="11"/>
      <c r="Y1190" s="11"/>
      <c r="Z1190" s="11"/>
      <c r="AA1190" s="11"/>
      <c r="AB1190" s="11"/>
      <c r="AC1190" s="11"/>
    </row>
    <row r="1191" spans="1:29" x14ac:dyDescent="0.3">
      <c r="A1191" s="11"/>
      <c r="B1191" s="11"/>
      <c r="C1191" s="11"/>
      <c r="D1191" s="11"/>
      <c r="E1191" s="11"/>
      <c r="F1191" s="11"/>
      <c r="G1191" s="11"/>
      <c r="H1191" s="11"/>
      <c r="I1191" s="11"/>
      <c r="J1191" s="11"/>
      <c r="K1191" s="11"/>
      <c r="L1191" s="11"/>
      <c r="M1191" s="11"/>
      <c r="N1191" s="11"/>
      <c r="O1191" s="11"/>
      <c r="P1191" s="11"/>
      <c r="Q1191" s="11"/>
      <c r="R1191" s="11"/>
      <c r="S1191" s="11"/>
      <c r="T1191" s="11"/>
      <c r="U1191" s="11"/>
      <c r="V1191" s="11"/>
      <c r="W1191" s="11"/>
      <c r="X1191" s="11"/>
      <c r="Y1191" s="11"/>
      <c r="Z1191" s="11"/>
      <c r="AA1191" s="11"/>
      <c r="AB1191" s="11"/>
      <c r="AC1191" s="11"/>
    </row>
    <row r="1192" spans="1:29" x14ac:dyDescent="0.3">
      <c r="A1192" s="11"/>
      <c r="B1192" s="11"/>
      <c r="C1192" s="11"/>
      <c r="D1192" s="11"/>
      <c r="E1192" s="11"/>
      <c r="F1192" s="11"/>
      <c r="G1192" s="11"/>
      <c r="H1192" s="11"/>
      <c r="I1192" s="11"/>
      <c r="J1192" s="11"/>
      <c r="K1192" s="11"/>
      <c r="L1192" s="11"/>
      <c r="M1192" s="11"/>
      <c r="N1192" s="11"/>
      <c r="O1192" s="11"/>
      <c r="P1192" s="11"/>
      <c r="Q1192" s="11"/>
      <c r="R1192" s="11"/>
      <c r="S1192" s="11"/>
      <c r="T1192" s="11"/>
      <c r="U1192" s="11"/>
      <c r="V1192" s="11"/>
      <c r="W1192" s="11"/>
      <c r="X1192" s="11"/>
      <c r="Y1192" s="11"/>
      <c r="Z1192" s="11"/>
      <c r="AA1192" s="11"/>
      <c r="AB1192" s="11"/>
      <c r="AC1192" s="11"/>
    </row>
    <row r="1193" spans="1:29" x14ac:dyDescent="0.3">
      <c r="A1193" s="11"/>
      <c r="B1193" s="11"/>
      <c r="C1193" s="11"/>
      <c r="D1193" s="11"/>
      <c r="E1193" s="11"/>
      <c r="F1193" s="11"/>
      <c r="G1193" s="11"/>
      <c r="H1193" s="11"/>
      <c r="I1193" s="11"/>
      <c r="J1193" s="11"/>
      <c r="K1193" s="11"/>
      <c r="L1193" s="11"/>
      <c r="M1193" s="11"/>
      <c r="N1193" s="11"/>
      <c r="O1193" s="11"/>
      <c r="P1193" s="11"/>
      <c r="Q1193" s="11"/>
      <c r="R1193" s="11"/>
      <c r="S1193" s="11"/>
      <c r="T1193" s="11"/>
      <c r="U1193" s="11"/>
      <c r="V1193" s="11"/>
      <c r="W1193" s="11"/>
      <c r="X1193" s="11"/>
      <c r="Y1193" s="11"/>
      <c r="Z1193" s="11"/>
      <c r="AA1193" s="11"/>
      <c r="AB1193" s="11"/>
      <c r="AC1193" s="11"/>
    </row>
    <row r="1194" spans="1:29" x14ac:dyDescent="0.3">
      <c r="A1194" s="11"/>
      <c r="B1194" s="11"/>
      <c r="C1194" s="11"/>
      <c r="D1194" s="11"/>
      <c r="E1194" s="11"/>
      <c r="F1194" s="11"/>
      <c r="G1194" s="11"/>
      <c r="H1194" s="11"/>
      <c r="I1194" s="11"/>
      <c r="J1194" s="11"/>
      <c r="K1194" s="11"/>
      <c r="L1194" s="11"/>
      <c r="M1194" s="11"/>
      <c r="N1194" s="11"/>
      <c r="O1194" s="11"/>
      <c r="P1194" s="11"/>
      <c r="Q1194" s="11"/>
      <c r="R1194" s="11"/>
      <c r="S1194" s="11"/>
      <c r="T1194" s="11"/>
      <c r="U1194" s="11"/>
      <c r="V1194" s="11"/>
      <c r="W1194" s="11"/>
      <c r="X1194" s="11"/>
      <c r="Y1194" s="11"/>
      <c r="Z1194" s="11"/>
      <c r="AA1194" s="11"/>
      <c r="AB1194" s="11"/>
      <c r="AC1194" s="11"/>
    </row>
    <row r="1195" spans="1:29" x14ac:dyDescent="0.3">
      <c r="A1195" s="11"/>
      <c r="B1195" s="11"/>
      <c r="C1195" s="11"/>
      <c r="D1195" s="11"/>
      <c r="E1195" s="11"/>
      <c r="F1195" s="11"/>
      <c r="G1195" s="11"/>
      <c r="H1195" s="11"/>
      <c r="I1195" s="11"/>
      <c r="J1195" s="11"/>
      <c r="K1195" s="11"/>
      <c r="L1195" s="11"/>
      <c r="M1195" s="11"/>
      <c r="N1195" s="11"/>
      <c r="O1195" s="11"/>
      <c r="P1195" s="11"/>
      <c r="Q1195" s="11"/>
      <c r="R1195" s="11"/>
      <c r="S1195" s="11"/>
      <c r="T1195" s="11"/>
      <c r="U1195" s="11"/>
      <c r="V1195" s="11"/>
      <c r="W1195" s="11"/>
      <c r="X1195" s="11"/>
      <c r="Y1195" s="11"/>
      <c r="Z1195" s="11"/>
      <c r="AA1195" s="11"/>
      <c r="AB1195" s="11"/>
      <c r="AC1195" s="11"/>
    </row>
    <row r="1196" spans="1:29" x14ac:dyDescent="0.3">
      <c r="A1196" s="11"/>
      <c r="B1196" s="11"/>
      <c r="C1196" s="11"/>
      <c r="D1196" s="11"/>
      <c r="E1196" s="11"/>
      <c r="F1196" s="11"/>
      <c r="G1196" s="11"/>
      <c r="H1196" s="11"/>
      <c r="I1196" s="11"/>
      <c r="J1196" s="11"/>
      <c r="K1196" s="11"/>
      <c r="L1196" s="11"/>
      <c r="M1196" s="11"/>
      <c r="N1196" s="11"/>
      <c r="O1196" s="11"/>
      <c r="P1196" s="11"/>
      <c r="Q1196" s="11"/>
      <c r="R1196" s="11"/>
      <c r="S1196" s="11"/>
      <c r="T1196" s="11"/>
      <c r="U1196" s="11"/>
      <c r="V1196" s="11"/>
      <c r="W1196" s="11"/>
      <c r="X1196" s="11"/>
      <c r="Y1196" s="11"/>
      <c r="Z1196" s="11"/>
      <c r="AA1196" s="11"/>
      <c r="AB1196" s="11"/>
      <c r="AC1196" s="11"/>
    </row>
    <row r="1197" spans="1:29" x14ac:dyDescent="0.3">
      <c r="A1197" s="11"/>
      <c r="B1197" s="11"/>
      <c r="C1197" s="11"/>
      <c r="D1197" s="11"/>
      <c r="E1197" s="11"/>
      <c r="F1197" s="11"/>
      <c r="G1197" s="11"/>
      <c r="H1197" s="11"/>
      <c r="I1197" s="11"/>
      <c r="J1197" s="11"/>
      <c r="K1197" s="11"/>
      <c r="L1197" s="11"/>
      <c r="M1197" s="11"/>
      <c r="N1197" s="11"/>
      <c r="O1197" s="11"/>
      <c r="P1197" s="11"/>
      <c r="Q1197" s="11"/>
      <c r="R1197" s="11"/>
      <c r="S1197" s="11"/>
      <c r="T1197" s="11"/>
      <c r="U1197" s="11"/>
      <c r="V1197" s="11"/>
      <c r="W1197" s="11"/>
      <c r="X1197" s="11"/>
      <c r="Y1197" s="11"/>
      <c r="Z1197" s="11"/>
      <c r="AA1197" s="11"/>
      <c r="AB1197" s="11"/>
      <c r="AC1197" s="11"/>
    </row>
    <row r="1198" spans="1:29" x14ac:dyDescent="0.3">
      <c r="A1198" s="11"/>
      <c r="B1198" s="11"/>
      <c r="C1198" s="11"/>
      <c r="D1198" s="11"/>
      <c r="E1198" s="11"/>
      <c r="F1198" s="11"/>
      <c r="G1198" s="11"/>
      <c r="H1198" s="11"/>
      <c r="I1198" s="11"/>
      <c r="J1198" s="11"/>
      <c r="K1198" s="11"/>
      <c r="L1198" s="11"/>
      <c r="M1198" s="11"/>
      <c r="N1198" s="11"/>
      <c r="O1198" s="11"/>
      <c r="P1198" s="11"/>
      <c r="Q1198" s="11"/>
      <c r="R1198" s="11"/>
      <c r="S1198" s="11"/>
      <c r="T1198" s="11"/>
      <c r="U1198" s="11"/>
      <c r="V1198" s="11"/>
      <c r="W1198" s="11"/>
      <c r="X1198" s="11"/>
      <c r="Y1198" s="11"/>
      <c r="Z1198" s="11"/>
      <c r="AA1198" s="11"/>
      <c r="AB1198" s="11"/>
      <c r="AC1198" s="11"/>
    </row>
    <row r="1199" spans="1:29" x14ac:dyDescent="0.3">
      <c r="A1199" s="11"/>
      <c r="B1199" s="11"/>
      <c r="C1199" s="11"/>
      <c r="D1199" s="11"/>
      <c r="E1199" s="11"/>
      <c r="F1199" s="11"/>
      <c r="G1199" s="11"/>
      <c r="H1199" s="11"/>
      <c r="I1199" s="11"/>
      <c r="J1199" s="11"/>
      <c r="K1199" s="11"/>
      <c r="L1199" s="11"/>
      <c r="M1199" s="11"/>
      <c r="N1199" s="11"/>
      <c r="O1199" s="11"/>
      <c r="P1199" s="11"/>
      <c r="Q1199" s="11"/>
      <c r="R1199" s="11"/>
      <c r="S1199" s="11"/>
      <c r="T1199" s="11"/>
      <c r="U1199" s="11"/>
      <c r="V1199" s="11"/>
      <c r="W1199" s="11"/>
      <c r="X1199" s="11"/>
      <c r="Y1199" s="11"/>
      <c r="Z1199" s="11"/>
      <c r="AA1199" s="11"/>
      <c r="AB1199" s="11"/>
      <c r="AC1199" s="11"/>
    </row>
    <row r="1200" spans="1:29" x14ac:dyDescent="0.3">
      <c r="A1200" s="11"/>
      <c r="B1200" s="11"/>
      <c r="C1200" s="11"/>
      <c r="D1200" s="11"/>
      <c r="E1200" s="11"/>
      <c r="F1200" s="11"/>
      <c r="G1200" s="11"/>
      <c r="H1200" s="11"/>
      <c r="I1200" s="11"/>
      <c r="J1200" s="11"/>
      <c r="K1200" s="11"/>
      <c r="L1200" s="11"/>
      <c r="M1200" s="11"/>
      <c r="N1200" s="11"/>
      <c r="O1200" s="11"/>
      <c r="P1200" s="11"/>
      <c r="Q1200" s="11"/>
      <c r="R1200" s="11"/>
      <c r="S1200" s="11"/>
      <c r="T1200" s="11"/>
      <c r="U1200" s="11"/>
      <c r="V1200" s="11"/>
      <c r="W1200" s="11"/>
      <c r="X1200" s="11"/>
      <c r="Y1200" s="11"/>
      <c r="Z1200" s="11"/>
      <c r="AA1200" s="11"/>
      <c r="AB1200" s="11"/>
      <c r="AC1200" s="11"/>
    </row>
    <row r="1201" spans="1:29" x14ac:dyDescent="0.3">
      <c r="A1201" s="11"/>
      <c r="B1201" s="11"/>
      <c r="C1201" s="11"/>
      <c r="D1201" s="11"/>
      <c r="E1201" s="11"/>
      <c r="F1201" s="11"/>
      <c r="G1201" s="11"/>
      <c r="H1201" s="11"/>
      <c r="I1201" s="11"/>
      <c r="J1201" s="11"/>
      <c r="K1201" s="11"/>
      <c r="L1201" s="11"/>
      <c r="M1201" s="11"/>
      <c r="N1201" s="11"/>
      <c r="O1201" s="11"/>
      <c r="P1201" s="11"/>
      <c r="Q1201" s="11"/>
      <c r="R1201" s="11"/>
      <c r="S1201" s="11"/>
      <c r="T1201" s="11"/>
      <c r="U1201" s="11"/>
      <c r="V1201" s="11"/>
      <c r="W1201" s="11"/>
      <c r="X1201" s="11"/>
      <c r="Y1201" s="11"/>
      <c r="Z1201" s="11"/>
      <c r="AA1201" s="11"/>
      <c r="AB1201" s="11"/>
      <c r="AC1201" s="11"/>
    </row>
    <row r="1202" spans="1:29" x14ac:dyDescent="0.3">
      <c r="A1202" s="11"/>
      <c r="B1202" s="11"/>
      <c r="C1202" s="11"/>
      <c r="D1202" s="11"/>
      <c r="E1202" s="11"/>
      <c r="F1202" s="11"/>
      <c r="G1202" s="11"/>
      <c r="H1202" s="11"/>
      <c r="I1202" s="11"/>
      <c r="J1202" s="11"/>
      <c r="K1202" s="11"/>
      <c r="L1202" s="11"/>
      <c r="M1202" s="11"/>
      <c r="N1202" s="11"/>
      <c r="O1202" s="11"/>
      <c r="P1202" s="11"/>
      <c r="Q1202" s="11"/>
      <c r="R1202" s="11"/>
      <c r="S1202" s="11"/>
      <c r="T1202" s="11"/>
      <c r="U1202" s="11"/>
      <c r="V1202" s="11"/>
      <c r="W1202" s="11"/>
      <c r="X1202" s="11"/>
      <c r="Y1202" s="11"/>
      <c r="Z1202" s="11"/>
      <c r="AA1202" s="11"/>
      <c r="AB1202" s="11"/>
      <c r="AC1202" s="11"/>
    </row>
    <row r="1203" spans="1:29" x14ac:dyDescent="0.3">
      <c r="A1203" s="11"/>
      <c r="B1203" s="11"/>
      <c r="C1203" s="11"/>
      <c r="D1203" s="11"/>
      <c r="E1203" s="11"/>
      <c r="F1203" s="11"/>
      <c r="G1203" s="11"/>
      <c r="H1203" s="11"/>
      <c r="I1203" s="11"/>
      <c r="J1203" s="11"/>
      <c r="K1203" s="11"/>
      <c r="L1203" s="11"/>
      <c r="M1203" s="11"/>
      <c r="N1203" s="11"/>
      <c r="O1203" s="11"/>
      <c r="P1203" s="11"/>
      <c r="Q1203" s="11"/>
      <c r="R1203" s="11"/>
      <c r="S1203" s="11"/>
      <c r="T1203" s="11"/>
      <c r="U1203" s="11"/>
      <c r="V1203" s="11"/>
      <c r="W1203" s="11"/>
      <c r="X1203" s="11"/>
      <c r="Y1203" s="11"/>
      <c r="Z1203" s="11"/>
      <c r="AA1203" s="11"/>
      <c r="AB1203" s="11"/>
      <c r="AC1203" s="11"/>
    </row>
    <row r="1204" spans="1:29" x14ac:dyDescent="0.3">
      <c r="A1204" s="11"/>
      <c r="B1204" s="11"/>
      <c r="C1204" s="11"/>
      <c r="D1204" s="11"/>
      <c r="E1204" s="11"/>
      <c r="F1204" s="11"/>
      <c r="G1204" s="11"/>
      <c r="H1204" s="11"/>
      <c r="I1204" s="11"/>
      <c r="J1204" s="11"/>
      <c r="K1204" s="11"/>
      <c r="L1204" s="11"/>
      <c r="M1204" s="11"/>
      <c r="N1204" s="11"/>
      <c r="O1204" s="11"/>
      <c r="P1204" s="11"/>
      <c r="Q1204" s="11"/>
      <c r="R1204" s="11"/>
      <c r="S1204" s="11"/>
      <c r="T1204" s="11"/>
      <c r="U1204" s="11"/>
      <c r="V1204" s="11"/>
      <c r="W1204" s="11"/>
      <c r="X1204" s="11"/>
      <c r="Y1204" s="11"/>
      <c r="Z1204" s="11"/>
      <c r="AA1204" s="11"/>
      <c r="AB1204" s="11"/>
      <c r="AC1204" s="11"/>
    </row>
    <row r="1205" spans="1:29" x14ac:dyDescent="0.3">
      <c r="A1205" s="11"/>
      <c r="B1205" s="11"/>
      <c r="C1205" s="11"/>
      <c r="D1205" s="11"/>
      <c r="E1205" s="11"/>
      <c r="F1205" s="11"/>
      <c r="G1205" s="11"/>
      <c r="H1205" s="11"/>
      <c r="I1205" s="11"/>
      <c r="J1205" s="11"/>
      <c r="K1205" s="11"/>
      <c r="L1205" s="11"/>
      <c r="M1205" s="11"/>
      <c r="N1205" s="11"/>
      <c r="O1205" s="11"/>
      <c r="P1205" s="11"/>
      <c r="Q1205" s="11"/>
      <c r="R1205" s="11"/>
      <c r="S1205" s="11"/>
      <c r="T1205" s="11"/>
      <c r="U1205" s="11"/>
      <c r="V1205" s="11"/>
      <c r="W1205" s="11"/>
      <c r="X1205" s="11"/>
      <c r="Y1205" s="11"/>
      <c r="Z1205" s="11"/>
      <c r="AA1205" s="11"/>
      <c r="AB1205" s="11"/>
      <c r="AC1205" s="11"/>
    </row>
    <row r="1206" spans="1:29" x14ac:dyDescent="0.3">
      <c r="A1206" s="11"/>
      <c r="B1206" s="11"/>
      <c r="C1206" s="11"/>
      <c r="D1206" s="11"/>
      <c r="E1206" s="11"/>
      <c r="F1206" s="11"/>
      <c r="G1206" s="11"/>
      <c r="H1206" s="11"/>
      <c r="I1206" s="11"/>
      <c r="J1206" s="11"/>
      <c r="K1206" s="11"/>
      <c r="L1206" s="11"/>
      <c r="M1206" s="11"/>
      <c r="N1206" s="11"/>
      <c r="O1206" s="11"/>
      <c r="P1206" s="11"/>
      <c r="Q1206" s="11"/>
      <c r="R1206" s="11"/>
      <c r="S1206" s="11"/>
      <c r="T1206" s="11"/>
      <c r="U1206" s="11"/>
      <c r="V1206" s="11"/>
      <c r="W1206" s="11"/>
      <c r="X1206" s="11"/>
      <c r="Y1206" s="11"/>
      <c r="Z1206" s="11"/>
      <c r="AA1206" s="11"/>
      <c r="AB1206" s="11"/>
      <c r="AC1206" s="11"/>
    </row>
    <row r="1207" spans="1:29" x14ac:dyDescent="0.3">
      <c r="A1207" s="11"/>
      <c r="B1207" s="11"/>
      <c r="C1207" s="11"/>
      <c r="D1207" s="11"/>
      <c r="E1207" s="11"/>
      <c r="F1207" s="11"/>
      <c r="G1207" s="11"/>
      <c r="H1207" s="11"/>
      <c r="I1207" s="11"/>
      <c r="J1207" s="11"/>
      <c r="K1207" s="11"/>
      <c r="L1207" s="11"/>
      <c r="M1207" s="11"/>
      <c r="N1207" s="11"/>
      <c r="O1207" s="11"/>
      <c r="P1207" s="11"/>
      <c r="Q1207" s="11"/>
      <c r="R1207" s="11"/>
      <c r="S1207" s="11"/>
      <c r="T1207" s="11"/>
      <c r="U1207" s="11"/>
      <c r="V1207" s="11"/>
      <c r="W1207" s="11"/>
      <c r="X1207" s="11"/>
      <c r="Y1207" s="11"/>
      <c r="Z1207" s="11"/>
      <c r="AA1207" s="11"/>
      <c r="AB1207" s="11"/>
      <c r="AC1207" s="11"/>
    </row>
    <row r="1208" spans="1:29" x14ac:dyDescent="0.3">
      <c r="A1208" s="11"/>
      <c r="B1208" s="11"/>
      <c r="C1208" s="11"/>
      <c r="D1208" s="11"/>
      <c r="E1208" s="11"/>
      <c r="F1208" s="11"/>
      <c r="G1208" s="11"/>
      <c r="H1208" s="11"/>
      <c r="I1208" s="11"/>
      <c r="J1208" s="11"/>
      <c r="K1208" s="11"/>
      <c r="L1208" s="11"/>
      <c r="M1208" s="11"/>
      <c r="N1208" s="11"/>
      <c r="O1208" s="11"/>
      <c r="P1208" s="11"/>
      <c r="Q1208" s="11"/>
      <c r="R1208" s="11"/>
      <c r="S1208" s="11"/>
      <c r="T1208" s="11"/>
      <c r="U1208" s="11"/>
      <c r="V1208" s="11"/>
      <c r="W1208" s="11"/>
      <c r="X1208" s="11"/>
      <c r="Y1208" s="11"/>
      <c r="Z1208" s="11"/>
      <c r="AA1208" s="11"/>
      <c r="AB1208" s="11"/>
      <c r="AC1208" s="11"/>
    </row>
    <row r="1209" spans="1:29" x14ac:dyDescent="0.3">
      <c r="A1209" s="11"/>
      <c r="B1209" s="11"/>
      <c r="C1209" s="11"/>
      <c r="D1209" s="11"/>
      <c r="E1209" s="11"/>
      <c r="F1209" s="11"/>
      <c r="G1209" s="11"/>
      <c r="H1209" s="11"/>
      <c r="I1209" s="11"/>
      <c r="J1209" s="11"/>
      <c r="K1209" s="11"/>
      <c r="L1209" s="11"/>
      <c r="M1209" s="11"/>
      <c r="N1209" s="11"/>
      <c r="O1209" s="11"/>
      <c r="P1209" s="11"/>
      <c r="Q1209" s="11"/>
      <c r="R1209" s="11"/>
      <c r="S1209" s="11"/>
      <c r="T1209" s="11"/>
      <c r="U1209" s="11"/>
      <c r="V1209" s="11"/>
      <c r="W1209" s="11"/>
      <c r="X1209" s="11"/>
      <c r="Y1209" s="11"/>
      <c r="Z1209" s="11"/>
      <c r="AA1209" s="11"/>
      <c r="AB1209" s="11"/>
      <c r="AC1209" s="11"/>
    </row>
    <row r="1210" spans="1:29" x14ac:dyDescent="0.3">
      <c r="A1210" s="11"/>
      <c r="B1210" s="11"/>
      <c r="C1210" s="11"/>
      <c r="D1210" s="11"/>
      <c r="E1210" s="11"/>
      <c r="F1210" s="11"/>
      <c r="G1210" s="11"/>
      <c r="H1210" s="11"/>
      <c r="I1210" s="11"/>
      <c r="J1210" s="11"/>
      <c r="K1210" s="11"/>
      <c r="L1210" s="11"/>
      <c r="M1210" s="11"/>
      <c r="N1210" s="11"/>
      <c r="O1210" s="11"/>
      <c r="P1210" s="11"/>
      <c r="Q1210" s="11"/>
      <c r="R1210" s="11"/>
      <c r="S1210" s="11"/>
      <c r="T1210" s="11"/>
      <c r="U1210" s="11"/>
      <c r="V1210" s="11"/>
      <c r="W1210" s="11"/>
      <c r="X1210" s="11"/>
      <c r="Y1210" s="11"/>
      <c r="Z1210" s="11"/>
      <c r="AA1210" s="11"/>
      <c r="AB1210" s="11"/>
      <c r="AC1210" s="11"/>
    </row>
    <row r="1211" spans="1:29" x14ac:dyDescent="0.3">
      <c r="A1211" s="11"/>
      <c r="B1211" s="11"/>
      <c r="C1211" s="11"/>
      <c r="D1211" s="11"/>
      <c r="E1211" s="11"/>
      <c r="F1211" s="11"/>
      <c r="G1211" s="11"/>
      <c r="H1211" s="11"/>
      <c r="I1211" s="11"/>
      <c r="J1211" s="11"/>
      <c r="K1211" s="11"/>
      <c r="L1211" s="11"/>
      <c r="M1211" s="11"/>
      <c r="N1211" s="11"/>
      <c r="O1211" s="11"/>
      <c r="P1211" s="11"/>
      <c r="Q1211" s="11"/>
      <c r="R1211" s="11"/>
      <c r="S1211" s="11"/>
      <c r="T1211" s="11"/>
      <c r="U1211" s="11"/>
      <c r="V1211" s="11"/>
      <c r="W1211" s="11"/>
      <c r="X1211" s="11"/>
      <c r="Y1211" s="11"/>
      <c r="Z1211" s="11"/>
      <c r="AA1211" s="11"/>
      <c r="AB1211" s="11"/>
      <c r="AC1211" s="11"/>
    </row>
    <row r="1212" spans="1:29" x14ac:dyDescent="0.3">
      <c r="A1212" s="11"/>
      <c r="B1212" s="11"/>
      <c r="C1212" s="11"/>
      <c r="D1212" s="11"/>
      <c r="E1212" s="11"/>
      <c r="F1212" s="11"/>
      <c r="G1212" s="11"/>
      <c r="H1212" s="11"/>
      <c r="I1212" s="11"/>
      <c r="J1212" s="11"/>
      <c r="K1212" s="11"/>
      <c r="L1212" s="11"/>
      <c r="M1212" s="11"/>
      <c r="N1212" s="11"/>
      <c r="O1212" s="11"/>
      <c r="P1212" s="11"/>
      <c r="Q1212" s="11"/>
      <c r="R1212" s="11"/>
      <c r="S1212" s="11"/>
      <c r="T1212" s="11"/>
      <c r="U1212" s="11"/>
      <c r="V1212" s="11"/>
      <c r="W1212" s="11"/>
      <c r="X1212" s="11"/>
      <c r="Y1212" s="11"/>
      <c r="Z1212" s="11"/>
      <c r="AA1212" s="11"/>
      <c r="AB1212" s="11"/>
      <c r="AC1212" s="11"/>
    </row>
    <row r="1213" spans="1:29" x14ac:dyDescent="0.3">
      <c r="A1213" s="11"/>
      <c r="B1213" s="11"/>
      <c r="C1213" s="11"/>
      <c r="D1213" s="11"/>
      <c r="E1213" s="11"/>
      <c r="F1213" s="11"/>
      <c r="G1213" s="11"/>
      <c r="H1213" s="11"/>
      <c r="I1213" s="11"/>
      <c r="J1213" s="11"/>
      <c r="K1213" s="11"/>
      <c r="L1213" s="11"/>
      <c r="M1213" s="11"/>
      <c r="N1213" s="11"/>
      <c r="O1213" s="11"/>
      <c r="P1213" s="11"/>
      <c r="Q1213" s="11"/>
      <c r="R1213" s="11"/>
      <c r="S1213" s="11"/>
      <c r="T1213" s="11"/>
      <c r="U1213" s="11"/>
      <c r="V1213" s="11"/>
      <c r="W1213" s="11"/>
      <c r="X1213" s="11"/>
      <c r="Y1213" s="11"/>
      <c r="Z1213" s="11"/>
      <c r="AA1213" s="11"/>
      <c r="AB1213" s="11"/>
      <c r="AC1213" s="11"/>
    </row>
    <row r="1214" spans="1:29" x14ac:dyDescent="0.3">
      <c r="A1214" s="11"/>
      <c r="B1214" s="11"/>
      <c r="C1214" s="11"/>
      <c r="D1214" s="11"/>
      <c r="E1214" s="11"/>
      <c r="F1214" s="11"/>
      <c r="G1214" s="11"/>
      <c r="H1214" s="11"/>
      <c r="I1214" s="11"/>
      <c r="J1214" s="11"/>
      <c r="K1214" s="11"/>
      <c r="L1214" s="11"/>
      <c r="M1214" s="11"/>
      <c r="N1214" s="11"/>
      <c r="O1214" s="11"/>
      <c r="P1214" s="11"/>
      <c r="Q1214" s="11"/>
      <c r="R1214" s="11"/>
      <c r="S1214" s="11"/>
      <c r="T1214" s="11"/>
      <c r="U1214" s="11"/>
      <c r="V1214" s="11"/>
      <c r="W1214" s="11"/>
      <c r="X1214" s="11"/>
      <c r="Y1214" s="11"/>
      <c r="Z1214" s="11"/>
      <c r="AA1214" s="11"/>
      <c r="AB1214" s="11"/>
      <c r="AC1214" s="11"/>
    </row>
    <row r="1215" spans="1:29" x14ac:dyDescent="0.3">
      <c r="A1215" s="11"/>
      <c r="B1215" s="11"/>
      <c r="C1215" s="11"/>
      <c r="D1215" s="11"/>
      <c r="E1215" s="11"/>
      <c r="F1215" s="11"/>
      <c r="G1215" s="11"/>
      <c r="H1215" s="11"/>
      <c r="I1215" s="11"/>
      <c r="J1215" s="11"/>
      <c r="K1215" s="11"/>
      <c r="L1215" s="11"/>
      <c r="M1215" s="11"/>
      <c r="N1215" s="11"/>
      <c r="O1215" s="11"/>
      <c r="P1215" s="11"/>
      <c r="Q1215" s="11"/>
      <c r="R1215" s="11"/>
      <c r="S1215" s="11"/>
      <c r="T1215" s="11"/>
      <c r="U1215" s="11"/>
      <c r="V1215" s="11"/>
      <c r="W1215" s="11"/>
      <c r="X1215" s="11"/>
      <c r="Y1215" s="11"/>
      <c r="Z1215" s="11"/>
      <c r="AA1215" s="11"/>
      <c r="AB1215" s="11"/>
      <c r="AC1215" s="11"/>
    </row>
    <row r="1216" spans="1:29" x14ac:dyDescent="0.3">
      <c r="A1216" s="11"/>
      <c r="B1216" s="11"/>
      <c r="C1216" s="11"/>
      <c r="D1216" s="11"/>
      <c r="E1216" s="11"/>
      <c r="F1216" s="11"/>
      <c r="G1216" s="11"/>
      <c r="H1216" s="11"/>
      <c r="I1216" s="11"/>
      <c r="J1216" s="11"/>
      <c r="K1216" s="11"/>
      <c r="L1216" s="11"/>
      <c r="M1216" s="11"/>
      <c r="N1216" s="11"/>
      <c r="O1216" s="11"/>
      <c r="P1216" s="11"/>
      <c r="Q1216" s="11"/>
      <c r="R1216" s="11"/>
      <c r="S1216" s="11"/>
      <c r="T1216" s="11"/>
      <c r="U1216" s="11"/>
      <c r="V1216" s="11"/>
      <c r="W1216" s="11"/>
      <c r="X1216" s="11"/>
      <c r="Y1216" s="11"/>
      <c r="Z1216" s="11"/>
      <c r="AA1216" s="11"/>
      <c r="AB1216" s="11"/>
      <c r="AC1216" s="11"/>
    </row>
    <row r="1217" spans="1:29" x14ac:dyDescent="0.3">
      <c r="A1217" s="11"/>
      <c r="B1217" s="11"/>
      <c r="C1217" s="11"/>
      <c r="D1217" s="11"/>
      <c r="E1217" s="11"/>
      <c r="F1217" s="11"/>
      <c r="G1217" s="11"/>
      <c r="H1217" s="11"/>
      <c r="I1217" s="11"/>
      <c r="J1217" s="11"/>
      <c r="K1217" s="11"/>
      <c r="L1217" s="11"/>
      <c r="M1217" s="11"/>
      <c r="N1217" s="11"/>
      <c r="O1217" s="11"/>
      <c r="P1217" s="11"/>
      <c r="Q1217" s="11"/>
      <c r="R1217" s="11"/>
      <c r="S1217" s="11"/>
      <c r="T1217" s="11"/>
      <c r="U1217" s="11"/>
      <c r="V1217" s="11"/>
      <c r="W1217" s="11"/>
      <c r="X1217" s="11"/>
      <c r="Y1217" s="11"/>
      <c r="Z1217" s="11"/>
      <c r="AA1217" s="11"/>
      <c r="AB1217" s="11"/>
      <c r="AC1217" s="11"/>
    </row>
    <row r="1218" spans="1:29" x14ac:dyDescent="0.3">
      <c r="A1218" s="11"/>
      <c r="B1218" s="11"/>
      <c r="C1218" s="11"/>
      <c r="D1218" s="11"/>
      <c r="E1218" s="11"/>
      <c r="F1218" s="11"/>
      <c r="G1218" s="11"/>
      <c r="H1218" s="11"/>
      <c r="I1218" s="11"/>
      <c r="J1218" s="11"/>
      <c r="K1218" s="11"/>
      <c r="L1218" s="11"/>
      <c r="M1218" s="11"/>
      <c r="N1218" s="11"/>
      <c r="O1218" s="11"/>
      <c r="P1218" s="11"/>
      <c r="Q1218" s="11"/>
      <c r="R1218" s="11"/>
      <c r="S1218" s="11"/>
      <c r="T1218" s="11"/>
      <c r="U1218" s="11"/>
      <c r="V1218" s="11"/>
      <c r="W1218" s="11"/>
      <c r="X1218" s="11"/>
      <c r="Y1218" s="11"/>
      <c r="Z1218" s="11"/>
      <c r="AA1218" s="11"/>
      <c r="AB1218" s="11"/>
      <c r="AC1218" s="11"/>
    </row>
    <row r="1219" spans="1:29" x14ac:dyDescent="0.3">
      <c r="A1219" s="11"/>
      <c r="B1219" s="11"/>
      <c r="C1219" s="11"/>
      <c r="D1219" s="11"/>
      <c r="E1219" s="11"/>
      <c r="F1219" s="11"/>
      <c r="G1219" s="11"/>
      <c r="H1219" s="11"/>
      <c r="I1219" s="11"/>
      <c r="J1219" s="11"/>
      <c r="K1219" s="11"/>
      <c r="L1219" s="11"/>
      <c r="M1219" s="11"/>
      <c r="N1219" s="11"/>
      <c r="O1219" s="11"/>
      <c r="P1219" s="11"/>
      <c r="Q1219" s="11"/>
      <c r="R1219" s="11"/>
      <c r="S1219" s="11"/>
      <c r="T1219" s="11"/>
      <c r="U1219" s="11"/>
      <c r="V1219" s="11"/>
      <c r="W1219" s="11"/>
      <c r="X1219" s="11"/>
      <c r="Y1219" s="11"/>
      <c r="Z1219" s="11"/>
      <c r="AA1219" s="11"/>
      <c r="AB1219" s="11"/>
      <c r="AC1219" s="11"/>
    </row>
    <row r="1220" spans="1:29" x14ac:dyDescent="0.3">
      <c r="A1220" s="11"/>
      <c r="B1220" s="11"/>
      <c r="C1220" s="11"/>
      <c r="D1220" s="11"/>
      <c r="E1220" s="11"/>
      <c r="F1220" s="11"/>
      <c r="G1220" s="11"/>
      <c r="H1220" s="11"/>
      <c r="I1220" s="11"/>
      <c r="J1220" s="11"/>
      <c r="K1220" s="11"/>
      <c r="L1220" s="11"/>
      <c r="M1220" s="11"/>
      <c r="N1220" s="11"/>
      <c r="O1220" s="11"/>
      <c r="P1220" s="11"/>
      <c r="Q1220" s="11"/>
      <c r="R1220" s="11"/>
      <c r="S1220" s="11"/>
      <c r="T1220" s="11"/>
      <c r="U1220" s="11"/>
      <c r="V1220" s="11"/>
      <c r="W1220" s="11"/>
      <c r="X1220" s="11"/>
      <c r="Y1220" s="11"/>
      <c r="Z1220" s="11"/>
      <c r="AA1220" s="11"/>
      <c r="AB1220" s="11"/>
      <c r="AC1220" s="11"/>
    </row>
    <row r="1221" spans="1:29" x14ac:dyDescent="0.3">
      <c r="A1221" s="11"/>
      <c r="B1221" s="11"/>
      <c r="C1221" s="11"/>
      <c r="D1221" s="11"/>
      <c r="E1221" s="11"/>
      <c r="F1221" s="11"/>
      <c r="G1221" s="11"/>
      <c r="H1221" s="11"/>
      <c r="I1221" s="11"/>
      <c r="J1221" s="11"/>
      <c r="K1221" s="11"/>
      <c r="L1221" s="11"/>
      <c r="M1221" s="11"/>
      <c r="N1221" s="11"/>
      <c r="O1221" s="11"/>
      <c r="P1221" s="11"/>
      <c r="Q1221" s="11"/>
      <c r="R1221" s="11"/>
      <c r="S1221" s="11"/>
      <c r="T1221" s="11"/>
      <c r="U1221" s="11"/>
      <c r="V1221" s="11"/>
      <c r="W1221" s="11"/>
      <c r="X1221" s="11"/>
      <c r="Y1221" s="11"/>
      <c r="Z1221" s="11"/>
      <c r="AA1221" s="11"/>
      <c r="AB1221" s="11"/>
      <c r="AC1221" s="11"/>
    </row>
    <row r="1222" spans="1:29" x14ac:dyDescent="0.3">
      <c r="A1222" s="11"/>
      <c r="B1222" s="11"/>
      <c r="C1222" s="11"/>
      <c r="D1222" s="11"/>
      <c r="E1222" s="11"/>
      <c r="F1222" s="11"/>
      <c r="G1222" s="11"/>
      <c r="H1222" s="11"/>
      <c r="I1222" s="11"/>
      <c r="J1222" s="11"/>
      <c r="K1222" s="11"/>
      <c r="L1222" s="11"/>
      <c r="M1222" s="11"/>
      <c r="N1222" s="11"/>
      <c r="O1222" s="11"/>
      <c r="P1222" s="11"/>
      <c r="Q1222" s="11"/>
      <c r="R1222" s="11"/>
      <c r="S1222" s="11"/>
      <c r="T1222" s="11"/>
      <c r="U1222" s="11"/>
      <c r="V1222" s="11"/>
      <c r="W1222" s="11"/>
      <c r="X1222" s="11"/>
      <c r="Y1222" s="11"/>
      <c r="Z1222" s="11"/>
      <c r="AA1222" s="11"/>
      <c r="AB1222" s="11"/>
      <c r="AC1222" s="11"/>
    </row>
    <row r="1223" spans="1:29" x14ac:dyDescent="0.3">
      <c r="A1223" s="11"/>
      <c r="B1223" s="11"/>
      <c r="C1223" s="11"/>
      <c r="D1223" s="11"/>
      <c r="E1223" s="11"/>
      <c r="F1223" s="11"/>
      <c r="G1223" s="11"/>
      <c r="H1223" s="11"/>
      <c r="I1223" s="11"/>
      <c r="J1223" s="11"/>
      <c r="K1223" s="11"/>
      <c r="L1223" s="11"/>
      <c r="M1223" s="11"/>
      <c r="N1223" s="11"/>
      <c r="O1223" s="11"/>
      <c r="P1223" s="11"/>
      <c r="Q1223" s="11"/>
      <c r="R1223" s="11"/>
      <c r="S1223" s="11"/>
      <c r="T1223" s="11"/>
      <c r="U1223" s="11"/>
      <c r="V1223" s="11"/>
      <c r="W1223" s="11"/>
      <c r="X1223" s="11"/>
      <c r="Y1223" s="11"/>
      <c r="Z1223" s="11"/>
      <c r="AA1223" s="11"/>
      <c r="AB1223" s="11"/>
      <c r="AC1223" s="11"/>
    </row>
    <row r="1224" spans="1:29" x14ac:dyDescent="0.3">
      <c r="A1224" s="11"/>
      <c r="B1224" s="11"/>
      <c r="C1224" s="11"/>
      <c r="D1224" s="11"/>
      <c r="E1224" s="11"/>
      <c r="F1224" s="11"/>
      <c r="G1224" s="11"/>
      <c r="H1224" s="11"/>
      <c r="I1224" s="11"/>
      <c r="J1224" s="11"/>
      <c r="K1224" s="11"/>
      <c r="L1224" s="11"/>
      <c r="M1224" s="11"/>
      <c r="N1224" s="11"/>
      <c r="O1224" s="11"/>
      <c r="P1224" s="11"/>
      <c r="Q1224" s="11"/>
      <c r="R1224" s="11"/>
      <c r="S1224" s="11"/>
      <c r="T1224" s="11"/>
      <c r="U1224" s="11"/>
      <c r="V1224" s="11"/>
      <c r="W1224" s="11"/>
      <c r="X1224" s="11"/>
      <c r="Y1224" s="11"/>
      <c r="Z1224" s="11"/>
      <c r="AA1224" s="11"/>
      <c r="AB1224" s="11"/>
      <c r="AC1224" s="11"/>
    </row>
    <row r="1225" spans="1:29" x14ac:dyDescent="0.3">
      <c r="A1225" s="11"/>
      <c r="B1225" s="11"/>
      <c r="C1225" s="11"/>
      <c r="D1225" s="11"/>
      <c r="E1225" s="11"/>
      <c r="F1225" s="11"/>
      <c r="G1225" s="11"/>
      <c r="H1225" s="11"/>
      <c r="I1225" s="11"/>
      <c r="J1225" s="11"/>
      <c r="K1225" s="11"/>
      <c r="L1225" s="11"/>
      <c r="M1225" s="11"/>
      <c r="N1225" s="11"/>
      <c r="O1225" s="11"/>
      <c r="P1225" s="11"/>
      <c r="Q1225" s="11"/>
      <c r="R1225" s="11"/>
      <c r="S1225" s="11"/>
      <c r="T1225" s="11"/>
      <c r="U1225" s="11"/>
      <c r="V1225" s="11"/>
      <c r="W1225" s="11"/>
      <c r="X1225" s="11"/>
      <c r="Y1225" s="11"/>
      <c r="Z1225" s="11"/>
      <c r="AA1225" s="11"/>
      <c r="AB1225" s="11"/>
      <c r="AC1225" s="11"/>
    </row>
    <row r="1226" spans="1:29" x14ac:dyDescent="0.3">
      <c r="A1226" s="11"/>
      <c r="B1226" s="11"/>
      <c r="C1226" s="11"/>
      <c r="D1226" s="11"/>
      <c r="E1226" s="11"/>
      <c r="F1226" s="11"/>
      <c r="G1226" s="11"/>
      <c r="H1226" s="11"/>
      <c r="I1226" s="11"/>
      <c r="J1226" s="11"/>
      <c r="K1226" s="11"/>
      <c r="L1226" s="11"/>
      <c r="M1226" s="11"/>
      <c r="N1226" s="11"/>
      <c r="O1226" s="11"/>
      <c r="P1226" s="11"/>
      <c r="Q1226" s="11"/>
      <c r="R1226" s="11"/>
      <c r="S1226" s="11"/>
      <c r="T1226" s="11"/>
      <c r="U1226" s="11"/>
      <c r="V1226" s="11"/>
      <c r="W1226" s="11"/>
      <c r="X1226" s="11"/>
      <c r="Y1226" s="11"/>
      <c r="Z1226" s="11"/>
      <c r="AA1226" s="11"/>
      <c r="AB1226" s="11"/>
      <c r="AC1226" s="11"/>
    </row>
    <row r="1227" spans="1:29" x14ac:dyDescent="0.3">
      <c r="A1227" s="11"/>
      <c r="B1227" s="11"/>
      <c r="C1227" s="11"/>
      <c r="D1227" s="11"/>
      <c r="E1227" s="11"/>
      <c r="F1227" s="11"/>
      <c r="G1227" s="11"/>
      <c r="H1227" s="11"/>
      <c r="I1227" s="11"/>
      <c r="J1227" s="11"/>
      <c r="K1227" s="11"/>
      <c r="L1227" s="11"/>
      <c r="M1227" s="11"/>
      <c r="N1227" s="11"/>
      <c r="O1227" s="11"/>
      <c r="P1227" s="11"/>
      <c r="Q1227" s="11"/>
      <c r="R1227" s="11"/>
      <c r="S1227" s="11"/>
      <c r="T1227" s="11"/>
      <c r="U1227" s="11"/>
      <c r="V1227" s="11"/>
      <c r="W1227" s="11"/>
      <c r="X1227" s="11"/>
      <c r="Y1227" s="11"/>
      <c r="Z1227" s="11"/>
      <c r="AA1227" s="11"/>
      <c r="AB1227" s="11"/>
      <c r="AC1227" s="11"/>
    </row>
    <row r="1228" spans="1:29" x14ac:dyDescent="0.3">
      <c r="A1228" s="11"/>
      <c r="B1228" s="11"/>
      <c r="C1228" s="11"/>
      <c r="D1228" s="11"/>
      <c r="E1228" s="11"/>
      <c r="F1228" s="11"/>
      <c r="G1228" s="11"/>
      <c r="H1228" s="11"/>
      <c r="I1228" s="11"/>
      <c r="J1228" s="11"/>
      <c r="K1228" s="11"/>
      <c r="L1228" s="11"/>
      <c r="M1228" s="11"/>
      <c r="N1228" s="11"/>
      <c r="O1228" s="11"/>
      <c r="P1228" s="11"/>
      <c r="Q1228" s="11"/>
      <c r="R1228" s="11"/>
      <c r="S1228" s="11"/>
      <c r="T1228" s="11"/>
      <c r="U1228" s="11"/>
      <c r="V1228" s="11"/>
      <c r="W1228" s="11"/>
      <c r="X1228" s="11"/>
      <c r="Y1228" s="11"/>
      <c r="Z1228" s="11"/>
      <c r="AA1228" s="11"/>
      <c r="AB1228" s="11"/>
      <c r="AC1228" s="11"/>
    </row>
    <row r="1229" spans="1:29" x14ac:dyDescent="0.3">
      <c r="A1229" s="11"/>
      <c r="B1229" s="11"/>
      <c r="C1229" s="11"/>
      <c r="D1229" s="11"/>
      <c r="E1229" s="11"/>
      <c r="F1229" s="11"/>
      <c r="G1229" s="11"/>
      <c r="H1229" s="11"/>
      <c r="I1229" s="11"/>
      <c r="J1229" s="11"/>
      <c r="K1229" s="11"/>
      <c r="L1229" s="11"/>
      <c r="M1229" s="11"/>
      <c r="N1229" s="11"/>
      <c r="O1229" s="11"/>
      <c r="P1229" s="11"/>
      <c r="Q1229" s="11"/>
      <c r="R1229" s="11"/>
      <c r="S1229" s="11"/>
      <c r="T1229" s="11"/>
      <c r="U1229" s="11"/>
      <c r="V1229" s="11"/>
      <c r="W1229" s="11"/>
      <c r="X1229" s="11"/>
      <c r="Y1229" s="11"/>
      <c r="Z1229" s="11"/>
      <c r="AA1229" s="11"/>
      <c r="AB1229" s="11"/>
      <c r="AC1229" s="11"/>
    </row>
    <row r="1230" spans="1:29" x14ac:dyDescent="0.3">
      <c r="A1230" s="11"/>
      <c r="B1230" s="11"/>
      <c r="C1230" s="11"/>
      <c r="D1230" s="11"/>
      <c r="E1230" s="11"/>
      <c r="F1230" s="11"/>
      <c r="G1230" s="11"/>
      <c r="H1230" s="11"/>
      <c r="I1230" s="11"/>
      <c r="J1230" s="11"/>
      <c r="K1230" s="11"/>
      <c r="L1230" s="11"/>
      <c r="M1230" s="11"/>
      <c r="N1230" s="11"/>
      <c r="O1230" s="11"/>
      <c r="P1230" s="11"/>
      <c r="Q1230" s="11"/>
      <c r="R1230" s="11"/>
      <c r="S1230" s="11"/>
      <c r="T1230" s="11"/>
      <c r="U1230" s="11"/>
      <c r="V1230" s="11"/>
      <c r="W1230" s="11"/>
      <c r="X1230" s="11"/>
      <c r="Y1230" s="11"/>
      <c r="Z1230" s="11"/>
      <c r="AA1230" s="11"/>
      <c r="AB1230" s="11"/>
      <c r="AC1230" s="11"/>
    </row>
    <row r="1231" spans="1:29" x14ac:dyDescent="0.3">
      <c r="A1231" s="11"/>
      <c r="B1231" s="11"/>
      <c r="C1231" s="11"/>
      <c r="D1231" s="11"/>
      <c r="E1231" s="11"/>
      <c r="F1231" s="11"/>
      <c r="G1231" s="11"/>
      <c r="H1231" s="11"/>
      <c r="I1231" s="11"/>
      <c r="J1231" s="11"/>
      <c r="K1231" s="11"/>
      <c r="L1231" s="11"/>
      <c r="M1231" s="11"/>
      <c r="N1231" s="11"/>
      <c r="O1231" s="11"/>
      <c r="P1231" s="11"/>
      <c r="Q1231" s="11"/>
      <c r="R1231" s="11"/>
      <c r="S1231" s="11"/>
      <c r="T1231" s="11"/>
      <c r="U1231" s="11"/>
      <c r="V1231" s="11"/>
      <c r="W1231" s="11"/>
      <c r="X1231" s="11"/>
      <c r="Y1231" s="11"/>
      <c r="Z1231" s="11"/>
      <c r="AA1231" s="11"/>
      <c r="AB1231" s="11"/>
      <c r="AC1231" s="11"/>
    </row>
    <row r="1232" spans="1:29" x14ac:dyDescent="0.3">
      <c r="A1232" s="11"/>
      <c r="B1232" s="11"/>
      <c r="C1232" s="11"/>
      <c r="D1232" s="11"/>
      <c r="E1232" s="11"/>
      <c r="F1232" s="11"/>
      <c r="G1232" s="11"/>
      <c r="H1232" s="11"/>
      <c r="I1232" s="11"/>
      <c r="J1232" s="11"/>
      <c r="K1232" s="11"/>
      <c r="L1232" s="11"/>
      <c r="M1232" s="11"/>
      <c r="N1232" s="11"/>
      <c r="O1232" s="11"/>
      <c r="P1232" s="11"/>
      <c r="Q1232" s="11"/>
      <c r="R1232" s="11"/>
      <c r="S1232" s="11"/>
      <c r="T1232" s="11"/>
      <c r="U1232" s="11"/>
      <c r="V1232" s="11"/>
      <c r="W1232" s="11"/>
      <c r="X1232" s="11"/>
      <c r="Y1232" s="11"/>
      <c r="Z1232" s="11"/>
      <c r="AA1232" s="11"/>
      <c r="AB1232" s="11"/>
      <c r="AC1232" s="11"/>
    </row>
    <row r="1233" spans="1:29" x14ac:dyDescent="0.3">
      <c r="A1233" s="11"/>
      <c r="B1233" s="11"/>
      <c r="C1233" s="11"/>
      <c r="D1233" s="11"/>
      <c r="E1233" s="11"/>
      <c r="F1233" s="11"/>
      <c r="G1233" s="11"/>
      <c r="H1233" s="11"/>
      <c r="I1233" s="11"/>
      <c r="J1233" s="11"/>
      <c r="K1233" s="11"/>
      <c r="L1233" s="11"/>
      <c r="M1233" s="11"/>
      <c r="N1233" s="11"/>
      <c r="O1233" s="11"/>
      <c r="P1233" s="11"/>
      <c r="Q1233" s="11"/>
      <c r="R1233" s="11"/>
      <c r="S1233" s="11"/>
      <c r="T1233" s="11"/>
      <c r="U1233" s="11"/>
      <c r="V1233" s="11"/>
      <c r="W1233" s="11"/>
      <c r="X1233" s="11"/>
      <c r="Y1233" s="11"/>
      <c r="Z1233" s="11"/>
      <c r="AA1233" s="11"/>
      <c r="AB1233" s="11"/>
      <c r="AC1233" s="11"/>
    </row>
    <row r="1234" spans="1:29" x14ac:dyDescent="0.3">
      <c r="A1234" s="11"/>
      <c r="B1234" s="11"/>
      <c r="C1234" s="11"/>
      <c r="D1234" s="11"/>
      <c r="E1234" s="11"/>
      <c r="F1234" s="11"/>
      <c r="G1234" s="11"/>
      <c r="H1234" s="11"/>
      <c r="I1234" s="11"/>
      <c r="J1234" s="11"/>
      <c r="K1234" s="11"/>
      <c r="L1234" s="11"/>
      <c r="M1234" s="11"/>
      <c r="N1234" s="11"/>
      <c r="O1234" s="11"/>
      <c r="P1234" s="11"/>
      <c r="Q1234" s="11"/>
      <c r="R1234" s="11"/>
      <c r="S1234" s="11"/>
      <c r="T1234" s="11"/>
      <c r="U1234" s="11"/>
      <c r="V1234" s="11"/>
      <c r="W1234" s="11"/>
      <c r="X1234" s="11"/>
      <c r="Y1234" s="11"/>
      <c r="Z1234" s="11"/>
      <c r="AA1234" s="11"/>
      <c r="AB1234" s="11"/>
      <c r="AC1234" s="11"/>
    </row>
    <row r="1235" spans="1:29" x14ac:dyDescent="0.3">
      <c r="A1235" s="11"/>
      <c r="B1235" s="11"/>
      <c r="C1235" s="11"/>
      <c r="D1235" s="11"/>
      <c r="E1235" s="11"/>
      <c r="F1235" s="11"/>
      <c r="G1235" s="11"/>
      <c r="H1235" s="11"/>
      <c r="I1235" s="11"/>
      <c r="J1235" s="11"/>
      <c r="K1235" s="11"/>
      <c r="L1235" s="11"/>
      <c r="M1235" s="11"/>
      <c r="N1235" s="11"/>
      <c r="O1235" s="11"/>
      <c r="P1235" s="11"/>
      <c r="Q1235" s="11"/>
      <c r="R1235" s="11"/>
      <c r="S1235" s="11"/>
      <c r="T1235" s="11"/>
      <c r="U1235" s="11"/>
      <c r="V1235" s="11"/>
      <c r="W1235" s="11"/>
      <c r="X1235" s="11"/>
      <c r="Y1235" s="11"/>
      <c r="Z1235" s="11"/>
      <c r="AA1235" s="11"/>
      <c r="AB1235" s="11"/>
      <c r="AC1235" s="11"/>
    </row>
    <row r="1236" spans="1:29" x14ac:dyDescent="0.3">
      <c r="A1236" s="11"/>
      <c r="B1236" s="11"/>
      <c r="C1236" s="11"/>
      <c r="D1236" s="11"/>
      <c r="E1236" s="11"/>
      <c r="F1236" s="11"/>
      <c r="G1236" s="11"/>
      <c r="H1236" s="11"/>
      <c r="I1236" s="11"/>
      <c r="J1236" s="11"/>
      <c r="K1236" s="11"/>
      <c r="L1236" s="11"/>
      <c r="M1236" s="11"/>
      <c r="N1236" s="11"/>
      <c r="O1236" s="11"/>
      <c r="P1236" s="11"/>
      <c r="Q1236" s="11"/>
      <c r="R1236" s="11"/>
      <c r="S1236" s="11"/>
      <c r="T1236" s="11"/>
      <c r="U1236" s="11"/>
      <c r="V1236" s="11"/>
      <c r="W1236" s="11"/>
      <c r="X1236" s="11"/>
      <c r="Y1236" s="11"/>
      <c r="Z1236" s="11"/>
      <c r="AA1236" s="11"/>
      <c r="AB1236" s="11"/>
      <c r="AC1236" s="11"/>
    </row>
    <row r="1237" spans="1:29" x14ac:dyDescent="0.3">
      <c r="A1237" s="11"/>
      <c r="B1237" s="11"/>
      <c r="C1237" s="11"/>
      <c r="D1237" s="11"/>
      <c r="E1237" s="11"/>
      <c r="F1237" s="11"/>
      <c r="G1237" s="11"/>
      <c r="H1237" s="11"/>
      <c r="I1237" s="11"/>
      <c r="J1237" s="11"/>
      <c r="K1237" s="11"/>
      <c r="L1237" s="11"/>
      <c r="M1237" s="11"/>
      <c r="N1237" s="11"/>
      <c r="O1237" s="11"/>
      <c r="P1237" s="11"/>
      <c r="Q1237" s="11"/>
      <c r="R1237" s="11"/>
      <c r="S1237" s="11"/>
      <c r="T1237" s="11"/>
      <c r="U1237" s="11"/>
      <c r="V1237" s="11"/>
      <c r="W1237" s="11"/>
      <c r="X1237" s="11"/>
      <c r="Y1237" s="11"/>
      <c r="Z1237" s="11"/>
      <c r="AA1237" s="11"/>
      <c r="AB1237" s="11"/>
      <c r="AC1237" s="11"/>
    </row>
    <row r="1238" spans="1:29" x14ac:dyDescent="0.3">
      <c r="A1238" s="11"/>
      <c r="B1238" s="11"/>
      <c r="C1238" s="11"/>
      <c r="D1238" s="11"/>
      <c r="E1238" s="11"/>
      <c r="F1238" s="11"/>
      <c r="G1238" s="11"/>
      <c r="H1238" s="11"/>
      <c r="I1238" s="11"/>
      <c r="J1238" s="11"/>
      <c r="K1238" s="11"/>
      <c r="L1238" s="11"/>
      <c r="M1238" s="11"/>
      <c r="N1238" s="11"/>
      <c r="O1238" s="11"/>
      <c r="P1238" s="11"/>
      <c r="Q1238" s="11"/>
      <c r="R1238" s="11"/>
      <c r="S1238" s="11"/>
      <c r="T1238" s="11"/>
      <c r="U1238" s="11"/>
      <c r="V1238" s="11"/>
      <c r="W1238" s="11"/>
      <c r="X1238" s="11"/>
      <c r="Y1238" s="11"/>
      <c r="Z1238" s="11"/>
      <c r="AA1238" s="11"/>
      <c r="AB1238" s="11"/>
      <c r="AC1238" s="11"/>
    </row>
    <row r="1239" spans="1:29" x14ac:dyDescent="0.3">
      <c r="A1239" s="11"/>
      <c r="B1239" s="11"/>
      <c r="C1239" s="11"/>
      <c r="D1239" s="11"/>
      <c r="E1239" s="11"/>
      <c r="F1239" s="11"/>
      <c r="G1239" s="11"/>
      <c r="H1239" s="11"/>
      <c r="I1239" s="11"/>
      <c r="J1239" s="11"/>
      <c r="K1239" s="11"/>
      <c r="L1239" s="11"/>
      <c r="M1239" s="11"/>
      <c r="N1239" s="11"/>
      <c r="O1239" s="11"/>
      <c r="P1239" s="11"/>
      <c r="Q1239" s="11"/>
      <c r="R1239" s="11"/>
      <c r="S1239" s="11"/>
      <c r="T1239" s="11"/>
      <c r="U1239" s="11"/>
      <c r="V1239" s="11"/>
      <c r="W1239" s="11"/>
      <c r="X1239" s="11"/>
      <c r="Y1239" s="11"/>
      <c r="Z1239" s="11"/>
      <c r="AA1239" s="11"/>
      <c r="AB1239" s="11"/>
      <c r="AC1239" s="11"/>
    </row>
    <row r="1240" spans="1:29" x14ac:dyDescent="0.3">
      <c r="A1240" s="11"/>
      <c r="B1240" s="11"/>
      <c r="C1240" s="11"/>
      <c r="D1240" s="11"/>
      <c r="E1240" s="11"/>
      <c r="F1240" s="11"/>
      <c r="G1240" s="11"/>
      <c r="H1240" s="11"/>
      <c r="I1240" s="11"/>
      <c r="J1240" s="11"/>
      <c r="K1240" s="11"/>
      <c r="L1240" s="11"/>
      <c r="M1240" s="11"/>
      <c r="N1240" s="11"/>
      <c r="O1240" s="11"/>
      <c r="P1240" s="11"/>
      <c r="Q1240" s="11"/>
      <c r="R1240" s="11"/>
      <c r="S1240" s="11"/>
      <c r="T1240" s="11"/>
      <c r="U1240" s="11"/>
      <c r="V1240" s="11"/>
      <c r="W1240" s="11"/>
      <c r="X1240" s="11"/>
      <c r="Y1240" s="11"/>
      <c r="Z1240" s="11"/>
      <c r="AA1240" s="11"/>
      <c r="AB1240" s="11"/>
      <c r="AC1240" s="11"/>
    </row>
    <row r="1241" spans="1:29" x14ac:dyDescent="0.3">
      <c r="A1241" s="11"/>
      <c r="B1241" s="11"/>
      <c r="C1241" s="11"/>
      <c r="D1241" s="11"/>
      <c r="E1241" s="11"/>
      <c r="F1241" s="11"/>
      <c r="G1241" s="11"/>
      <c r="H1241" s="11"/>
      <c r="I1241" s="11"/>
      <c r="J1241" s="11"/>
      <c r="K1241" s="11"/>
      <c r="L1241" s="11"/>
      <c r="M1241" s="11"/>
      <c r="N1241" s="11"/>
      <c r="O1241" s="11"/>
      <c r="P1241" s="11"/>
      <c r="Q1241" s="11"/>
      <c r="R1241" s="11"/>
      <c r="S1241" s="11"/>
      <c r="T1241" s="11"/>
      <c r="U1241" s="11"/>
      <c r="V1241" s="11"/>
      <c r="W1241" s="11"/>
      <c r="X1241" s="11"/>
      <c r="Y1241" s="11"/>
      <c r="Z1241" s="11"/>
      <c r="AA1241" s="11"/>
      <c r="AB1241" s="11"/>
      <c r="AC1241" s="11"/>
    </row>
    <row r="1242" spans="1:29" x14ac:dyDescent="0.3">
      <c r="A1242" s="11"/>
      <c r="B1242" s="11"/>
      <c r="C1242" s="11"/>
      <c r="D1242" s="11"/>
      <c r="E1242" s="11"/>
      <c r="F1242" s="11"/>
      <c r="G1242" s="11"/>
      <c r="H1242" s="11"/>
      <c r="I1242" s="11"/>
      <c r="J1242" s="11"/>
      <c r="K1242" s="11"/>
      <c r="L1242" s="11"/>
      <c r="M1242" s="11"/>
      <c r="N1242" s="11"/>
      <c r="O1242" s="11"/>
      <c r="P1242" s="11"/>
      <c r="Q1242" s="11"/>
      <c r="R1242" s="11"/>
      <c r="S1242" s="11"/>
      <c r="T1242" s="11"/>
      <c r="U1242" s="11"/>
      <c r="V1242" s="11"/>
      <c r="W1242" s="11"/>
      <c r="X1242" s="11"/>
      <c r="Y1242" s="11"/>
      <c r="Z1242" s="11"/>
      <c r="AA1242" s="11"/>
      <c r="AB1242" s="11"/>
      <c r="AC1242" s="11"/>
    </row>
    <row r="1243" spans="1:29" x14ac:dyDescent="0.3">
      <c r="A1243" s="11"/>
      <c r="B1243" s="11"/>
      <c r="C1243" s="11"/>
      <c r="D1243" s="11"/>
      <c r="E1243" s="11"/>
      <c r="F1243" s="11"/>
      <c r="G1243" s="11"/>
      <c r="H1243" s="11"/>
      <c r="I1243" s="11"/>
      <c r="J1243" s="11"/>
      <c r="K1243" s="11"/>
      <c r="L1243" s="11"/>
      <c r="M1243" s="11"/>
      <c r="N1243" s="11"/>
      <c r="O1243" s="11"/>
      <c r="P1243" s="11"/>
      <c r="Q1243" s="11"/>
      <c r="R1243" s="11"/>
      <c r="S1243" s="11"/>
      <c r="T1243" s="11"/>
      <c r="U1243" s="11"/>
      <c r="V1243" s="11"/>
      <c r="W1243" s="11"/>
      <c r="X1243" s="11"/>
      <c r="Y1243" s="11"/>
      <c r="Z1243" s="11"/>
      <c r="AA1243" s="11"/>
      <c r="AB1243" s="11"/>
      <c r="AC1243" s="11"/>
    </row>
    <row r="1244" spans="1:29" x14ac:dyDescent="0.3">
      <c r="A1244" s="11"/>
      <c r="B1244" s="11"/>
      <c r="C1244" s="11"/>
      <c r="D1244" s="11"/>
      <c r="E1244" s="11"/>
      <c r="F1244" s="11"/>
      <c r="G1244" s="11"/>
      <c r="H1244" s="11"/>
      <c r="I1244" s="11"/>
      <c r="J1244" s="11"/>
      <c r="K1244" s="11"/>
      <c r="L1244" s="11"/>
      <c r="M1244" s="11"/>
      <c r="N1244" s="11"/>
      <c r="O1244" s="11"/>
      <c r="P1244" s="11"/>
      <c r="Q1244" s="11"/>
      <c r="R1244" s="11"/>
      <c r="S1244" s="11"/>
      <c r="T1244" s="11"/>
      <c r="U1244" s="11"/>
      <c r="V1244" s="11"/>
      <c r="W1244" s="11"/>
      <c r="X1244" s="11"/>
      <c r="Y1244" s="11"/>
      <c r="Z1244" s="11"/>
      <c r="AA1244" s="11"/>
      <c r="AB1244" s="11"/>
      <c r="AC1244" s="11"/>
    </row>
    <row r="1245" spans="1:29" x14ac:dyDescent="0.3">
      <c r="A1245" s="11"/>
      <c r="B1245" s="11"/>
      <c r="C1245" s="11"/>
      <c r="D1245" s="11"/>
      <c r="E1245" s="11"/>
      <c r="F1245" s="11"/>
      <c r="G1245" s="11"/>
      <c r="H1245" s="11"/>
      <c r="I1245" s="11"/>
      <c r="J1245" s="11"/>
      <c r="K1245" s="11"/>
      <c r="L1245" s="11"/>
      <c r="M1245" s="11"/>
      <c r="N1245" s="11"/>
      <c r="O1245" s="11"/>
      <c r="P1245" s="11"/>
      <c r="Q1245" s="11"/>
      <c r="R1245" s="11"/>
      <c r="S1245" s="11"/>
      <c r="T1245" s="11"/>
      <c r="U1245" s="11"/>
      <c r="V1245" s="11"/>
      <c r="W1245" s="11"/>
      <c r="X1245" s="11"/>
      <c r="Y1245" s="11"/>
      <c r="Z1245" s="11"/>
      <c r="AA1245" s="11"/>
      <c r="AB1245" s="11"/>
      <c r="AC1245" s="11"/>
    </row>
    <row r="1246" spans="1:29" x14ac:dyDescent="0.3">
      <c r="A1246" s="11"/>
      <c r="B1246" s="11"/>
      <c r="C1246" s="11"/>
      <c r="D1246" s="11"/>
      <c r="E1246" s="11"/>
      <c r="F1246" s="11"/>
      <c r="G1246" s="11"/>
      <c r="H1246" s="11"/>
      <c r="I1246" s="11"/>
      <c r="J1246" s="11"/>
      <c r="K1246" s="11"/>
      <c r="L1246" s="11"/>
      <c r="M1246" s="11"/>
      <c r="N1246" s="11"/>
      <c r="O1246" s="11"/>
      <c r="P1246" s="11"/>
      <c r="Q1246" s="11"/>
      <c r="R1246" s="11"/>
      <c r="S1246" s="11"/>
      <c r="T1246" s="11"/>
      <c r="U1246" s="11"/>
      <c r="V1246" s="11"/>
      <c r="W1246" s="11"/>
      <c r="X1246" s="11"/>
      <c r="Y1246" s="11"/>
      <c r="Z1246" s="11"/>
      <c r="AA1246" s="11"/>
      <c r="AB1246" s="11"/>
      <c r="AC1246" s="11"/>
    </row>
    <row r="1247" spans="1:29" x14ac:dyDescent="0.3">
      <c r="A1247" s="11"/>
      <c r="B1247" s="11"/>
      <c r="C1247" s="11"/>
      <c r="D1247" s="11"/>
      <c r="E1247" s="11"/>
      <c r="F1247" s="11"/>
      <c r="G1247" s="11"/>
      <c r="H1247" s="11"/>
      <c r="I1247" s="11"/>
      <c r="J1247" s="11"/>
      <c r="K1247" s="11"/>
      <c r="L1247" s="11"/>
      <c r="M1247" s="11"/>
      <c r="N1247" s="11"/>
      <c r="O1247" s="11"/>
      <c r="P1247" s="11"/>
      <c r="Q1247" s="11"/>
      <c r="R1247" s="11"/>
      <c r="S1247" s="11"/>
      <c r="T1247" s="11"/>
      <c r="U1247" s="11"/>
      <c r="V1247" s="11"/>
      <c r="W1247" s="11"/>
      <c r="X1247" s="11"/>
      <c r="Y1247" s="11"/>
      <c r="Z1247" s="11"/>
      <c r="AA1247" s="11"/>
      <c r="AB1247" s="11"/>
      <c r="AC1247" s="11"/>
    </row>
    <row r="1248" spans="1:29" x14ac:dyDescent="0.3">
      <c r="A1248" s="11"/>
      <c r="B1248" s="11"/>
      <c r="C1248" s="11"/>
      <c r="D1248" s="11"/>
      <c r="E1248" s="11"/>
      <c r="F1248" s="11"/>
      <c r="G1248" s="11"/>
      <c r="H1248" s="11"/>
      <c r="I1248" s="11"/>
      <c r="J1248" s="11"/>
      <c r="K1248" s="11"/>
      <c r="L1248" s="11"/>
      <c r="M1248" s="11"/>
      <c r="N1248" s="11"/>
      <c r="O1248" s="11"/>
      <c r="P1248" s="11"/>
      <c r="Q1248" s="11"/>
      <c r="R1248" s="11"/>
      <c r="S1248" s="11"/>
      <c r="T1248" s="11"/>
      <c r="U1248" s="11"/>
      <c r="V1248" s="11"/>
      <c r="W1248" s="11"/>
      <c r="X1248" s="11"/>
      <c r="Y1248" s="11"/>
      <c r="Z1248" s="11"/>
      <c r="AA1248" s="11"/>
      <c r="AB1248" s="11"/>
      <c r="AC1248" s="11"/>
    </row>
    <row r="1249" spans="1:29" x14ac:dyDescent="0.3">
      <c r="A1249" s="11"/>
      <c r="B1249" s="11"/>
      <c r="C1249" s="11"/>
      <c r="D1249" s="11"/>
      <c r="E1249" s="11"/>
      <c r="F1249" s="11"/>
      <c r="G1249" s="11"/>
      <c r="H1249" s="11"/>
      <c r="I1249" s="11"/>
      <c r="J1249" s="11"/>
      <c r="K1249" s="11"/>
      <c r="L1249" s="11"/>
      <c r="M1249" s="11"/>
      <c r="N1249" s="11"/>
      <c r="O1249" s="11"/>
      <c r="P1249" s="11"/>
      <c r="Q1249" s="11"/>
      <c r="R1249" s="11"/>
      <c r="S1249" s="11"/>
      <c r="T1249" s="11"/>
      <c r="U1249" s="11"/>
      <c r="V1249" s="11"/>
      <c r="W1249" s="11"/>
      <c r="X1249" s="11"/>
      <c r="Y1249" s="11"/>
      <c r="Z1249" s="11"/>
      <c r="AA1249" s="11"/>
      <c r="AB1249" s="11"/>
      <c r="AC1249" s="11"/>
    </row>
    <row r="1250" spans="1:29" x14ac:dyDescent="0.3">
      <c r="A1250" s="11"/>
      <c r="B1250" s="11"/>
      <c r="C1250" s="11"/>
      <c r="D1250" s="11"/>
      <c r="E1250" s="11"/>
      <c r="F1250" s="11"/>
      <c r="G1250" s="11"/>
      <c r="H1250" s="11"/>
      <c r="I1250" s="11"/>
      <c r="J1250" s="11"/>
      <c r="K1250" s="11"/>
      <c r="L1250" s="11"/>
      <c r="M1250" s="11"/>
      <c r="N1250" s="11"/>
      <c r="O1250" s="11"/>
      <c r="P1250" s="11"/>
      <c r="Q1250" s="11"/>
      <c r="R1250" s="11"/>
      <c r="S1250" s="11"/>
      <c r="T1250" s="11"/>
      <c r="U1250" s="11"/>
      <c r="V1250" s="11"/>
      <c r="W1250" s="11"/>
      <c r="X1250" s="11"/>
      <c r="Y1250" s="11"/>
      <c r="Z1250" s="11"/>
      <c r="AA1250" s="11"/>
      <c r="AB1250" s="11"/>
      <c r="AC1250" s="11"/>
    </row>
    <row r="1251" spans="1:29" x14ac:dyDescent="0.3">
      <c r="A1251" s="11"/>
      <c r="B1251" s="11"/>
      <c r="C1251" s="11"/>
      <c r="D1251" s="11"/>
      <c r="E1251" s="11"/>
      <c r="F1251" s="11"/>
      <c r="G1251" s="11"/>
      <c r="H1251" s="11"/>
      <c r="I1251" s="11"/>
      <c r="J1251" s="11"/>
      <c r="K1251" s="11"/>
      <c r="L1251" s="11"/>
      <c r="M1251" s="11"/>
      <c r="N1251" s="11"/>
      <c r="O1251" s="11"/>
      <c r="P1251" s="11"/>
      <c r="Q1251" s="11"/>
      <c r="R1251" s="11"/>
      <c r="S1251" s="11"/>
      <c r="T1251" s="11"/>
      <c r="U1251" s="11"/>
      <c r="V1251" s="11"/>
      <c r="W1251" s="11"/>
      <c r="X1251" s="11"/>
      <c r="Y1251" s="11"/>
      <c r="Z1251" s="11"/>
      <c r="AA1251" s="11"/>
      <c r="AB1251" s="11"/>
      <c r="AC1251" s="11"/>
    </row>
    <row r="1252" spans="1:29" x14ac:dyDescent="0.3">
      <c r="A1252" s="11"/>
      <c r="B1252" s="11"/>
      <c r="C1252" s="11"/>
      <c r="D1252" s="11"/>
      <c r="E1252" s="11"/>
      <c r="F1252" s="11"/>
      <c r="G1252" s="11"/>
      <c r="H1252" s="11"/>
      <c r="I1252" s="11"/>
      <c r="J1252" s="11"/>
      <c r="K1252" s="11"/>
      <c r="L1252" s="11"/>
      <c r="M1252" s="11"/>
      <c r="N1252" s="11"/>
      <c r="O1252" s="11"/>
      <c r="P1252" s="11"/>
      <c r="Q1252" s="11"/>
      <c r="R1252" s="11"/>
      <c r="S1252" s="11"/>
      <c r="T1252" s="11"/>
      <c r="U1252" s="11"/>
      <c r="V1252" s="11"/>
      <c r="W1252" s="11"/>
      <c r="X1252" s="11"/>
      <c r="Y1252" s="11"/>
      <c r="Z1252" s="11"/>
      <c r="AA1252" s="11"/>
      <c r="AB1252" s="11"/>
      <c r="AC1252" s="11"/>
    </row>
    <row r="1253" spans="1:29" x14ac:dyDescent="0.3">
      <c r="A1253" s="11"/>
      <c r="B1253" s="11"/>
      <c r="C1253" s="11"/>
      <c r="D1253" s="11"/>
      <c r="E1253" s="11"/>
      <c r="F1253" s="11"/>
      <c r="G1253" s="11"/>
      <c r="H1253" s="11"/>
      <c r="I1253" s="11"/>
      <c r="J1253" s="11"/>
      <c r="K1253" s="11"/>
      <c r="L1253" s="11"/>
      <c r="M1253" s="11"/>
      <c r="N1253" s="11"/>
      <c r="O1253" s="11"/>
      <c r="P1253" s="11"/>
      <c r="Q1253" s="11"/>
      <c r="R1253" s="11"/>
      <c r="S1253" s="11"/>
      <c r="T1253" s="11"/>
      <c r="U1253" s="11"/>
      <c r="V1253" s="11"/>
      <c r="W1253" s="11"/>
      <c r="X1253" s="11"/>
      <c r="Y1253" s="11"/>
      <c r="Z1253" s="11"/>
      <c r="AA1253" s="11"/>
      <c r="AB1253" s="11"/>
      <c r="AC1253" s="11"/>
    </row>
    <row r="1254" spans="1:29" x14ac:dyDescent="0.3">
      <c r="A1254" s="11"/>
      <c r="B1254" s="11"/>
      <c r="C1254" s="11"/>
      <c r="D1254" s="11"/>
      <c r="E1254" s="11"/>
      <c r="F1254" s="11"/>
      <c r="G1254" s="11"/>
      <c r="H1254" s="11"/>
      <c r="I1254" s="11"/>
      <c r="J1254" s="11"/>
      <c r="K1254" s="11"/>
      <c r="L1254" s="11"/>
      <c r="M1254" s="11"/>
      <c r="N1254" s="11"/>
      <c r="O1254" s="11"/>
      <c r="P1254" s="11"/>
      <c r="Q1254" s="11"/>
      <c r="R1254" s="11"/>
      <c r="S1254" s="11"/>
      <c r="T1254" s="11"/>
      <c r="U1254" s="11"/>
      <c r="V1254" s="11"/>
      <c r="W1254" s="11"/>
      <c r="X1254" s="11"/>
      <c r="Y1254" s="11"/>
      <c r="Z1254" s="11"/>
      <c r="AA1254" s="11"/>
      <c r="AB1254" s="11"/>
      <c r="AC1254" s="11"/>
    </row>
    <row r="1255" spans="1:29" x14ac:dyDescent="0.3">
      <c r="A1255" s="11"/>
      <c r="B1255" s="11"/>
      <c r="C1255" s="11"/>
      <c r="D1255" s="11"/>
      <c r="E1255" s="11"/>
      <c r="F1255" s="11"/>
      <c r="G1255" s="11"/>
      <c r="H1255" s="11"/>
      <c r="I1255" s="11"/>
      <c r="J1255" s="11"/>
      <c r="K1255" s="11"/>
      <c r="L1255" s="11"/>
      <c r="M1255" s="11"/>
      <c r="N1255" s="11"/>
      <c r="O1255" s="11"/>
      <c r="P1255" s="11"/>
      <c r="Q1255" s="11"/>
      <c r="R1255" s="11"/>
      <c r="S1255" s="11"/>
      <c r="T1255" s="11"/>
      <c r="U1255" s="11"/>
      <c r="V1255" s="11"/>
      <c r="W1255" s="11"/>
      <c r="X1255" s="11"/>
      <c r="Y1255" s="11"/>
      <c r="Z1255" s="11"/>
      <c r="AA1255" s="11"/>
      <c r="AB1255" s="11"/>
      <c r="AC1255" s="11"/>
    </row>
    <row r="1256" spans="1:29" x14ac:dyDescent="0.3">
      <c r="A1256" s="11"/>
      <c r="B1256" s="11"/>
      <c r="C1256" s="11"/>
      <c r="D1256" s="11"/>
      <c r="E1256" s="11"/>
      <c r="F1256" s="11"/>
      <c r="G1256" s="11"/>
      <c r="H1256" s="11"/>
      <c r="I1256" s="11"/>
      <c r="J1256" s="11"/>
      <c r="K1256" s="11"/>
      <c r="L1256" s="11"/>
      <c r="M1256" s="11"/>
      <c r="N1256" s="11"/>
      <c r="O1256" s="11"/>
      <c r="P1256" s="11"/>
      <c r="Q1256" s="11"/>
      <c r="R1256" s="11"/>
      <c r="S1256" s="11"/>
      <c r="T1256" s="11"/>
      <c r="U1256" s="11"/>
      <c r="V1256" s="11"/>
      <c r="W1256" s="11"/>
      <c r="X1256" s="11"/>
      <c r="Y1256" s="11"/>
      <c r="Z1256" s="11"/>
      <c r="AA1256" s="11"/>
      <c r="AB1256" s="11"/>
      <c r="AC1256" s="11"/>
    </row>
    <row r="1257" spans="1:29" x14ac:dyDescent="0.3">
      <c r="A1257" s="11"/>
      <c r="B1257" s="11"/>
      <c r="C1257" s="11"/>
      <c r="D1257" s="11"/>
      <c r="E1257" s="11"/>
      <c r="F1257" s="11"/>
      <c r="G1257" s="11"/>
      <c r="H1257" s="11"/>
      <c r="I1257" s="11"/>
      <c r="J1257" s="11"/>
      <c r="K1257" s="11"/>
      <c r="L1257" s="11"/>
      <c r="M1257" s="11"/>
      <c r="N1257" s="11"/>
      <c r="O1257" s="11"/>
      <c r="P1257" s="11"/>
      <c r="Q1257" s="11"/>
      <c r="R1257" s="11"/>
      <c r="S1257" s="11"/>
      <c r="T1257" s="11"/>
      <c r="U1257" s="11"/>
      <c r="V1257" s="11"/>
      <c r="W1257" s="11"/>
      <c r="X1257" s="11"/>
      <c r="Y1257" s="11"/>
      <c r="Z1257" s="11"/>
      <c r="AA1257" s="11"/>
      <c r="AB1257" s="11"/>
      <c r="AC1257" s="11"/>
    </row>
    <row r="1258" spans="1:29" x14ac:dyDescent="0.3">
      <c r="A1258" s="11"/>
      <c r="B1258" s="11"/>
      <c r="C1258" s="11"/>
      <c r="D1258" s="11"/>
      <c r="E1258" s="11"/>
      <c r="F1258" s="11"/>
      <c r="G1258" s="11"/>
      <c r="H1258" s="11"/>
      <c r="I1258" s="11"/>
      <c r="J1258" s="11"/>
      <c r="K1258" s="11"/>
      <c r="L1258" s="11"/>
      <c r="M1258" s="11"/>
      <c r="N1258" s="11"/>
      <c r="O1258" s="11"/>
      <c r="P1258" s="11"/>
      <c r="Q1258" s="11"/>
      <c r="R1258" s="11"/>
      <c r="S1258" s="11"/>
      <c r="T1258" s="11"/>
      <c r="U1258" s="11"/>
      <c r="V1258" s="11"/>
      <c r="W1258" s="11"/>
      <c r="X1258" s="11"/>
      <c r="Y1258" s="11"/>
      <c r="Z1258" s="11"/>
      <c r="AA1258" s="11"/>
      <c r="AB1258" s="11"/>
      <c r="AC1258" s="11"/>
    </row>
    <row r="1259" spans="1:29" x14ac:dyDescent="0.3">
      <c r="A1259" s="11"/>
      <c r="B1259" s="11"/>
      <c r="C1259" s="11"/>
      <c r="D1259" s="11"/>
      <c r="E1259" s="11"/>
      <c r="F1259" s="11"/>
      <c r="G1259" s="11"/>
      <c r="H1259" s="11"/>
      <c r="I1259" s="11"/>
      <c r="J1259" s="11"/>
      <c r="K1259" s="11"/>
      <c r="L1259" s="11"/>
      <c r="M1259" s="11"/>
      <c r="N1259" s="11"/>
      <c r="O1259" s="11"/>
      <c r="P1259" s="11"/>
      <c r="Q1259" s="11"/>
      <c r="R1259" s="11"/>
      <c r="S1259" s="11"/>
      <c r="T1259" s="11"/>
      <c r="U1259" s="11"/>
      <c r="V1259" s="11"/>
      <c r="W1259" s="11"/>
      <c r="X1259" s="11"/>
      <c r="Y1259" s="11"/>
      <c r="Z1259" s="11"/>
      <c r="AA1259" s="11"/>
      <c r="AB1259" s="11"/>
      <c r="AC1259" s="11"/>
    </row>
    <row r="1260" spans="1:29" x14ac:dyDescent="0.3">
      <c r="A1260" s="11"/>
      <c r="B1260" s="11"/>
      <c r="C1260" s="11"/>
      <c r="D1260" s="11"/>
      <c r="E1260" s="11"/>
      <c r="F1260" s="11"/>
      <c r="G1260" s="11"/>
      <c r="H1260" s="11"/>
      <c r="I1260" s="11"/>
      <c r="J1260" s="11"/>
      <c r="K1260" s="11"/>
      <c r="L1260" s="11"/>
      <c r="M1260" s="11"/>
      <c r="N1260" s="11"/>
      <c r="O1260" s="11"/>
      <c r="P1260" s="11"/>
      <c r="Q1260" s="11"/>
      <c r="R1260" s="11"/>
      <c r="S1260" s="11"/>
      <c r="T1260" s="11"/>
      <c r="U1260" s="11"/>
      <c r="V1260" s="11"/>
      <c r="W1260" s="11"/>
      <c r="X1260" s="11"/>
      <c r="Y1260" s="11"/>
      <c r="Z1260" s="11"/>
      <c r="AA1260" s="11"/>
      <c r="AB1260" s="11"/>
      <c r="AC1260" s="11"/>
    </row>
    <row r="1261" spans="1:29" x14ac:dyDescent="0.3">
      <c r="A1261" s="11"/>
      <c r="B1261" s="11"/>
      <c r="C1261" s="11"/>
      <c r="D1261" s="11"/>
      <c r="E1261" s="11"/>
      <c r="F1261" s="11"/>
      <c r="G1261" s="11"/>
      <c r="H1261" s="11"/>
      <c r="I1261" s="11"/>
      <c r="J1261" s="11"/>
      <c r="K1261" s="11"/>
      <c r="L1261" s="11"/>
      <c r="M1261" s="11"/>
      <c r="N1261" s="11"/>
      <c r="O1261" s="11"/>
      <c r="P1261" s="11"/>
      <c r="Q1261" s="11"/>
      <c r="R1261" s="11"/>
      <c r="S1261" s="11"/>
      <c r="T1261" s="11"/>
      <c r="U1261" s="11"/>
      <c r="V1261" s="11"/>
      <c r="W1261" s="11"/>
      <c r="X1261" s="11"/>
      <c r="Y1261" s="11"/>
      <c r="Z1261" s="11"/>
      <c r="AA1261" s="11"/>
      <c r="AB1261" s="11"/>
      <c r="AC1261" s="11"/>
    </row>
    <row r="1262" spans="1:29" x14ac:dyDescent="0.3">
      <c r="A1262" s="11"/>
      <c r="B1262" s="11"/>
      <c r="C1262" s="11"/>
      <c r="D1262" s="11"/>
      <c r="E1262" s="11"/>
      <c r="F1262" s="11"/>
      <c r="G1262" s="11"/>
      <c r="H1262" s="11"/>
      <c r="I1262" s="11"/>
      <c r="J1262" s="11"/>
      <c r="K1262" s="11"/>
      <c r="L1262" s="11"/>
      <c r="M1262" s="11"/>
      <c r="N1262" s="11"/>
      <c r="O1262" s="11"/>
      <c r="P1262" s="11"/>
      <c r="Q1262" s="11"/>
      <c r="R1262" s="11"/>
      <c r="S1262" s="11"/>
      <c r="T1262" s="11"/>
      <c r="U1262" s="11"/>
      <c r="V1262" s="11"/>
      <c r="W1262" s="11"/>
      <c r="X1262" s="11"/>
      <c r="Y1262" s="11"/>
      <c r="Z1262" s="11"/>
      <c r="AA1262" s="11"/>
      <c r="AB1262" s="11"/>
      <c r="AC1262" s="11"/>
    </row>
    <row r="1263" spans="1:29" x14ac:dyDescent="0.3">
      <c r="A1263" s="11"/>
      <c r="B1263" s="11"/>
      <c r="C1263" s="11"/>
      <c r="D1263" s="11"/>
      <c r="E1263" s="11"/>
      <c r="F1263" s="11"/>
      <c r="G1263" s="11"/>
      <c r="H1263" s="11"/>
      <c r="I1263" s="11"/>
      <c r="J1263" s="11"/>
      <c r="K1263" s="11"/>
      <c r="L1263" s="11"/>
      <c r="M1263" s="11"/>
      <c r="N1263" s="11"/>
      <c r="O1263" s="11"/>
      <c r="P1263" s="11"/>
      <c r="Q1263" s="11"/>
      <c r="R1263" s="11"/>
      <c r="S1263" s="11"/>
      <c r="T1263" s="11"/>
      <c r="U1263" s="11"/>
      <c r="V1263" s="11"/>
      <c r="W1263" s="11"/>
      <c r="X1263" s="11"/>
      <c r="Y1263" s="11"/>
      <c r="Z1263" s="11"/>
      <c r="AA1263" s="11"/>
      <c r="AB1263" s="11"/>
      <c r="AC1263" s="11"/>
    </row>
    <row r="1264" spans="1:29" x14ac:dyDescent="0.3">
      <c r="A1264" s="11"/>
      <c r="B1264" s="11"/>
      <c r="C1264" s="11"/>
      <c r="D1264" s="11"/>
      <c r="E1264" s="11"/>
      <c r="F1264" s="11"/>
      <c r="G1264" s="11"/>
      <c r="H1264" s="11"/>
      <c r="I1264" s="11"/>
      <c r="J1264" s="11"/>
      <c r="K1264" s="11"/>
      <c r="L1264" s="11"/>
      <c r="M1264" s="11"/>
      <c r="N1264" s="11"/>
      <c r="O1264" s="11"/>
      <c r="P1264" s="11"/>
      <c r="Q1264" s="11"/>
      <c r="R1264" s="11"/>
      <c r="S1264" s="11"/>
      <c r="T1264" s="11"/>
      <c r="U1264" s="11"/>
      <c r="V1264" s="11"/>
      <c r="W1264" s="11"/>
      <c r="X1264" s="11"/>
      <c r="Y1264" s="11"/>
      <c r="Z1264" s="11"/>
      <c r="AA1264" s="11"/>
      <c r="AB1264" s="11"/>
      <c r="AC1264" s="11"/>
    </row>
    <row r="1265" spans="1:29" x14ac:dyDescent="0.3">
      <c r="A1265" s="11"/>
      <c r="B1265" s="11"/>
      <c r="C1265" s="11"/>
      <c r="D1265" s="11"/>
      <c r="E1265" s="11"/>
      <c r="F1265" s="11"/>
      <c r="G1265" s="11"/>
      <c r="H1265" s="11"/>
      <c r="I1265" s="11"/>
      <c r="J1265" s="11"/>
      <c r="K1265" s="11"/>
      <c r="L1265" s="11"/>
      <c r="M1265" s="11"/>
      <c r="N1265" s="11"/>
      <c r="O1265" s="11"/>
      <c r="P1265" s="11"/>
      <c r="Q1265" s="11"/>
      <c r="R1265" s="11"/>
      <c r="S1265" s="11"/>
      <c r="T1265" s="11"/>
      <c r="U1265" s="11"/>
      <c r="V1265" s="11"/>
      <c r="W1265" s="11"/>
      <c r="X1265" s="11"/>
      <c r="Y1265" s="11"/>
      <c r="Z1265" s="11"/>
      <c r="AA1265" s="11"/>
      <c r="AB1265" s="11"/>
      <c r="AC1265" s="11"/>
    </row>
    <row r="1266" spans="1:29" x14ac:dyDescent="0.3">
      <c r="A1266" s="11"/>
      <c r="B1266" s="11"/>
      <c r="C1266" s="11"/>
      <c r="D1266" s="11"/>
      <c r="E1266" s="11"/>
      <c r="F1266" s="11"/>
      <c r="G1266" s="11"/>
      <c r="H1266" s="11"/>
      <c r="I1266" s="11"/>
      <c r="J1266" s="11"/>
      <c r="K1266" s="11"/>
      <c r="L1266" s="11"/>
      <c r="M1266" s="11"/>
      <c r="N1266" s="11"/>
      <c r="O1266" s="11"/>
      <c r="P1266" s="11"/>
      <c r="Q1266" s="11"/>
      <c r="R1266" s="11"/>
      <c r="S1266" s="11"/>
      <c r="T1266" s="11"/>
      <c r="U1266" s="11"/>
      <c r="V1266" s="11"/>
      <c r="W1266" s="11"/>
      <c r="X1266" s="11"/>
      <c r="Y1266" s="11"/>
      <c r="Z1266" s="11"/>
      <c r="AA1266" s="11"/>
      <c r="AB1266" s="11"/>
      <c r="AC1266" s="11"/>
    </row>
    <row r="1267" spans="1:29" x14ac:dyDescent="0.3">
      <c r="A1267" s="11"/>
      <c r="B1267" s="11"/>
      <c r="C1267" s="11"/>
      <c r="D1267" s="11"/>
      <c r="E1267" s="11"/>
      <c r="F1267" s="11"/>
      <c r="G1267" s="11"/>
      <c r="H1267" s="11"/>
      <c r="I1267" s="11"/>
      <c r="J1267" s="11"/>
      <c r="K1267" s="11"/>
      <c r="L1267" s="11"/>
      <c r="M1267" s="11"/>
      <c r="N1267" s="11"/>
      <c r="O1267" s="11"/>
      <c r="P1267" s="11"/>
      <c r="Q1267" s="11"/>
      <c r="R1267" s="11"/>
      <c r="S1267" s="11"/>
      <c r="T1267" s="11"/>
      <c r="U1267" s="11"/>
      <c r="V1267" s="11"/>
      <c r="W1267" s="11"/>
      <c r="X1267" s="11"/>
      <c r="Y1267" s="11"/>
      <c r="Z1267" s="11"/>
      <c r="AA1267" s="11"/>
      <c r="AB1267" s="11"/>
      <c r="AC1267" s="11"/>
    </row>
    <row r="1268" spans="1:29" x14ac:dyDescent="0.3">
      <c r="A1268" s="11"/>
      <c r="B1268" s="11"/>
      <c r="C1268" s="11"/>
      <c r="D1268" s="11"/>
      <c r="E1268" s="11"/>
      <c r="F1268" s="11"/>
      <c r="G1268" s="11"/>
      <c r="H1268" s="11"/>
      <c r="I1268" s="11"/>
      <c r="J1268" s="11"/>
      <c r="K1268" s="11"/>
      <c r="L1268" s="11"/>
      <c r="M1268" s="11"/>
      <c r="N1268" s="11"/>
      <c r="O1268" s="11"/>
      <c r="P1268" s="11"/>
      <c r="Q1268" s="11"/>
      <c r="R1268" s="11"/>
      <c r="S1268" s="11"/>
      <c r="T1268" s="11"/>
      <c r="U1268" s="11"/>
      <c r="V1268" s="11"/>
      <c r="W1268" s="11"/>
      <c r="X1268" s="11"/>
      <c r="Y1268" s="11"/>
      <c r="Z1268" s="11"/>
      <c r="AA1268" s="11"/>
      <c r="AB1268" s="11"/>
      <c r="AC1268" s="11"/>
    </row>
    <row r="1269" spans="1:29" x14ac:dyDescent="0.3">
      <c r="A1269" s="11"/>
      <c r="B1269" s="11"/>
      <c r="C1269" s="11"/>
      <c r="D1269" s="11"/>
      <c r="E1269" s="11"/>
      <c r="F1269" s="11"/>
      <c r="G1269" s="11"/>
      <c r="H1269" s="11"/>
      <c r="I1269" s="11"/>
      <c r="J1269" s="11"/>
      <c r="K1269" s="11"/>
      <c r="L1269" s="11"/>
      <c r="M1269" s="11"/>
      <c r="N1269" s="11"/>
      <c r="O1269" s="11"/>
      <c r="P1269" s="11"/>
      <c r="Q1269" s="11"/>
      <c r="R1269" s="11"/>
      <c r="S1269" s="11"/>
      <c r="T1269" s="11"/>
      <c r="U1269" s="11"/>
      <c r="V1269" s="11"/>
      <c r="W1269" s="11"/>
      <c r="X1269" s="11"/>
      <c r="Y1269" s="11"/>
      <c r="Z1269" s="11"/>
      <c r="AA1269" s="11"/>
      <c r="AB1269" s="11"/>
      <c r="AC1269" s="11"/>
    </row>
    <row r="1270" spans="1:29" x14ac:dyDescent="0.3">
      <c r="A1270" s="11"/>
      <c r="B1270" s="11"/>
      <c r="C1270" s="11"/>
      <c r="D1270" s="11"/>
      <c r="E1270" s="11"/>
      <c r="F1270" s="11"/>
      <c r="G1270" s="11"/>
      <c r="H1270" s="11"/>
      <c r="I1270" s="11"/>
      <c r="J1270" s="11"/>
      <c r="K1270" s="11"/>
      <c r="L1270" s="11"/>
      <c r="M1270" s="11"/>
      <c r="N1270" s="11"/>
      <c r="O1270" s="11"/>
      <c r="P1270" s="11"/>
      <c r="Q1270" s="11"/>
      <c r="R1270" s="11"/>
      <c r="S1270" s="11"/>
      <c r="T1270" s="11"/>
      <c r="U1270" s="11"/>
      <c r="V1270" s="11"/>
      <c r="W1270" s="11"/>
      <c r="X1270" s="11"/>
      <c r="Y1270" s="11"/>
      <c r="Z1270" s="11"/>
      <c r="AA1270" s="11"/>
      <c r="AB1270" s="11"/>
      <c r="AC1270" s="11"/>
    </row>
    <row r="1271" spans="1:29" x14ac:dyDescent="0.3">
      <c r="A1271" s="11"/>
      <c r="B1271" s="11"/>
      <c r="C1271" s="11"/>
      <c r="D1271" s="11"/>
      <c r="E1271" s="11"/>
      <c r="F1271" s="11"/>
      <c r="G1271" s="11"/>
      <c r="H1271" s="11"/>
      <c r="I1271" s="11"/>
      <c r="J1271" s="11"/>
      <c r="K1271" s="11"/>
      <c r="L1271" s="11"/>
      <c r="M1271" s="11"/>
      <c r="N1271" s="11"/>
      <c r="O1271" s="11"/>
      <c r="P1271" s="11"/>
      <c r="Q1271" s="11"/>
      <c r="R1271" s="11"/>
      <c r="S1271" s="11"/>
      <c r="T1271" s="11"/>
      <c r="U1271" s="11"/>
      <c r="V1271" s="11"/>
      <c r="W1271" s="11"/>
      <c r="X1271" s="11"/>
      <c r="Y1271" s="11"/>
      <c r="Z1271" s="11"/>
      <c r="AA1271" s="11"/>
      <c r="AB1271" s="11"/>
      <c r="AC1271" s="11"/>
    </row>
    <row r="1272" spans="1:29" x14ac:dyDescent="0.3">
      <c r="A1272" s="11"/>
      <c r="B1272" s="11"/>
      <c r="C1272" s="11"/>
      <c r="D1272" s="11"/>
      <c r="E1272" s="11"/>
      <c r="F1272" s="11"/>
      <c r="G1272" s="11"/>
      <c r="H1272" s="11"/>
      <c r="I1272" s="11"/>
      <c r="J1272" s="11"/>
      <c r="K1272" s="11"/>
      <c r="L1272" s="11"/>
      <c r="M1272" s="11"/>
      <c r="N1272" s="11"/>
      <c r="O1272" s="11"/>
      <c r="P1272" s="11"/>
      <c r="Q1272" s="11"/>
      <c r="R1272" s="11"/>
      <c r="S1272" s="11"/>
      <c r="T1272" s="11"/>
      <c r="U1272" s="11"/>
      <c r="V1272" s="11"/>
      <c r="W1272" s="11"/>
      <c r="X1272" s="11"/>
      <c r="Y1272" s="11"/>
      <c r="Z1272" s="11"/>
      <c r="AA1272" s="11"/>
      <c r="AB1272" s="11"/>
      <c r="AC1272" s="11"/>
    </row>
    <row r="1273" spans="1:29" x14ac:dyDescent="0.3">
      <c r="A1273" s="11"/>
      <c r="B1273" s="11"/>
      <c r="C1273" s="11"/>
      <c r="D1273" s="11"/>
      <c r="E1273" s="11"/>
      <c r="F1273" s="11"/>
      <c r="G1273" s="11"/>
      <c r="H1273" s="11"/>
      <c r="I1273" s="11"/>
      <c r="J1273" s="11"/>
      <c r="K1273" s="11"/>
      <c r="L1273" s="11"/>
      <c r="M1273" s="11"/>
      <c r="N1273" s="11"/>
      <c r="O1273" s="11"/>
      <c r="P1273" s="11"/>
      <c r="Q1273" s="11"/>
      <c r="R1273" s="11"/>
      <c r="S1273" s="11"/>
      <c r="T1273" s="11"/>
      <c r="U1273" s="11"/>
      <c r="V1273" s="11"/>
      <c r="W1273" s="11"/>
      <c r="X1273" s="11"/>
      <c r="Y1273" s="11"/>
      <c r="Z1273" s="11"/>
      <c r="AA1273" s="11"/>
      <c r="AB1273" s="11"/>
      <c r="AC1273" s="11"/>
    </row>
    <row r="1274" spans="1:29" x14ac:dyDescent="0.3">
      <c r="A1274" s="11"/>
      <c r="B1274" s="11"/>
      <c r="C1274" s="11"/>
      <c r="D1274" s="11"/>
      <c r="E1274" s="11"/>
      <c r="F1274" s="11"/>
      <c r="G1274" s="11"/>
      <c r="H1274" s="11"/>
      <c r="I1274" s="11"/>
      <c r="J1274" s="11"/>
      <c r="K1274" s="11"/>
      <c r="L1274" s="11"/>
      <c r="M1274" s="11"/>
      <c r="N1274" s="11"/>
      <c r="O1274" s="11"/>
      <c r="P1274" s="11"/>
      <c r="Q1274" s="11"/>
      <c r="R1274" s="11"/>
      <c r="S1274" s="11"/>
      <c r="T1274" s="11"/>
      <c r="U1274" s="11"/>
      <c r="V1274" s="11"/>
      <c r="W1274" s="11"/>
      <c r="X1274" s="11"/>
      <c r="Y1274" s="11"/>
      <c r="Z1274" s="11"/>
      <c r="AA1274" s="11"/>
      <c r="AB1274" s="11"/>
      <c r="AC1274" s="11"/>
    </row>
    <row r="1275" spans="1:29" x14ac:dyDescent="0.3">
      <c r="A1275" s="11"/>
      <c r="B1275" s="11"/>
      <c r="C1275" s="11"/>
      <c r="D1275" s="11"/>
      <c r="E1275" s="11"/>
      <c r="F1275" s="11"/>
      <c r="G1275" s="11"/>
      <c r="H1275" s="11"/>
      <c r="I1275" s="11"/>
      <c r="J1275" s="11"/>
      <c r="K1275" s="11"/>
      <c r="L1275" s="11"/>
      <c r="M1275" s="11"/>
      <c r="N1275" s="11"/>
      <c r="O1275" s="11"/>
      <c r="P1275" s="11"/>
      <c r="Q1275" s="11"/>
      <c r="R1275" s="11"/>
      <c r="S1275" s="11"/>
      <c r="T1275" s="11"/>
      <c r="U1275" s="11"/>
      <c r="V1275" s="11"/>
      <c r="W1275" s="11"/>
      <c r="X1275" s="11"/>
      <c r="Y1275" s="11"/>
      <c r="Z1275" s="11"/>
      <c r="AA1275" s="11"/>
      <c r="AB1275" s="11"/>
      <c r="AC1275" s="11"/>
    </row>
    <row r="1276" spans="1:29" x14ac:dyDescent="0.3">
      <c r="A1276" s="11"/>
      <c r="B1276" s="11"/>
      <c r="C1276" s="11"/>
      <c r="D1276" s="11"/>
      <c r="E1276" s="11"/>
      <c r="F1276" s="11"/>
      <c r="G1276" s="11"/>
      <c r="H1276" s="11"/>
      <c r="I1276" s="11"/>
      <c r="J1276" s="11"/>
      <c r="K1276" s="11"/>
      <c r="L1276" s="11"/>
      <c r="M1276" s="11"/>
      <c r="N1276" s="11"/>
      <c r="O1276" s="11"/>
      <c r="P1276" s="11"/>
      <c r="Q1276" s="11"/>
      <c r="R1276" s="11"/>
      <c r="S1276" s="11"/>
      <c r="T1276" s="11"/>
      <c r="U1276" s="11"/>
      <c r="V1276" s="11"/>
      <c r="W1276" s="11"/>
      <c r="X1276" s="11"/>
      <c r="Y1276" s="11"/>
      <c r="Z1276" s="11"/>
      <c r="AA1276" s="11"/>
      <c r="AB1276" s="11"/>
      <c r="AC1276" s="11"/>
    </row>
    <row r="1277" spans="1:29" x14ac:dyDescent="0.3">
      <c r="A1277" s="11"/>
      <c r="B1277" s="11"/>
      <c r="C1277" s="11"/>
      <c r="D1277" s="11"/>
      <c r="E1277" s="11"/>
      <c r="F1277" s="11"/>
      <c r="G1277" s="11"/>
      <c r="H1277" s="11"/>
      <c r="I1277" s="11"/>
      <c r="J1277" s="11"/>
      <c r="K1277" s="11"/>
      <c r="L1277" s="11"/>
      <c r="M1277" s="11"/>
      <c r="N1277" s="11"/>
      <c r="O1277" s="11"/>
      <c r="P1277" s="11"/>
      <c r="Q1277" s="11"/>
      <c r="R1277" s="11"/>
      <c r="S1277" s="11"/>
      <c r="T1277" s="11"/>
      <c r="U1277" s="11"/>
      <c r="V1277" s="11"/>
      <c r="W1277" s="11"/>
      <c r="X1277" s="11"/>
      <c r="Y1277" s="11"/>
      <c r="Z1277" s="11"/>
      <c r="AA1277" s="11"/>
      <c r="AB1277" s="11"/>
      <c r="AC1277" s="11"/>
    </row>
    <row r="1278" spans="1:29" x14ac:dyDescent="0.3">
      <c r="A1278" s="11"/>
      <c r="B1278" s="11"/>
      <c r="C1278" s="11"/>
      <c r="D1278" s="11"/>
      <c r="E1278" s="11"/>
      <c r="F1278" s="11"/>
      <c r="G1278" s="11"/>
      <c r="H1278" s="11"/>
      <c r="I1278" s="11"/>
      <c r="J1278" s="11"/>
      <c r="K1278" s="11"/>
      <c r="L1278" s="11"/>
      <c r="M1278" s="11"/>
      <c r="N1278" s="11"/>
      <c r="O1278" s="11"/>
      <c r="P1278" s="11"/>
      <c r="Q1278" s="11"/>
      <c r="R1278" s="11"/>
      <c r="S1278" s="11"/>
      <c r="T1278" s="11"/>
      <c r="U1278" s="11"/>
      <c r="V1278" s="11"/>
      <c r="W1278" s="11"/>
      <c r="X1278" s="11"/>
      <c r="Y1278" s="11"/>
      <c r="Z1278" s="11"/>
      <c r="AA1278" s="11"/>
      <c r="AB1278" s="11"/>
      <c r="AC1278" s="11"/>
    </row>
    <row r="1279" spans="1:29" x14ac:dyDescent="0.3">
      <c r="A1279" s="11"/>
      <c r="B1279" s="11"/>
      <c r="C1279" s="11"/>
      <c r="D1279" s="11"/>
      <c r="E1279" s="11"/>
      <c r="F1279" s="11"/>
      <c r="G1279" s="11"/>
      <c r="H1279" s="11"/>
      <c r="I1279" s="11"/>
      <c r="J1279" s="11"/>
      <c r="K1279" s="11"/>
      <c r="L1279" s="11"/>
      <c r="M1279" s="11"/>
      <c r="N1279" s="11"/>
      <c r="O1279" s="11"/>
      <c r="P1279" s="11"/>
      <c r="Q1279" s="11"/>
      <c r="R1279" s="11"/>
      <c r="S1279" s="11"/>
      <c r="T1279" s="11"/>
      <c r="U1279" s="11"/>
      <c r="V1279" s="11"/>
      <c r="W1279" s="11"/>
      <c r="X1279" s="11"/>
      <c r="Y1279" s="11"/>
      <c r="Z1279" s="11"/>
      <c r="AA1279" s="11"/>
      <c r="AB1279" s="11"/>
      <c r="AC1279" s="11"/>
    </row>
    <row r="1280" spans="1:29" x14ac:dyDescent="0.3">
      <c r="A1280" s="11"/>
      <c r="B1280" s="11"/>
      <c r="C1280" s="11"/>
      <c r="D1280" s="11"/>
      <c r="E1280" s="11"/>
      <c r="F1280" s="11"/>
      <c r="G1280" s="11"/>
      <c r="H1280" s="11"/>
      <c r="I1280" s="11"/>
      <c r="J1280" s="11"/>
      <c r="K1280" s="11"/>
      <c r="L1280" s="11"/>
      <c r="M1280" s="11"/>
      <c r="N1280" s="11"/>
      <c r="O1280" s="11"/>
      <c r="P1280" s="11"/>
      <c r="Q1280" s="11"/>
      <c r="R1280" s="11"/>
      <c r="S1280" s="11"/>
      <c r="T1280" s="11"/>
      <c r="U1280" s="11"/>
      <c r="V1280" s="11"/>
      <c r="W1280" s="11"/>
      <c r="X1280" s="11"/>
      <c r="Y1280" s="11"/>
      <c r="Z1280" s="11"/>
      <c r="AA1280" s="11"/>
      <c r="AB1280" s="11"/>
      <c r="AC1280" s="11"/>
    </row>
    <row r="1281" spans="1:29" x14ac:dyDescent="0.3">
      <c r="A1281" s="11"/>
      <c r="B1281" s="11"/>
      <c r="C1281" s="11"/>
      <c r="D1281" s="11"/>
      <c r="E1281" s="11"/>
      <c r="F1281" s="11"/>
      <c r="G1281" s="11"/>
      <c r="H1281" s="11"/>
      <c r="I1281" s="11"/>
      <c r="J1281" s="11"/>
      <c r="K1281" s="11"/>
      <c r="L1281" s="11"/>
      <c r="M1281" s="11"/>
      <c r="N1281" s="11"/>
      <c r="O1281" s="11"/>
      <c r="P1281" s="11"/>
      <c r="Q1281" s="11"/>
      <c r="R1281" s="11"/>
      <c r="S1281" s="11"/>
      <c r="T1281" s="11"/>
      <c r="U1281" s="11"/>
      <c r="V1281" s="11"/>
      <c r="W1281" s="11"/>
      <c r="X1281" s="11"/>
      <c r="Y1281" s="11"/>
      <c r="Z1281" s="11"/>
      <c r="AA1281" s="11"/>
      <c r="AB1281" s="11"/>
      <c r="AC1281" s="11"/>
    </row>
    <row r="1282" spans="1:29" x14ac:dyDescent="0.3">
      <c r="A1282" s="11"/>
      <c r="B1282" s="11"/>
      <c r="C1282" s="11"/>
      <c r="D1282" s="11"/>
      <c r="E1282" s="11"/>
      <c r="F1282" s="11"/>
      <c r="G1282" s="11"/>
      <c r="H1282" s="11"/>
      <c r="I1282" s="11"/>
      <c r="J1282" s="11"/>
      <c r="K1282" s="11"/>
      <c r="L1282" s="11"/>
      <c r="M1282" s="11"/>
      <c r="N1282" s="11"/>
      <c r="O1282" s="11"/>
      <c r="P1282" s="11"/>
      <c r="Q1282" s="11"/>
      <c r="R1282" s="11"/>
      <c r="S1282" s="11"/>
      <c r="T1282" s="11"/>
      <c r="U1282" s="11"/>
      <c r="V1282" s="11"/>
      <c r="W1282" s="11"/>
      <c r="X1282" s="11"/>
      <c r="Y1282" s="11"/>
      <c r="Z1282" s="11"/>
      <c r="AA1282" s="11"/>
      <c r="AB1282" s="11"/>
      <c r="AC1282" s="11"/>
    </row>
    <row r="1283" spans="1:29" x14ac:dyDescent="0.3">
      <c r="A1283" s="11"/>
      <c r="B1283" s="11"/>
      <c r="C1283" s="11"/>
      <c r="D1283" s="11"/>
      <c r="E1283" s="11"/>
      <c r="F1283" s="11"/>
      <c r="G1283" s="11"/>
      <c r="H1283" s="11"/>
      <c r="I1283" s="11"/>
      <c r="J1283" s="11"/>
      <c r="K1283" s="11"/>
      <c r="L1283" s="11"/>
      <c r="M1283" s="11"/>
      <c r="N1283" s="11"/>
      <c r="O1283" s="11"/>
      <c r="P1283" s="11"/>
      <c r="Q1283" s="11"/>
      <c r="R1283" s="11"/>
      <c r="S1283" s="11"/>
      <c r="T1283" s="11"/>
      <c r="U1283" s="11"/>
      <c r="V1283" s="11"/>
      <c r="W1283" s="11"/>
      <c r="X1283" s="11"/>
      <c r="Y1283" s="11"/>
      <c r="Z1283" s="11"/>
      <c r="AA1283" s="11"/>
      <c r="AB1283" s="11"/>
      <c r="AC1283" s="11"/>
    </row>
    <row r="1284" spans="1:29" x14ac:dyDescent="0.3">
      <c r="A1284" s="11"/>
      <c r="B1284" s="11"/>
      <c r="C1284" s="11"/>
      <c r="D1284" s="11"/>
      <c r="E1284" s="11"/>
      <c r="F1284" s="11"/>
      <c r="G1284" s="11"/>
      <c r="H1284" s="11"/>
      <c r="I1284" s="11"/>
      <c r="J1284" s="11"/>
      <c r="K1284" s="11"/>
      <c r="L1284" s="11"/>
      <c r="M1284" s="11"/>
      <c r="N1284" s="11"/>
      <c r="O1284" s="11"/>
      <c r="P1284" s="11"/>
      <c r="Q1284" s="11"/>
      <c r="R1284" s="11"/>
      <c r="S1284" s="11"/>
      <c r="T1284" s="11"/>
      <c r="U1284" s="11"/>
      <c r="V1284" s="11"/>
      <c r="W1284" s="11"/>
      <c r="X1284" s="11"/>
      <c r="Y1284" s="11"/>
      <c r="Z1284" s="11"/>
      <c r="AA1284" s="11"/>
      <c r="AB1284" s="11"/>
      <c r="AC1284" s="11"/>
    </row>
    <row r="1285" spans="1:29" x14ac:dyDescent="0.3">
      <c r="A1285" s="11"/>
      <c r="B1285" s="11"/>
      <c r="C1285" s="11"/>
      <c r="D1285" s="11"/>
      <c r="E1285" s="11"/>
      <c r="F1285" s="11"/>
      <c r="G1285" s="11"/>
      <c r="H1285" s="11"/>
      <c r="I1285" s="11"/>
      <c r="J1285" s="11"/>
      <c r="K1285" s="11"/>
      <c r="L1285" s="11"/>
      <c r="M1285" s="11"/>
      <c r="N1285" s="11"/>
      <c r="O1285" s="11"/>
      <c r="P1285" s="11"/>
      <c r="Q1285" s="11"/>
      <c r="R1285" s="11"/>
      <c r="S1285" s="11"/>
      <c r="T1285" s="11"/>
      <c r="U1285" s="11"/>
      <c r="V1285" s="11"/>
      <c r="W1285" s="11"/>
      <c r="X1285" s="11"/>
      <c r="Y1285" s="11"/>
      <c r="Z1285" s="11"/>
      <c r="AA1285" s="11"/>
      <c r="AB1285" s="11"/>
      <c r="AC1285" s="11"/>
    </row>
    <row r="1286" spans="1:29" x14ac:dyDescent="0.3">
      <c r="A1286" s="11"/>
      <c r="B1286" s="11"/>
      <c r="C1286" s="11"/>
      <c r="D1286" s="11"/>
      <c r="E1286" s="11"/>
      <c r="F1286" s="11"/>
      <c r="G1286" s="11"/>
      <c r="H1286" s="11"/>
      <c r="I1286" s="11"/>
      <c r="J1286" s="11"/>
      <c r="K1286" s="11"/>
      <c r="L1286" s="11"/>
      <c r="M1286" s="11"/>
      <c r="N1286" s="11"/>
      <c r="O1286" s="11"/>
      <c r="P1286" s="11"/>
      <c r="Q1286" s="11"/>
      <c r="R1286" s="11"/>
      <c r="S1286" s="11"/>
      <c r="T1286" s="11"/>
      <c r="U1286" s="11"/>
      <c r="V1286" s="11"/>
      <c r="W1286" s="11"/>
      <c r="X1286" s="11"/>
      <c r="Y1286" s="11"/>
      <c r="Z1286" s="11"/>
      <c r="AA1286" s="11"/>
      <c r="AB1286" s="11"/>
      <c r="AC1286" s="11"/>
    </row>
    <row r="1287" spans="1:29" x14ac:dyDescent="0.3">
      <c r="A1287" s="11"/>
      <c r="B1287" s="11"/>
      <c r="C1287" s="11"/>
      <c r="D1287" s="11"/>
      <c r="E1287" s="11"/>
      <c r="F1287" s="11"/>
      <c r="G1287" s="11"/>
      <c r="H1287" s="11"/>
      <c r="I1287" s="11"/>
      <c r="J1287" s="11"/>
      <c r="K1287" s="11"/>
      <c r="L1287" s="11"/>
      <c r="M1287" s="11"/>
      <c r="N1287" s="11"/>
      <c r="O1287" s="11"/>
      <c r="P1287" s="11"/>
      <c r="Q1287" s="11"/>
      <c r="R1287" s="11"/>
      <c r="S1287" s="11"/>
      <c r="T1287" s="11"/>
      <c r="U1287" s="11"/>
      <c r="V1287" s="11"/>
      <c r="W1287" s="11"/>
      <c r="X1287" s="11"/>
      <c r="Y1287" s="11"/>
      <c r="Z1287" s="11"/>
      <c r="AA1287" s="11"/>
      <c r="AB1287" s="11"/>
      <c r="AC1287" s="11"/>
    </row>
    <row r="1288" spans="1:29" x14ac:dyDescent="0.3">
      <c r="A1288" s="11"/>
      <c r="B1288" s="11"/>
      <c r="C1288" s="11"/>
      <c r="D1288" s="11"/>
      <c r="E1288" s="11"/>
      <c r="F1288" s="11"/>
      <c r="G1288" s="11"/>
      <c r="H1288" s="11"/>
      <c r="I1288" s="11"/>
      <c r="J1288" s="11"/>
      <c r="K1288" s="11"/>
      <c r="L1288" s="11"/>
      <c r="M1288" s="11"/>
      <c r="N1288" s="11"/>
      <c r="O1288" s="11"/>
      <c r="P1288" s="11"/>
      <c r="Q1288" s="11"/>
      <c r="R1288" s="11"/>
      <c r="S1288" s="11"/>
      <c r="T1288" s="11"/>
      <c r="U1288" s="11"/>
      <c r="V1288" s="11"/>
      <c r="W1288" s="11"/>
      <c r="X1288" s="11"/>
      <c r="Y1288" s="11"/>
      <c r="Z1288" s="11"/>
      <c r="AA1288" s="11"/>
      <c r="AB1288" s="11"/>
      <c r="AC1288" s="11"/>
    </row>
    <row r="1289" spans="1:29" x14ac:dyDescent="0.3">
      <c r="A1289" s="11"/>
      <c r="B1289" s="11"/>
      <c r="C1289" s="11"/>
      <c r="D1289" s="11"/>
      <c r="E1289" s="11"/>
      <c r="F1289" s="11"/>
      <c r="G1289" s="11"/>
      <c r="H1289" s="11"/>
      <c r="I1289" s="11"/>
      <c r="J1289" s="11"/>
      <c r="K1289" s="11"/>
      <c r="L1289" s="11"/>
      <c r="M1289" s="11"/>
      <c r="N1289" s="11"/>
      <c r="O1289" s="11"/>
      <c r="P1289" s="11"/>
      <c r="Q1289" s="11"/>
      <c r="R1289" s="11"/>
      <c r="S1289" s="11"/>
      <c r="T1289" s="11"/>
      <c r="U1289" s="11"/>
      <c r="V1289" s="11"/>
      <c r="W1289" s="11"/>
      <c r="X1289" s="11"/>
      <c r="Y1289" s="11"/>
      <c r="Z1289" s="11"/>
      <c r="AA1289" s="11"/>
      <c r="AB1289" s="11"/>
      <c r="AC1289" s="11"/>
    </row>
    <row r="1290" spans="1:29" x14ac:dyDescent="0.3">
      <c r="A1290" s="11"/>
      <c r="B1290" s="11"/>
      <c r="C1290" s="11"/>
      <c r="D1290" s="11"/>
      <c r="E1290" s="11"/>
      <c r="F1290" s="11"/>
      <c r="G1290" s="11"/>
      <c r="H1290" s="11"/>
      <c r="I1290" s="11"/>
      <c r="J1290" s="11"/>
      <c r="K1290" s="11"/>
      <c r="L1290" s="11"/>
      <c r="M1290" s="11"/>
      <c r="N1290" s="11"/>
      <c r="O1290" s="11"/>
      <c r="P1290" s="11"/>
      <c r="Q1290" s="11"/>
      <c r="R1290" s="11"/>
      <c r="S1290" s="11"/>
      <c r="T1290" s="11"/>
      <c r="U1290" s="11"/>
      <c r="V1290" s="11"/>
      <c r="W1290" s="11"/>
      <c r="X1290" s="11"/>
      <c r="Y1290" s="11"/>
      <c r="Z1290" s="11"/>
      <c r="AA1290" s="11"/>
      <c r="AB1290" s="11"/>
      <c r="AC1290" s="11"/>
    </row>
    <row r="1291" spans="1:29" x14ac:dyDescent="0.3">
      <c r="A1291" s="11"/>
      <c r="B1291" s="11"/>
      <c r="C1291" s="11"/>
      <c r="D1291" s="11"/>
      <c r="E1291" s="11"/>
      <c r="F1291" s="11"/>
      <c r="G1291" s="11"/>
      <c r="H1291" s="11"/>
      <c r="I1291" s="11"/>
      <c r="J1291" s="11"/>
      <c r="K1291" s="11"/>
      <c r="L1291" s="11"/>
      <c r="M1291" s="11"/>
      <c r="N1291" s="11"/>
      <c r="O1291" s="11"/>
      <c r="P1291" s="11"/>
      <c r="Q1291" s="11"/>
      <c r="R1291" s="11"/>
      <c r="S1291" s="11"/>
      <c r="T1291" s="11"/>
      <c r="U1291" s="11"/>
      <c r="V1291" s="11"/>
      <c r="W1291" s="11"/>
      <c r="X1291" s="11"/>
      <c r="Y1291" s="11"/>
      <c r="Z1291" s="11"/>
      <c r="AA1291" s="11"/>
      <c r="AB1291" s="11"/>
      <c r="AC1291" s="11"/>
    </row>
    <row r="1292" spans="1:29" x14ac:dyDescent="0.3">
      <c r="A1292" s="11"/>
      <c r="B1292" s="11"/>
      <c r="C1292" s="11"/>
      <c r="D1292" s="11"/>
      <c r="E1292" s="11"/>
      <c r="F1292" s="11"/>
      <c r="G1292" s="11"/>
      <c r="H1292" s="11"/>
      <c r="I1292" s="11"/>
      <c r="J1292" s="11"/>
      <c r="K1292" s="11"/>
      <c r="L1292" s="11"/>
      <c r="M1292" s="11"/>
      <c r="N1292" s="11"/>
      <c r="O1292" s="11"/>
      <c r="P1292" s="11"/>
      <c r="Q1292" s="11"/>
      <c r="R1292" s="11"/>
      <c r="S1292" s="11"/>
      <c r="T1292" s="11"/>
      <c r="U1292" s="11"/>
      <c r="V1292" s="11"/>
      <c r="W1292" s="11"/>
      <c r="X1292" s="11"/>
      <c r="Y1292" s="11"/>
      <c r="Z1292" s="11"/>
      <c r="AA1292" s="11"/>
      <c r="AB1292" s="11"/>
      <c r="AC1292" s="11"/>
    </row>
    <row r="1293" spans="1:29" x14ac:dyDescent="0.3">
      <c r="A1293" s="11"/>
      <c r="B1293" s="11"/>
      <c r="C1293" s="11"/>
      <c r="D1293" s="11"/>
      <c r="E1293" s="11"/>
      <c r="F1293" s="11"/>
      <c r="G1293" s="11"/>
      <c r="H1293" s="11"/>
      <c r="I1293" s="11"/>
      <c r="J1293" s="11"/>
      <c r="K1293" s="11"/>
      <c r="L1293" s="11"/>
      <c r="M1293" s="11"/>
      <c r="N1293" s="11"/>
      <c r="O1293" s="11"/>
      <c r="P1293" s="11"/>
      <c r="Q1293" s="11"/>
      <c r="R1293" s="11"/>
      <c r="S1293" s="11"/>
      <c r="T1293" s="11"/>
      <c r="U1293" s="11"/>
      <c r="V1293" s="11"/>
      <c r="W1293" s="11"/>
      <c r="X1293" s="11"/>
      <c r="Y1293" s="11"/>
      <c r="Z1293" s="11"/>
      <c r="AA1293" s="11"/>
      <c r="AB1293" s="11"/>
      <c r="AC1293" s="11"/>
    </row>
    <row r="1294" spans="1:29" x14ac:dyDescent="0.3">
      <c r="A1294" s="11"/>
      <c r="B1294" s="11"/>
      <c r="C1294" s="11"/>
      <c r="D1294" s="11"/>
      <c r="E1294" s="11"/>
      <c r="F1294" s="11"/>
      <c r="G1294" s="11"/>
      <c r="H1294" s="11"/>
      <c r="I1294" s="11"/>
      <c r="J1294" s="11"/>
      <c r="K1294" s="11"/>
      <c r="L1294" s="11"/>
      <c r="M1294" s="11"/>
      <c r="N1294" s="11"/>
      <c r="O1294" s="11"/>
      <c r="P1294" s="11"/>
      <c r="Q1294" s="11"/>
      <c r="R1294" s="11"/>
      <c r="S1294" s="11"/>
      <c r="T1294" s="11"/>
      <c r="U1294" s="11"/>
      <c r="V1294" s="11"/>
      <c r="W1294" s="11"/>
      <c r="X1294" s="11"/>
      <c r="Y1294" s="11"/>
      <c r="Z1294" s="11"/>
      <c r="AA1294" s="11"/>
      <c r="AB1294" s="11"/>
      <c r="AC1294" s="11"/>
    </row>
    <row r="1295" spans="1:29" x14ac:dyDescent="0.3">
      <c r="A1295" s="11"/>
      <c r="B1295" s="11"/>
      <c r="C1295" s="11"/>
      <c r="D1295" s="11"/>
      <c r="E1295" s="11"/>
      <c r="F1295" s="11"/>
      <c r="G1295" s="11"/>
      <c r="H1295" s="11"/>
      <c r="I1295" s="11"/>
      <c r="J1295" s="11"/>
      <c r="K1295" s="11"/>
      <c r="L1295" s="11"/>
      <c r="M1295" s="11"/>
      <c r="N1295" s="11"/>
      <c r="O1295" s="11"/>
      <c r="P1295" s="11"/>
      <c r="Q1295" s="11"/>
      <c r="R1295" s="11"/>
      <c r="S1295" s="11"/>
      <c r="T1295" s="11"/>
      <c r="U1295" s="11"/>
      <c r="V1295" s="11"/>
      <c r="W1295" s="11"/>
      <c r="X1295" s="11"/>
      <c r="Y1295" s="11"/>
      <c r="Z1295" s="11"/>
      <c r="AA1295" s="11"/>
      <c r="AB1295" s="11"/>
      <c r="AC1295" s="11"/>
    </row>
    <row r="1296" spans="1:29" x14ac:dyDescent="0.3">
      <c r="A1296" s="11"/>
      <c r="B1296" s="11"/>
      <c r="C1296" s="11"/>
      <c r="D1296" s="11"/>
      <c r="E1296" s="11"/>
      <c r="F1296" s="11"/>
      <c r="G1296" s="11"/>
      <c r="H1296" s="11"/>
      <c r="I1296" s="11"/>
      <c r="J1296" s="11"/>
      <c r="K1296" s="11"/>
      <c r="L1296" s="11"/>
      <c r="M1296" s="11"/>
      <c r="N1296" s="11"/>
      <c r="O1296" s="11"/>
      <c r="P1296" s="11"/>
      <c r="Q1296" s="11"/>
      <c r="R1296" s="11"/>
      <c r="S1296" s="11"/>
      <c r="T1296" s="11"/>
      <c r="U1296" s="11"/>
      <c r="V1296" s="11"/>
      <c r="W1296" s="11"/>
      <c r="X1296" s="11"/>
      <c r="Y1296" s="11"/>
      <c r="Z1296" s="11"/>
      <c r="AA1296" s="11"/>
      <c r="AB1296" s="11"/>
      <c r="AC1296" s="11"/>
    </row>
    <row r="1297" spans="1:29" x14ac:dyDescent="0.3">
      <c r="A1297" s="11"/>
      <c r="B1297" s="11"/>
      <c r="C1297" s="11"/>
      <c r="D1297" s="11"/>
      <c r="E1297" s="11"/>
      <c r="F1297" s="11"/>
      <c r="G1297" s="11"/>
      <c r="H1297" s="11"/>
      <c r="I1297" s="11"/>
      <c r="J1297" s="11"/>
      <c r="K1297" s="11"/>
      <c r="L1297" s="11"/>
      <c r="M1297" s="11"/>
      <c r="N1297" s="11"/>
      <c r="O1297" s="11"/>
      <c r="P1297" s="11"/>
      <c r="Q1297" s="11"/>
      <c r="R1297" s="11"/>
      <c r="S1297" s="11"/>
      <c r="T1297" s="11"/>
      <c r="U1297" s="11"/>
      <c r="V1297" s="11"/>
      <c r="W1297" s="11"/>
      <c r="X1297" s="11"/>
      <c r="Y1297" s="11"/>
      <c r="Z1297" s="11"/>
      <c r="AA1297" s="11"/>
      <c r="AB1297" s="11"/>
      <c r="AC1297" s="11"/>
    </row>
    <row r="1298" spans="1:29" x14ac:dyDescent="0.3">
      <c r="A1298" s="11"/>
      <c r="B1298" s="11"/>
      <c r="C1298" s="11"/>
      <c r="D1298" s="11"/>
      <c r="E1298" s="11"/>
      <c r="F1298" s="11"/>
      <c r="G1298" s="11"/>
      <c r="H1298" s="11"/>
      <c r="I1298" s="11"/>
      <c r="J1298" s="11"/>
      <c r="K1298" s="11"/>
      <c r="L1298" s="11"/>
      <c r="M1298" s="11"/>
      <c r="N1298" s="11"/>
      <c r="O1298" s="11"/>
      <c r="P1298" s="11"/>
      <c r="Q1298" s="11"/>
      <c r="R1298" s="11"/>
      <c r="S1298" s="11"/>
      <c r="T1298" s="11"/>
      <c r="U1298" s="11"/>
      <c r="V1298" s="11"/>
      <c r="W1298" s="11"/>
      <c r="X1298" s="11"/>
      <c r="Y1298" s="11"/>
      <c r="Z1298" s="11"/>
      <c r="AA1298" s="11"/>
      <c r="AB1298" s="11"/>
      <c r="AC1298" s="11"/>
    </row>
    <row r="1299" spans="1:29" x14ac:dyDescent="0.3">
      <c r="A1299" s="11"/>
      <c r="B1299" s="11"/>
      <c r="C1299" s="11"/>
      <c r="D1299" s="11"/>
      <c r="E1299" s="11"/>
      <c r="F1299" s="11"/>
      <c r="G1299" s="11"/>
      <c r="H1299" s="11"/>
      <c r="I1299" s="11"/>
      <c r="J1299" s="11"/>
      <c r="K1299" s="11"/>
      <c r="L1299" s="11"/>
      <c r="M1299" s="11"/>
      <c r="N1299" s="11"/>
      <c r="O1299" s="11"/>
      <c r="P1299" s="11"/>
      <c r="Q1299" s="11"/>
      <c r="R1299" s="11"/>
      <c r="S1299" s="11"/>
      <c r="T1299" s="11"/>
      <c r="U1299" s="11"/>
      <c r="V1299" s="11"/>
      <c r="W1299" s="11"/>
      <c r="X1299" s="11"/>
      <c r="Y1299" s="11"/>
      <c r="Z1299" s="11"/>
      <c r="AA1299" s="11"/>
      <c r="AB1299" s="11"/>
      <c r="AC1299" s="11"/>
    </row>
    <row r="1300" spans="1:29" x14ac:dyDescent="0.3">
      <c r="A1300" s="11"/>
      <c r="B1300" s="11"/>
      <c r="C1300" s="11"/>
      <c r="D1300" s="11"/>
      <c r="E1300" s="11"/>
      <c r="F1300" s="11"/>
      <c r="G1300" s="11"/>
      <c r="H1300" s="11"/>
      <c r="I1300" s="11"/>
      <c r="J1300" s="11"/>
      <c r="K1300" s="11"/>
      <c r="L1300" s="11"/>
      <c r="M1300" s="11"/>
      <c r="N1300" s="11"/>
      <c r="O1300" s="11"/>
      <c r="P1300" s="11"/>
      <c r="Q1300" s="11"/>
      <c r="R1300" s="11"/>
      <c r="S1300" s="11"/>
      <c r="T1300" s="11"/>
      <c r="U1300" s="11"/>
      <c r="V1300" s="11"/>
      <c r="W1300" s="11"/>
      <c r="X1300" s="11"/>
      <c r="Y1300" s="11"/>
      <c r="Z1300" s="11"/>
      <c r="AA1300" s="11"/>
      <c r="AB1300" s="11"/>
      <c r="AC1300" s="11"/>
    </row>
    <row r="1301" spans="1:29" x14ac:dyDescent="0.3">
      <c r="A1301" s="11"/>
      <c r="B1301" s="11"/>
      <c r="C1301" s="11"/>
      <c r="D1301" s="11"/>
      <c r="E1301" s="11"/>
      <c r="F1301" s="11"/>
      <c r="G1301" s="11"/>
      <c r="H1301" s="11"/>
      <c r="I1301" s="11"/>
      <c r="J1301" s="11"/>
      <c r="K1301" s="11"/>
      <c r="L1301" s="11"/>
      <c r="M1301" s="11"/>
      <c r="N1301" s="11"/>
      <c r="O1301" s="11"/>
      <c r="P1301" s="11"/>
      <c r="Q1301" s="11"/>
      <c r="R1301" s="11"/>
      <c r="S1301" s="11"/>
      <c r="T1301" s="11"/>
      <c r="U1301" s="11"/>
      <c r="V1301" s="11"/>
      <c r="W1301" s="11"/>
      <c r="X1301" s="11"/>
      <c r="Y1301" s="11"/>
      <c r="Z1301" s="11"/>
      <c r="AA1301" s="11"/>
      <c r="AB1301" s="11"/>
      <c r="AC1301" s="11"/>
    </row>
    <row r="1302" spans="1:29" x14ac:dyDescent="0.3">
      <c r="A1302" s="11"/>
      <c r="B1302" s="11"/>
      <c r="C1302" s="11"/>
      <c r="D1302" s="11"/>
      <c r="E1302" s="11"/>
      <c r="F1302" s="11"/>
      <c r="G1302" s="11"/>
      <c r="H1302" s="11"/>
      <c r="I1302" s="11"/>
      <c r="J1302" s="11"/>
      <c r="K1302" s="11"/>
      <c r="L1302" s="11"/>
      <c r="M1302" s="11"/>
      <c r="N1302" s="11"/>
      <c r="O1302" s="11"/>
      <c r="P1302" s="11"/>
      <c r="Q1302" s="11"/>
      <c r="R1302" s="11"/>
      <c r="S1302" s="11"/>
      <c r="T1302" s="11"/>
      <c r="U1302" s="11"/>
      <c r="V1302" s="11"/>
      <c r="W1302" s="11"/>
      <c r="X1302" s="11"/>
      <c r="Y1302" s="11"/>
      <c r="Z1302" s="11"/>
      <c r="AA1302" s="11"/>
      <c r="AB1302" s="11"/>
      <c r="AC1302" s="11"/>
    </row>
    <row r="1303" spans="1:29" x14ac:dyDescent="0.3">
      <c r="A1303" s="11"/>
      <c r="B1303" s="11"/>
      <c r="C1303" s="11"/>
      <c r="D1303" s="11"/>
      <c r="E1303" s="11"/>
      <c r="F1303" s="11"/>
      <c r="G1303" s="11"/>
      <c r="H1303" s="11"/>
      <c r="I1303" s="11"/>
      <c r="J1303" s="11"/>
      <c r="K1303" s="11"/>
      <c r="L1303" s="11"/>
      <c r="M1303" s="11"/>
      <c r="N1303" s="11"/>
      <c r="O1303" s="11"/>
      <c r="P1303" s="11"/>
      <c r="Q1303" s="11"/>
      <c r="R1303" s="11"/>
      <c r="S1303" s="11"/>
      <c r="T1303" s="11"/>
      <c r="U1303" s="11"/>
      <c r="V1303" s="11"/>
      <c r="W1303" s="11"/>
      <c r="X1303" s="11"/>
      <c r="Y1303" s="11"/>
      <c r="Z1303" s="11"/>
      <c r="AA1303" s="11"/>
      <c r="AB1303" s="11"/>
      <c r="AC1303" s="11"/>
    </row>
    <row r="1304" spans="1:29" x14ac:dyDescent="0.3">
      <c r="A1304" s="11"/>
      <c r="B1304" s="11"/>
      <c r="C1304" s="11"/>
      <c r="D1304" s="11"/>
      <c r="E1304" s="11"/>
      <c r="F1304" s="11"/>
      <c r="G1304" s="11"/>
      <c r="H1304" s="11"/>
      <c r="I1304" s="11"/>
      <c r="J1304" s="11"/>
      <c r="K1304" s="11"/>
      <c r="L1304" s="11"/>
      <c r="M1304" s="11"/>
      <c r="N1304" s="11"/>
      <c r="O1304" s="11"/>
      <c r="P1304" s="11"/>
      <c r="Q1304" s="11"/>
      <c r="R1304" s="11"/>
      <c r="S1304" s="11"/>
      <c r="T1304" s="11"/>
      <c r="U1304" s="11"/>
      <c r="V1304" s="11"/>
      <c r="W1304" s="11"/>
      <c r="X1304" s="11"/>
      <c r="Y1304" s="11"/>
      <c r="Z1304" s="11"/>
      <c r="AA1304" s="11"/>
      <c r="AB1304" s="11"/>
      <c r="AC1304" s="11"/>
    </row>
    <row r="1305" spans="1:29" x14ac:dyDescent="0.3">
      <c r="A1305" s="11"/>
      <c r="B1305" s="11"/>
      <c r="C1305" s="11"/>
      <c r="D1305" s="11"/>
      <c r="E1305" s="11"/>
      <c r="F1305" s="11"/>
      <c r="G1305" s="11"/>
      <c r="H1305" s="11"/>
      <c r="I1305" s="11"/>
      <c r="J1305" s="11"/>
      <c r="K1305" s="11"/>
      <c r="L1305" s="11"/>
      <c r="M1305" s="11"/>
      <c r="N1305" s="11"/>
      <c r="O1305" s="11"/>
      <c r="P1305" s="11"/>
      <c r="Q1305" s="11"/>
      <c r="R1305" s="11"/>
      <c r="S1305" s="11"/>
      <c r="T1305" s="11"/>
      <c r="U1305" s="11"/>
      <c r="V1305" s="11"/>
      <c r="W1305" s="11"/>
      <c r="X1305" s="11"/>
      <c r="Y1305" s="11"/>
      <c r="Z1305" s="11"/>
      <c r="AA1305" s="11"/>
      <c r="AB1305" s="11"/>
      <c r="AC1305" s="11"/>
    </row>
    <row r="1306" spans="1:29" x14ac:dyDescent="0.3">
      <c r="A1306" s="11"/>
      <c r="B1306" s="11"/>
      <c r="C1306" s="11"/>
      <c r="D1306" s="11"/>
      <c r="E1306" s="11"/>
      <c r="F1306" s="11"/>
      <c r="G1306" s="11"/>
      <c r="H1306" s="11"/>
      <c r="I1306" s="11"/>
      <c r="J1306" s="11"/>
      <c r="K1306" s="11"/>
      <c r="L1306" s="11"/>
      <c r="M1306" s="11"/>
      <c r="N1306" s="11"/>
      <c r="O1306" s="11"/>
      <c r="P1306" s="11"/>
      <c r="Q1306" s="11"/>
      <c r="R1306" s="11"/>
      <c r="S1306" s="11"/>
      <c r="T1306" s="11"/>
      <c r="U1306" s="11"/>
      <c r="V1306" s="11"/>
      <c r="W1306" s="11"/>
      <c r="X1306" s="11"/>
      <c r="Y1306" s="11"/>
      <c r="Z1306" s="11"/>
      <c r="AA1306" s="11"/>
      <c r="AB1306" s="11"/>
      <c r="AC1306" s="11"/>
    </row>
    <row r="1307" spans="1:29" x14ac:dyDescent="0.3">
      <c r="A1307" s="11"/>
      <c r="B1307" s="11"/>
      <c r="C1307" s="11"/>
      <c r="D1307" s="11"/>
      <c r="E1307" s="11"/>
      <c r="F1307" s="11"/>
      <c r="G1307" s="11"/>
      <c r="H1307" s="11"/>
      <c r="I1307" s="11"/>
      <c r="J1307" s="11"/>
      <c r="K1307" s="11"/>
      <c r="L1307" s="11"/>
      <c r="M1307" s="11"/>
      <c r="N1307" s="11"/>
      <c r="O1307" s="11"/>
      <c r="P1307" s="11"/>
      <c r="Q1307" s="11"/>
      <c r="R1307" s="11"/>
      <c r="S1307" s="11"/>
      <c r="T1307" s="11"/>
      <c r="U1307" s="11"/>
      <c r="V1307" s="11"/>
      <c r="W1307" s="11"/>
      <c r="X1307" s="11"/>
      <c r="Y1307" s="11"/>
      <c r="Z1307" s="11"/>
      <c r="AA1307" s="11"/>
      <c r="AB1307" s="11"/>
      <c r="AC1307" s="11"/>
    </row>
    <row r="1308" spans="1:29" x14ac:dyDescent="0.3">
      <c r="A1308" s="11"/>
      <c r="B1308" s="11"/>
      <c r="C1308" s="11"/>
      <c r="D1308" s="11"/>
      <c r="E1308" s="11"/>
      <c r="F1308" s="11"/>
      <c r="G1308" s="11"/>
      <c r="H1308" s="11"/>
      <c r="I1308" s="11"/>
      <c r="J1308" s="11"/>
      <c r="K1308" s="11"/>
      <c r="L1308" s="11"/>
      <c r="M1308" s="11"/>
      <c r="N1308" s="11"/>
      <c r="O1308" s="11"/>
      <c r="P1308" s="11"/>
      <c r="Q1308" s="11"/>
      <c r="R1308" s="11"/>
      <c r="S1308" s="11"/>
      <c r="T1308" s="11"/>
      <c r="U1308" s="11"/>
      <c r="V1308" s="11"/>
      <c r="W1308" s="11"/>
      <c r="X1308" s="11"/>
      <c r="Y1308" s="11"/>
      <c r="Z1308" s="11"/>
      <c r="AA1308" s="11"/>
      <c r="AB1308" s="11"/>
      <c r="AC1308" s="11"/>
    </row>
    <row r="1309" spans="1:29" x14ac:dyDescent="0.3">
      <c r="A1309" s="11"/>
      <c r="B1309" s="11"/>
      <c r="C1309" s="11"/>
      <c r="D1309" s="11"/>
      <c r="E1309" s="11"/>
      <c r="F1309" s="11"/>
      <c r="G1309" s="11"/>
      <c r="H1309" s="11"/>
      <c r="I1309" s="11"/>
      <c r="J1309" s="11"/>
      <c r="K1309" s="11"/>
      <c r="L1309" s="11"/>
      <c r="M1309" s="11"/>
      <c r="N1309" s="11"/>
      <c r="O1309" s="11"/>
      <c r="P1309" s="11"/>
      <c r="Q1309" s="11"/>
      <c r="R1309" s="11"/>
      <c r="S1309" s="11"/>
      <c r="T1309" s="11"/>
      <c r="U1309" s="11"/>
      <c r="V1309" s="11"/>
      <c r="W1309" s="11"/>
      <c r="X1309" s="11"/>
      <c r="Y1309" s="11"/>
      <c r="Z1309" s="11"/>
      <c r="AA1309" s="11"/>
      <c r="AB1309" s="11"/>
      <c r="AC1309" s="11"/>
    </row>
    <row r="1310" spans="1:29" x14ac:dyDescent="0.3">
      <c r="A1310" s="11"/>
      <c r="B1310" s="11"/>
      <c r="C1310" s="11"/>
      <c r="D1310" s="11"/>
      <c r="E1310" s="11"/>
      <c r="F1310" s="11"/>
      <c r="G1310" s="11"/>
      <c r="H1310" s="11"/>
      <c r="I1310" s="11"/>
      <c r="J1310" s="11"/>
      <c r="K1310" s="11"/>
      <c r="L1310" s="11"/>
      <c r="M1310" s="11"/>
      <c r="N1310" s="11"/>
      <c r="O1310" s="11"/>
      <c r="P1310" s="11"/>
      <c r="Q1310" s="11"/>
      <c r="R1310" s="11"/>
      <c r="S1310" s="11"/>
      <c r="T1310" s="11"/>
      <c r="U1310" s="11"/>
      <c r="V1310" s="11"/>
      <c r="W1310" s="11"/>
      <c r="X1310" s="11"/>
      <c r="Y1310" s="11"/>
      <c r="Z1310" s="11"/>
      <c r="AA1310" s="11"/>
      <c r="AB1310" s="11"/>
      <c r="AC1310" s="11"/>
    </row>
    <row r="1311" spans="1:29" x14ac:dyDescent="0.3">
      <c r="A1311" s="11"/>
      <c r="B1311" s="11"/>
      <c r="C1311" s="11"/>
      <c r="D1311" s="11"/>
      <c r="E1311" s="11"/>
      <c r="F1311" s="11"/>
      <c r="G1311" s="11"/>
      <c r="H1311" s="11"/>
      <c r="I1311" s="11"/>
      <c r="J1311" s="11"/>
      <c r="K1311" s="11"/>
      <c r="L1311" s="11"/>
      <c r="M1311" s="11"/>
      <c r="N1311" s="11"/>
      <c r="O1311" s="11"/>
      <c r="P1311" s="11"/>
      <c r="Q1311" s="11"/>
      <c r="R1311" s="11"/>
      <c r="S1311" s="11"/>
      <c r="T1311" s="11"/>
      <c r="U1311" s="11"/>
      <c r="V1311" s="11"/>
      <c r="W1311" s="11"/>
      <c r="X1311" s="11"/>
      <c r="Y1311" s="11"/>
      <c r="Z1311" s="11"/>
      <c r="AA1311" s="11"/>
      <c r="AB1311" s="11"/>
      <c r="AC1311" s="11"/>
    </row>
    <row r="1312" spans="1:29" x14ac:dyDescent="0.3">
      <c r="A1312" s="11"/>
      <c r="B1312" s="11"/>
      <c r="C1312" s="11"/>
      <c r="D1312" s="11"/>
      <c r="E1312" s="11"/>
      <c r="F1312" s="11"/>
      <c r="G1312" s="11"/>
      <c r="H1312" s="11"/>
      <c r="I1312" s="11"/>
      <c r="J1312" s="11"/>
      <c r="K1312" s="11"/>
      <c r="L1312" s="11"/>
      <c r="M1312" s="11"/>
      <c r="N1312" s="11"/>
      <c r="O1312" s="11"/>
      <c r="P1312" s="11"/>
      <c r="Q1312" s="11"/>
      <c r="R1312" s="11"/>
      <c r="S1312" s="11"/>
      <c r="T1312" s="11"/>
      <c r="U1312" s="11"/>
      <c r="V1312" s="11"/>
      <c r="W1312" s="11"/>
      <c r="X1312" s="11"/>
      <c r="Y1312" s="11"/>
      <c r="Z1312" s="11"/>
      <c r="AA1312" s="11"/>
      <c r="AB1312" s="11"/>
      <c r="AC1312" s="11"/>
    </row>
    <row r="1313" spans="1:29" x14ac:dyDescent="0.3">
      <c r="A1313" s="11"/>
      <c r="B1313" s="11"/>
      <c r="C1313" s="11"/>
      <c r="D1313" s="11"/>
      <c r="E1313" s="11"/>
      <c r="F1313" s="11"/>
      <c r="G1313" s="11"/>
      <c r="H1313" s="11"/>
      <c r="I1313" s="11"/>
      <c r="J1313" s="11"/>
      <c r="K1313" s="11"/>
      <c r="L1313" s="11"/>
      <c r="M1313" s="11"/>
      <c r="N1313" s="11"/>
      <c r="O1313" s="11"/>
      <c r="P1313" s="11"/>
      <c r="Q1313" s="11"/>
      <c r="R1313" s="11"/>
      <c r="S1313" s="11"/>
      <c r="T1313" s="11"/>
      <c r="U1313" s="11"/>
      <c r="V1313" s="11"/>
      <c r="W1313" s="11"/>
      <c r="X1313" s="11"/>
      <c r="Y1313" s="11"/>
      <c r="Z1313" s="11"/>
      <c r="AA1313" s="11"/>
      <c r="AB1313" s="11"/>
      <c r="AC1313" s="11"/>
    </row>
    <row r="1314" spans="1:29" x14ac:dyDescent="0.3">
      <c r="A1314" s="11"/>
      <c r="B1314" s="11"/>
      <c r="C1314" s="11"/>
      <c r="D1314" s="11"/>
      <c r="E1314" s="11"/>
      <c r="F1314" s="11"/>
      <c r="G1314" s="11"/>
      <c r="H1314" s="11"/>
      <c r="I1314" s="11"/>
      <c r="J1314" s="11"/>
      <c r="K1314" s="11"/>
      <c r="L1314" s="11"/>
      <c r="M1314" s="11"/>
      <c r="N1314" s="11"/>
      <c r="O1314" s="11"/>
      <c r="P1314" s="11"/>
      <c r="Q1314" s="11"/>
      <c r="R1314" s="11"/>
      <c r="S1314" s="11"/>
      <c r="T1314" s="11"/>
      <c r="U1314" s="11"/>
      <c r="V1314" s="11"/>
      <c r="W1314" s="11"/>
      <c r="X1314" s="11"/>
      <c r="Y1314" s="11"/>
      <c r="Z1314" s="11"/>
      <c r="AA1314" s="11"/>
      <c r="AB1314" s="11"/>
      <c r="AC1314" s="11"/>
    </row>
    <row r="1315" spans="1:29" x14ac:dyDescent="0.3">
      <c r="A1315" s="11"/>
      <c r="B1315" s="11"/>
      <c r="C1315" s="11"/>
      <c r="D1315" s="11"/>
      <c r="E1315" s="11"/>
      <c r="F1315" s="11"/>
      <c r="G1315" s="11"/>
      <c r="H1315" s="11"/>
      <c r="I1315" s="11"/>
      <c r="J1315" s="11"/>
      <c r="K1315" s="11"/>
      <c r="L1315" s="11"/>
      <c r="M1315" s="11"/>
      <c r="N1315" s="11"/>
      <c r="O1315" s="11"/>
      <c r="P1315" s="11"/>
      <c r="Q1315" s="11"/>
      <c r="R1315" s="11"/>
      <c r="S1315" s="11"/>
      <c r="T1315" s="11"/>
      <c r="U1315" s="11"/>
      <c r="V1315" s="11"/>
      <c r="W1315" s="11"/>
      <c r="X1315" s="11"/>
      <c r="Y1315" s="11"/>
      <c r="Z1315" s="11"/>
      <c r="AA1315" s="11"/>
      <c r="AB1315" s="11"/>
      <c r="AC1315" s="11"/>
    </row>
    <row r="1316" spans="1:29" x14ac:dyDescent="0.3">
      <c r="A1316" s="11"/>
      <c r="B1316" s="11"/>
      <c r="C1316" s="11"/>
      <c r="D1316" s="11"/>
      <c r="E1316" s="11"/>
      <c r="F1316" s="11"/>
      <c r="G1316" s="11"/>
      <c r="H1316" s="11"/>
      <c r="I1316" s="11"/>
      <c r="J1316" s="11"/>
      <c r="K1316" s="11"/>
      <c r="L1316" s="11"/>
      <c r="M1316" s="11"/>
      <c r="N1316" s="11"/>
      <c r="O1316" s="11"/>
      <c r="P1316" s="11"/>
      <c r="Q1316" s="11"/>
      <c r="R1316" s="11"/>
      <c r="S1316" s="11"/>
      <c r="T1316" s="11"/>
      <c r="U1316" s="11"/>
      <c r="V1316" s="11"/>
      <c r="W1316" s="11"/>
      <c r="X1316" s="11"/>
      <c r="Y1316" s="11"/>
      <c r="Z1316" s="11"/>
      <c r="AA1316" s="11"/>
      <c r="AB1316" s="11"/>
      <c r="AC1316" s="11"/>
    </row>
    <row r="1317" spans="1:29" x14ac:dyDescent="0.3">
      <c r="A1317" s="11"/>
      <c r="B1317" s="11"/>
      <c r="C1317" s="11"/>
      <c r="D1317" s="11"/>
      <c r="E1317" s="11"/>
      <c r="F1317" s="11"/>
      <c r="G1317" s="11"/>
      <c r="H1317" s="11"/>
      <c r="I1317" s="11"/>
      <c r="J1317" s="11"/>
      <c r="K1317" s="11"/>
      <c r="L1317" s="11"/>
      <c r="M1317" s="11"/>
      <c r="N1317" s="11"/>
      <c r="O1317" s="11"/>
      <c r="P1317" s="11"/>
      <c r="Q1317" s="11"/>
      <c r="R1317" s="11"/>
      <c r="S1317" s="11"/>
      <c r="T1317" s="11"/>
      <c r="U1317" s="11"/>
      <c r="V1317" s="11"/>
      <c r="W1317" s="11"/>
      <c r="X1317" s="11"/>
      <c r="Y1317" s="11"/>
      <c r="Z1317" s="11"/>
      <c r="AA1317" s="11"/>
      <c r="AB1317" s="11"/>
      <c r="AC1317" s="11"/>
    </row>
    <row r="1318" spans="1:29" x14ac:dyDescent="0.3">
      <c r="A1318" s="11"/>
      <c r="B1318" s="11"/>
      <c r="C1318" s="11"/>
      <c r="D1318" s="11"/>
      <c r="E1318" s="11"/>
      <c r="F1318" s="11"/>
      <c r="G1318" s="11"/>
      <c r="H1318" s="11"/>
      <c r="I1318" s="11"/>
      <c r="J1318" s="11"/>
      <c r="K1318" s="11"/>
      <c r="L1318" s="11"/>
      <c r="M1318" s="11"/>
      <c r="N1318" s="11"/>
      <c r="O1318" s="11"/>
      <c r="P1318" s="11"/>
      <c r="Q1318" s="11"/>
      <c r="R1318" s="11"/>
      <c r="S1318" s="11"/>
      <c r="T1318" s="11"/>
      <c r="U1318" s="11"/>
      <c r="V1318" s="11"/>
      <c r="W1318" s="11"/>
      <c r="X1318" s="11"/>
      <c r="Y1318" s="11"/>
      <c r="Z1318" s="11"/>
      <c r="AA1318" s="11"/>
      <c r="AB1318" s="11"/>
      <c r="AC1318" s="11"/>
    </row>
    <row r="1319" spans="1:29" x14ac:dyDescent="0.3">
      <c r="A1319" s="11"/>
      <c r="B1319" s="11"/>
      <c r="C1319" s="11"/>
      <c r="D1319" s="11"/>
      <c r="E1319" s="11"/>
      <c r="F1319" s="11"/>
      <c r="G1319" s="11"/>
      <c r="H1319" s="11"/>
      <c r="I1319" s="11"/>
      <c r="J1319" s="11"/>
      <c r="K1319" s="11"/>
      <c r="L1319" s="11"/>
      <c r="M1319" s="11"/>
      <c r="N1319" s="11"/>
      <c r="O1319" s="11"/>
      <c r="P1319" s="11"/>
      <c r="Q1319" s="11"/>
      <c r="R1319" s="11"/>
      <c r="S1319" s="11"/>
      <c r="T1319" s="11"/>
      <c r="U1319" s="11"/>
      <c r="V1319" s="11"/>
      <c r="W1319" s="11"/>
      <c r="X1319" s="11"/>
      <c r="Y1319" s="11"/>
      <c r="Z1319" s="11"/>
      <c r="AA1319" s="11"/>
      <c r="AB1319" s="11"/>
      <c r="AC1319" s="11"/>
    </row>
    <row r="1320" spans="1:29" x14ac:dyDescent="0.3">
      <c r="A1320" s="11"/>
      <c r="B1320" s="11"/>
      <c r="C1320" s="11"/>
      <c r="D1320" s="11"/>
      <c r="E1320" s="11"/>
      <c r="F1320" s="11"/>
      <c r="G1320" s="11"/>
      <c r="H1320" s="11"/>
      <c r="I1320" s="11"/>
      <c r="J1320" s="11"/>
      <c r="K1320" s="11"/>
      <c r="L1320" s="11"/>
      <c r="M1320" s="11"/>
      <c r="N1320" s="11"/>
      <c r="O1320" s="11"/>
      <c r="P1320" s="11"/>
      <c r="Q1320" s="11"/>
      <c r="R1320" s="11"/>
      <c r="S1320" s="11"/>
      <c r="T1320" s="11"/>
      <c r="U1320" s="11"/>
      <c r="V1320" s="11"/>
      <c r="W1320" s="11"/>
      <c r="X1320" s="11"/>
      <c r="Y1320" s="11"/>
      <c r="Z1320" s="11"/>
      <c r="AA1320" s="11"/>
      <c r="AB1320" s="11"/>
      <c r="AC1320" s="11"/>
    </row>
    <row r="1321" spans="1:29" x14ac:dyDescent="0.3">
      <c r="A1321" s="11"/>
      <c r="B1321" s="11"/>
      <c r="C1321" s="11"/>
      <c r="D1321" s="11"/>
      <c r="E1321" s="11"/>
      <c r="F1321" s="11"/>
      <c r="G1321" s="11"/>
      <c r="H1321" s="11"/>
      <c r="I1321" s="11"/>
      <c r="J1321" s="11"/>
      <c r="K1321" s="11"/>
      <c r="L1321" s="11"/>
      <c r="M1321" s="11"/>
      <c r="N1321" s="11"/>
      <c r="O1321" s="11"/>
      <c r="P1321" s="11"/>
      <c r="Q1321" s="11"/>
      <c r="R1321" s="11"/>
      <c r="S1321" s="11"/>
      <c r="T1321" s="11"/>
      <c r="U1321" s="11"/>
      <c r="V1321" s="11"/>
      <c r="W1321" s="11"/>
      <c r="X1321" s="11"/>
      <c r="Y1321" s="11"/>
      <c r="Z1321" s="11"/>
      <c r="AA1321" s="11"/>
      <c r="AB1321" s="11"/>
      <c r="AC1321" s="11"/>
    </row>
    <row r="1322" spans="1:29" x14ac:dyDescent="0.3">
      <c r="A1322" s="11"/>
      <c r="B1322" s="11"/>
      <c r="C1322" s="11"/>
      <c r="D1322" s="11"/>
      <c r="E1322" s="11"/>
      <c r="F1322" s="11"/>
      <c r="G1322" s="11"/>
      <c r="H1322" s="11"/>
      <c r="I1322" s="11"/>
      <c r="J1322" s="11"/>
      <c r="K1322" s="11"/>
      <c r="L1322" s="11"/>
      <c r="M1322" s="11"/>
      <c r="N1322" s="11"/>
      <c r="O1322" s="11"/>
      <c r="P1322" s="11"/>
      <c r="Q1322" s="11"/>
      <c r="R1322" s="11"/>
      <c r="S1322" s="11"/>
      <c r="T1322" s="11"/>
      <c r="U1322" s="11"/>
      <c r="V1322" s="11"/>
      <c r="W1322" s="11"/>
      <c r="X1322" s="11"/>
      <c r="Y1322" s="11"/>
      <c r="Z1322" s="11"/>
      <c r="AA1322" s="11"/>
      <c r="AB1322" s="11"/>
      <c r="AC1322" s="11"/>
    </row>
    <row r="1323" spans="1:29" x14ac:dyDescent="0.3">
      <c r="A1323" s="11"/>
      <c r="B1323" s="11"/>
      <c r="C1323" s="11"/>
      <c r="D1323" s="11"/>
      <c r="E1323" s="11"/>
      <c r="F1323" s="11"/>
      <c r="G1323" s="11"/>
      <c r="H1323" s="11"/>
      <c r="I1323" s="11"/>
      <c r="J1323" s="11"/>
      <c r="K1323" s="11"/>
      <c r="L1323" s="11"/>
      <c r="M1323" s="11"/>
      <c r="N1323" s="11"/>
      <c r="O1323" s="11"/>
      <c r="P1323" s="11"/>
      <c r="Q1323" s="11"/>
      <c r="R1323" s="11"/>
      <c r="S1323" s="11"/>
      <c r="T1323" s="11"/>
      <c r="U1323" s="11"/>
      <c r="V1323" s="11"/>
      <c r="W1323" s="11"/>
      <c r="X1323" s="11"/>
      <c r="Y1323" s="11"/>
      <c r="Z1323" s="11"/>
      <c r="AA1323" s="11"/>
      <c r="AB1323" s="11"/>
      <c r="AC1323" s="11"/>
    </row>
    <row r="1324" spans="1:29" x14ac:dyDescent="0.3">
      <c r="A1324" s="11"/>
      <c r="B1324" s="11"/>
      <c r="C1324" s="11"/>
      <c r="D1324" s="11"/>
      <c r="E1324" s="11"/>
      <c r="F1324" s="11"/>
      <c r="G1324" s="11"/>
      <c r="H1324" s="11"/>
      <c r="I1324" s="11"/>
      <c r="J1324" s="11"/>
      <c r="K1324" s="11"/>
      <c r="L1324" s="11"/>
      <c r="M1324" s="11"/>
      <c r="N1324" s="11"/>
      <c r="O1324" s="11"/>
      <c r="P1324" s="11"/>
      <c r="Q1324" s="11"/>
      <c r="R1324" s="11"/>
      <c r="S1324" s="11"/>
      <c r="T1324" s="11"/>
      <c r="U1324" s="11"/>
      <c r="V1324" s="11"/>
      <c r="W1324" s="11"/>
      <c r="X1324" s="11"/>
      <c r="Y1324" s="11"/>
      <c r="Z1324" s="11"/>
      <c r="AA1324" s="11"/>
      <c r="AB1324" s="11"/>
      <c r="AC1324" s="11"/>
    </row>
    <row r="1325" spans="1:29" x14ac:dyDescent="0.3">
      <c r="A1325" s="11"/>
      <c r="B1325" s="11"/>
      <c r="C1325" s="11"/>
      <c r="D1325" s="11"/>
      <c r="E1325" s="11"/>
      <c r="F1325" s="11"/>
      <c r="G1325" s="11"/>
      <c r="H1325" s="11"/>
      <c r="I1325" s="11"/>
      <c r="J1325" s="11"/>
      <c r="K1325" s="11"/>
      <c r="L1325" s="11"/>
      <c r="M1325" s="11"/>
      <c r="N1325" s="11"/>
      <c r="O1325" s="11"/>
      <c r="P1325" s="11"/>
      <c r="Q1325" s="11"/>
      <c r="R1325" s="11"/>
      <c r="S1325" s="11"/>
      <c r="T1325" s="11"/>
      <c r="U1325" s="11"/>
      <c r="V1325" s="11"/>
      <c r="W1325" s="11"/>
      <c r="X1325" s="11"/>
      <c r="Y1325" s="11"/>
      <c r="Z1325" s="11"/>
      <c r="AA1325" s="11"/>
      <c r="AB1325" s="11"/>
      <c r="AC1325" s="11"/>
    </row>
    <row r="1326" spans="1:29" x14ac:dyDescent="0.3">
      <c r="A1326" s="11"/>
      <c r="B1326" s="11"/>
      <c r="C1326" s="11"/>
      <c r="D1326" s="11"/>
      <c r="E1326" s="11"/>
      <c r="F1326" s="11"/>
      <c r="G1326" s="11"/>
      <c r="H1326" s="11"/>
      <c r="I1326" s="11"/>
      <c r="J1326" s="11"/>
      <c r="K1326" s="11"/>
      <c r="L1326" s="11"/>
      <c r="M1326" s="11"/>
      <c r="N1326" s="11"/>
      <c r="O1326" s="11"/>
      <c r="P1326" s="11"/>
      <c r="Q1326" s="11"/>
      <c r="R1326" s="11"/>
      <c r="S1326" s="11"/>
      <c r="T1326" s="11"/>
      <c r="U1326" s="11"/>
      <c r="V1326" s="11"/>
      <c r="W1326" s="11"/>
      <c r="X1326" s="11"/>
      <c r="Y1326" s="11"/>
      <c r="Z1326" s="11"/>
      <c r="AA1326" s="11"/>
      <c r="AB1326" s="11"/>
      <c r="AC1326" s="11"/>
    </row>
    <row r="1327" spans="1:29" x14ac:dyDescent="0.3">
      <c r="A1327" s="11"/>
      <c r="B1327" s="11"/>
      <c r="C1327" s="11"/>
      <c r="D1327" s="11"/>
      <c r="E1327" s="11"/>
      <c r="F1327" s="11"/>
      <c r="G1327" s="11"/>
      <c r="H1327" s="11"/>
      <c r="I1327" s="11"/>
      <c r="J1327" s="11"/>
      <c r="K1327" s="11"/>
      <c r="L1327" s="11"/>
      <c r="M1327" s="11"/>
      <c r="N1327" s="11"/>
      <c r="O1327" s="11"/>
      <c r="P1327" s="11"/>
      <c r="Q1327" s="11"/>
      <c r="R1327" s="11"/>
      <c r="S1327" s="11"/>
      <c r="T1327" s="11"/>
      <c r="U1327" s="11"/>
      <c r="V1327" s="11"/>
      <c r="W1327" s="11"/>
      <c r="X1327" s="11"/>
      <c r="Y1327" s="11"/>
      <c r="Z1327" s="11"/>
      <c r="AA1327" s="11"/>
      <c r="AB1327" s="11"/>
      <c r="AC1327" s="11"/>
    </row>
    <row r="1328" spans="1:29" x14ac:dyDescent="0.3">
      <c r="A1328" s="11"/>
      <c r="B1328" s="11"/>
      <c r="C1328" s="11"/>
      <c r="D1328" s="11"/>
      <c r="E1328" s="11"/>
      <c r="F1328" s="11"/>
      <c r="G1328" s="11"/>
      <c r="H1328" s="11"/>
      <c r="I1328" s="11"/>
      <c r="J1328" s="11"/>
      <c r="K1328" s="11"/>
      <c r="L1328" s="11"/>
      <c r="M1328" s="11"/>
      <c r="N1328" s="11"/>
      <c r="O1328" s="11"/>
      <c r="P1328" s="11"/>
      <c r="Q1328" s="11"/>
      <c r="R1328" s="11"/>
      <c r="S1328" s="11"/>
      <c r="T1328" s="11"/>
      <c r="U1328" s="11"/>
      <c r="V1328" s="11"/>
      <c r="W1328" s="11"/>
      <c r="X1328" s="11"/>
      <c r="Y1328" s="11"/>
      <c r="Z1328" s="11"/>
      <c r="AA1328" s="11"/>
      <c r="AB1328" s="11"/>
      <c r="AC1328" s="11"/>
    </row>
    <row r="1329" spans="1:29" x14ac:dyDescent="0.3">
      <c r="A1329" s="11"/>
      <c r="B1329" s="11"/>
      <c r="C1329" s="11"/>
      <c r="D1329" s="11"/>
      <c r="E1329" s="11"/>
      <c r="F1329" s="11"/>
      <c r="G1329" s="11"/>
      <c r="H1329" s="11"/>
      <c r="I1329" s="11"/>
      <c r="J1329" s="11"/>
      <c r="K1329" s="11"/>
      <c r="L1329" s="11"/>
      <c r="M1329" s="11"/>
      <c r="N1329" s="11"/>
      <c r="O1329" s="11"/>
      <c r="P1329" s="11"/>
      <c r="Q1329" s="11"/>
      <c r="R1329" s="11"/>
      <c r="S1329" s="11"/>
      <c r="T1329" s="11"/>
      <c r="U1329" s="11"/>
      <c r="V1329" s="11"/>
      <c r="W1329" s="11"/>
      <c r="X1329" s="11"/>
      <c r="Y1329" s="11"/>
      <c r="Z1329" s="11"/>
      <c r="AA1329" s="11"/>
      <c r="AB1329" s="11"/>
      <c r="AC1329" s="11"/>
    </row>
    <row r="1330" spans="1:29" x14ac:dyDescent="0.3">
      <c r="A1330" s="11"/>
      <c r="B1330" s="11"/>
      <c r="C1330" s="11"/>
      <c r="D1330" s="11"/>
      <c r="E1330" s="11"/>
      <c r="F1330" s="11"/>
      <c r="G1330" s="11"/>
      <c r="H1330" s="11"/>
      <c r="I1330" s="11"/>
      <c r="J1330" s="11"/>
      <c r="K1330" s="11"/>
      <c r="L1330" s="11"/>
      <c r="M1330" s="11"/>
      <c r="N1330" s="11"/>
      <c r="O1330" s="11"/>
      <c r="P1330" s="11"/>
      <c r="Q1330" s="11"/>
      <c r="R1330" s="11"/>
      <c r="S1330" s="11"/>
      <c r="T1330" s="11"/>
      <c r="U1330" s="11"/>
      <c r="V1330" s="11"/>
      <c r="W1330" s="11"/>
      <c r="X1330" s="11"/>
      <c r="Y1330" s="11"/>
      <c r="Z1330" s="11"/>
      <c r="AA1330" s="11"/>
      <c r="AB1330" s="11"/>
      <c r="AC1330" s="11"/>
    </row>
    <row r="1331" spans="1:29" x14ac:dyDescent="0.3">
      <c r="A1331" s="11"/>
      <c r="B1331" s="11"/>
      <c r="C1331" s="11"/>
      <c r="D1331" s="11"/>
      <c r="E1331" s="11"/>
      <c r="F1331" s="11"/>
      <c r="G1331" s="11"/>
      <c r="H1331" s="11"/>
      <c r="I1331" s="11"/>
      <c r="J1331" s="11"/>
      <c r="K1331" s="11"/>
      <c r="L1331" s="11"/>
      <c r="M1331" s="11"/>
      <c r="N1331" s="11"/>
      <c r="O1331" s="11"/>
      <c r="P1331" s="11"/>
      <c r="Q1331" s="11"/>
      <c r="R1331" s="11"/>
      <c r="S1331" s="11"/>
      <c r="T1331" s="11"/>
      <c r="U1331" s="11"/>
      <c r="V1331" s="11"/>
      <c r="W1331" s="11"/>
      <c r="X1331" s="11"/>
      <c r="Y1331" s="11"/>
      <c r="Z1331" s="11"/>
      <c r="AA1331" s="11"/>
      <c r="AB1331" s="11"/>
      <c r="AC1331" s="11"/>
    </row>
    <row r="1332" spans="1:29" x14ac:dyDescent="0.3">
      <c r="A1332" s="11"/>
      <c r="B1332" s="11"/>
      <c r="C1332" s="11"/>
      <c r="D1332" s="11"/>
      <c r="E1332" s="11"/>
      <c r="F1332" s="11"/>
      <c r="G1332" s="11"/>
      <c r="H1332" s="11"/>
      <c r="I1332" s="11"/>
      <c r="J1332" s="11"/>
      <c r="K1332" s="11"/>
      <c r="L1332" s="11"/>
      <c r="M1332" s="11"/>
      <c r="N1332" s="11"/>
      <c r="O1332" s="11"/>
      <c r="P1332" s="11"/>
      <c r="Q1332" s="11"/>
      <c r="R1332" s="11"/>
      <c r="S1332" s="11"/>
      <c r="T1332" s="11"/>
      <c r="U1332" s="11"/>
      <c r="V1332" s="11"/>
      <c r="W1332" s="11"/>
      <c r="X1332" s="11"/>
      <c r="Y1332" s="11"/>
      <c r="Z1332" s="11"/>
      <c r="AA1332" s="11"/>
      <c r="AB1332" s="11"/>
      <c r="AC1332" s="11"/>
    </row>
    <row r="1333" spans="1:29" x14ac:dyDescent="0.3">
      <c r="A1333" s="11"/>
      <c r="B1333" s="11"/>
      <c r="C1333" s="11"/>
      <c r="D1333" s="11"/>
      <c r="E1333" s="11"/>
      <c r="F1333" s="11"/>
      <c r="G1333" s="11"/>
      <c r="H1333" s="11"/>
      <c r="I1333" s="11"/>
      <c r="J1333" s="11"/>
      <c r="K1333" s="11"/>
      <c r="L1333" s="11"/>
      <c r="M1333" s="11"/>
      <c r="N1333" s="11"/>
      <c r="O1333" s="11"/>
      <c r="P1333" s="11"/>
      <c r="Q1333" s="11"/>
      <c r="R1333" s="11"/>
      <c r="S1333" s="11"/>
      <c r="T1333" s="11"/>
      <c r="U1333" s="11"/>
      <c r="V1333" s="11"/>
      <c r="W1333" s="11"/>
      <c r="X1333" s="11"/>
      <c r="Y1333" s="11"/>
      <c r="Z1333" s="11"/>
      <c r="AA1333" s="11"/>
      <c r="AB1333" s="11"/>
      <c r="AC1333" s="11"/>
    </row>
    <row r="1334" spans="1:29" x14ac:dyDescent="0.3">
      <c r="A1334" s="11"/>
      <c r="B1334" s="11"/>
      <c r="C1334" s="11"/>
      <c r="D1334" s="11"/>
      <c r="E1334" s="11"/>
      <c r="F1334" s="11"/>
      <c r="G1334" s="11"/>
      <c r="H1334" s="11"/>
      <c r="I1334" s="11"/>
      <c r="J1334" s="11"/>
      <c r="K1334" s="11"/>
      <c r="L1334" s="11"/>
      <c r="M1334" s="11"/>
      <c r="N1334" s="11"/>
      <c r="O1334" s="11"/>
      <c r="P1334" s="11"/>
      <c r="Q1334" s="11"/>
      <c r="R1334" s="11"/>
      <c r="S1334" s="11"/>
      <c r="T1334" s="11"/>
      <c r="U1334" s="11"/>
      <c r="V1334" s="11"/>
      <c r="W1334" s="11"/>
      <c r="X1334" s="11"/>
      <c r="Y1334" s="11"/>
      <c r="Z1334" s="11"/>
      <c r="AA1334" s="11"/>
      <c r="AB1334" s="11"/>
      <c r="AC1334" s="11"/>
    </row>
    <row r="1335" spans="1:29" x14ac:dyDescent="0.3">
      <c r="A1335" s="11"/>
      <c r="B1335" s="11"/>
      <c r="C1335" s="11"/>
      <c r="D1335" s="11"/>
      <c r="E1335" s="11"/>
      <c r="F1335" s="11"/>
      <c r="G1335" s="11"/>
      <c r="H1335" s="11"/>
      <c r="I1335" s="11"/>
      <c r="J1335" s="11"/>
      <c r="K1335" s="11"/>
      <c r="L1335" s="11"/>
      <c r="M1335" s="11"/>
      <c r="N1335" s="11"/>
      <c r="O1335" s="11"/>
      <c r="P1335" s="11"/>
      <c r="Q1335" s="11"/>
      <c r="R1335" s="11"/>
      <c r="S1335" s="11"/>
      <c r="T1335" s="11"/>
      <c r="U1335" s="11"/>
      <c r="V1335" s="11"/>
      <c r="W1335" s="11"/>
      <c r="X1335" s="11"/>
      <c r="Y1335" s="11"/>
      <c r="Z1335" s="11"/>
      <c r="AA1335" s="11"/>
      <c r="AB1335" s="11"/>
      <c r="AC1335" s="11"/>
    </row>
    <row r="1336" spans="1:29" x14ac:dyDescent="0.3">
      <c r="A1336" s="11"/>
      <c r="B1336" s="11"/>
      <c r="C1336" s="11"/>
      <c r="D1336" s="11"/>
      <c r="E1336" s="11"/>
      <c r="F1336" s="11"/>
      <c r="G1336" s="11"/>
      <c r="H1336" s="11"/>
      <c r="I1336" s="11"/>
      <c r="J1336" s="11"/>
      <c r="K1336" s="11"/>
      <c r="L1336" s="11"/>
      <c r="M1336" s="11"/>
      <c r="N1336" s="11"/>
      <c r="O1336" s="11"/>
      <c r="P1336" s="11"/>
      <c r="Q1336" s="11"/>
      <c r="R1336" s="11"/>
      <c r="S1336" s="11"/>
      <c r="T1336" s="11"/>
      <c r="U1336" s="11"/>
      <c r="V1336" s="11"/>
      <c r="W1336" s="11"/>
      <c r="X1336" s="11"/>
      <c r="Y1336" s="11"/>
      <c r="Z1336" s="11"/>
      <c r="AA1336" s="11"/>
      <c r="AB1336" s="11"/>
      <c r="AC1336" s="11"/>
    </row>
    <row r="1337" spans="1:29" x14ac:dyDescent="0.3">
      <c r="A1337" s="11"/>
      <c r="B1337" s="11"/>
      <c r="C1337" s="11"/>
      <c r="D1337" s="11"/>
      <c r="E1337" s="11"/>
      <c r="F1337" s="11"/>
      <c r="G1337" s="11"/>
      <c r="H1337" s="11"/>
      <c r="I1337" s="11"/>
      <c r="J1337" s="11"/>
      <c r="K1337" s="11"/>
      <c r="L1337" s="11"/>
      <c r="M1337" s="11"/>
      <c r="N1337" s="11"/>
      <c r="O1337" s="11"/>
      <c r="P1337" s="11"/>
      <c r="Q1337" s="11"/>
      <c r="R1337" s="11"/>
      <c r="S1337" s="11"/>
      <c r="T1337" s="11"/>
      <c r="U1337" s="11"/>
      <c r="V1337" s="11"/>
      <c r="W1337" s="11"/>
      <c r="X1337" s="11"/>
      <c r="Y1337" s="11"/>
      <c r="Z1337" s="11"/>
      <c r="AA1337" s="11"/>
      <c r="AB1337" s="11"/>
      <c r="AC1337" s="11"/>
    </row>
    <row r="1338" spans="1:29" x14ac:dyDescent="0.3">
      <c r="A1338" s="11"/>
      <c r="B1338" s="11"/>
      <c r="C1338" s="11"/>
      <c r="D1338" s="11"/>
      <c r="E1338" s="11"/>
      <c r="F1338" s="11"/>
      <c r="G1338" s="11"/>
      <c r="H1338" s="11"/>
      <c r="I1338" s="11"/>
      <c r="J1338" s="11"/>
      <c r="K1338" s="11"/>
      <c r="L1338" s="11"/>
      <c r="M1338" s="11"/>
      <c r="N1338" s="11"/>
      <c r="O1338" s="11"/>
      <c r="P1338" s="11"/>
      <c r="Q1338" s="11"/>
      <c r="R1338" s="11"/>
      <c r="S1338" s="11"/>
      <c r="T1338" s="11"/>
      <c r="U1338" s="11"/>
      <c r="V1338" s="11"/>
      <c r="W1338" s="11"/>
      <c r="X1338" s="11"/>
      <c r="Y1338" s="11"/>
      <c r="Z1338" s="11"/>
      <c r="AA1338" s="11"/>
      <c r="AB1338" s="11"/>
      <c r="AC1338" s="11"/>
    </row>
    <row r="1339" spans="1:29" x14ac:dyDescent="0.3">
      <c r="A1339" s="11"/>
      <c r="B1339" s="11"/>
      <c r="C1339" s="11"/>
      <c r="D1339" s="11"/>
      <c r="E1339" s="11"/>
      <c r="F1339" s="11"/>
      <c r="G1339" s="11"/>
      <c r="H1339" s="11"/>
      <c r="I1339" s="11"/>
      <c r="J1339" s="11"/>
      <c r="K1339" s="11"/>
      <c r="L1339" s="11"/>
      <c r="M1339" s="11"/>
      <c r="N1339" s="11"/>
      <c r="O1339" s="11"/>
      <c r="P1339" s="11"/>
      <c r="Q1339" s="11"/>
      <c r="R1339" s="11"/>
      <c r="S1339" s="11"/>
      <c r="T1339" s="11"/>
      <c r="U1339" s="11"/>
      <c r="V1339" s="11"/>
      <c r="W1339" s="11"/>
      <c r="X1339" s="11"/>
      <c r="Y1339" s="11"/>
      <c r="Z1339" s="11"/>
      <c r="AA1339" s="11"/>
      <c r="AB1339" s="11"/>
      <c r="AC1339" s="11"/>
    </row>
    <row r="1340" spans="1:29" x14ac:dyDescent="0.3">
      <c r="A1340" s="11"/>
      <c r="B1340" s="11"/>
      <c r="C1340" s="11"/>
      <c r="D1340" s="11"/>
      <c r="E1340" s="11"/>
      <c r="F1340" s="11"/>
      <c r="G1340" s="11"/>
      <c r="H1340" s="11"/>
      <c r="I1340" s="11"/>
      <c r="J1340" s="11"/>
      <c r="K1340" s="11"/>
      <c r="L1340" s="11"/>
      <c r="M1340" s="11"/>
      <c r="N1340" s="11"/>
      <c r="O1340" s="11"/>
      <c r="P1340" s="11"/>
      <c r="Q1340" s="11"/>
      <c r="R1340" s="11"/>
      <c r="S1340" s="11"/>
      <c r="T1340" s="11"/>
      <c r="U1340" s="11"/>
      <c r="V1340" s="11"/>
      <c r="W1340" s="11"/>
      <c r="X1340" s="11"/>
      <c r="Y1340" s="11"/>
      <c r="Z1340" s="11"/>
      <c r="AA1340" s="11"/>
      <c r="AB1340" s="11"/>
      <c r="AC1340" s="11"/>
    </row>
    <row r="1341" spans="1:29" x14ac:dyDescent="0.3">
      <c r="A1341" s="11"/>
      <c r="B1341" s="11"/>
      <c r="C1341" s="11"/>
      <c r="D1341" s="11"/>
      <c r="E1341" s="11"/>
      <c r="F1341" s="11"/>
      <c r="G1341" s="11"/>
      <c r="H1341" s="11"/>
      <c r="I1341" s="11"/>
      <c r="J1341" s="11"/>
      <c r="K1341" s="11"/>
      <c r="L1341" s="11"/>
      <c r="M1341" s="11"/>
      <c r="N1341" s="11"/>
      <c r="O1341" s="11"/>
      <c r="P1341" s="11"/>
      <c r="Q1341" s="11"/>
      <c r="R1341" s="11"/>
      <c r="S1341" s="11"/>
      <c r="T1341" s="11"/>
      <c r="U1341" s="11"/>
      <c r="V1341" s="11"/>
      <c r="W1341" s="11"/>
      <c r="X1341" s="11"/>
      <c r="Y1341" s="11"/>
      <c r="Z1341" s="11"/>
      <c r="AA1341" s="11"/>
      <c r="AB1341" s="11"/>
      <c r="AC1341" s="11"/>
    </row>
    <row r="1342" spans="1:29" x14ac:dyDescent="0.3">
      <c r="A1342" s="11"/>
      <c r="B1342" s="11"/>
      <c r="C1342" s="11"/>
      <c r="D1342" s="11"/>
      <c r="E1342" s="11"/>
      <c r="F1342" s="11"/>
      <c r="G1342" s="11"/>
      <c r="H1342" s="11"/>
      <c r="I1342" s="11"/>
      <c r="J1342" s="11"/>
      <c r="K1342" s="11"/>
      <c r="L1342" s="11"/>
      <c r="M1342" s="11"/>
      <c r="N1342" s="11"/>
      <c r="O1342" s="11"/>
      <c r="P1342" s="11"/>
      <c r="Q1342" s="11"/>
      <c r="R1342" s="11"/>
      <c r="S1342" s="11"/>
      <c r="T1342" s="11"/>
      <c r="U1342" s="11"/>
      <c r="V1342" s="11"/>
      <c r="W1342" s="11"/>
      <c r="X1342" s="11"/>
      <c r="Y1342" s="11"/>
      <c r="Z1342" s="11"/>
      <c r="AA1342" s="11"/>
      <c r="AB1342" s="11"/>
      <c r="AC1342" s="11"/>
    </row>
    <row r="1343" spans="1:29" x14ac:dyDescent="0.3">
      <c r="A1343" s="11"/>
      <c r="B1343" s="11"/>
      <c r="C1343" s="11"/>
      <c r="D1343" s="11"/>
      <c r="E1343" s="11"/>
      <c r="F1343" s="11"/>
      <c r="G1343" s="11"/>
      <c r="H1343" s="11"/>
      <c r="I1343" s="11"/>
      <c r="J1343" s="11"/>
      <c r="K1343" s="11"/>
      <c r="L1343" s="11"/>
      <c r="M1343" s="11"/>
      <c r="N1343" s="11"/>
      <c r="O1343" s="11"/>
      <c r="P1343" s="11"/>
      <c r="Q1343" s="11"/>
      <c r="R1343" s="11"/>
      <c r="S1343" s="11"/>
      <c r="T1343" s="11"/>
      <c r="U1343" s="11"/>
      <c r="V1343" s="11"/>
      <c r="W1343" s="11"/>
      <c r="X1343" s="11"/>
      <c r="Y1343" s="11"/>
      <c r="Z1343" s="11"/>
      <c r="AA1343" s="11"/>
      <c r="AB1343" s="11"/>
      <c r="AC1343" s="11"/>
    </row>
    <row r="1344" spans="1:29" x14ac:dyDescent="0.3">
      <c r="A1344" s="11"/>
      <c r="B1344" s="11"/>
      <c r="C1344" s="11"/>
      <c r="D1344" s="11"/>
      <c r="E1344" s="11"/>
      <c r="F1344" s="11"/>
      <c r="G1344" s="11"/>
      <c r="H1344" s="11"/>
      <c r="I1344" s="11"/>
      <c r="J1344" s="11"/>
      <c r="K1344" s="11"/>
      <c r="L1344" s="11"/>
      <c r="M1344" s="11"/>
      <c r="N1344" s="11"/>
      <c r="O1344" s="11"/>
      <c r="P1344" s="11"/>
      <c r="Q1344" s="11"/>
      <c r="R1344" s="11"/>
      <c r="S1344" s="11"/>
      <c r="T1344" s="11"/>
      <c r="U1344" s="11"/>
      <c r="V1344" s="11"/>
      <c r="W1344" s="11"/>
      <c r="X1344" s="11"/>
      <c r="Y1344" s="11"/>
      <c r="Z1344" s="11"/>
      <c r="AA1344" s="11"/>
      <c r="AB1344" s="11"/>
      <c r="AC1344" s="11"/>
    </row>
    <row r="1345" spans="1:29" x14ac:dyDescent="0.3">
      <c r="A1345" s="11"/>
      <c r="B1345" s="11"/>
      <c r="C1345" s="11"/>
      <c r="D1345" s="11"/>
      <c r="E1345" s="11"/>
      <c r="F1345" s="11"/>
      <c r="G1345" s="11"/>
      <c r="H1345" s="11"/>
      <c r="I1345" s="11"/>
      <c r="J1345" s="11"/>
      <c r="K1345" s="11"/>
      <c r="L1345" s="11"/>
      <c r="M1345" s="11"/>
      <c r="N1345" s="11"/>
      <c r="O1345" s="11"/>
      <c r="P1345" s="11"/>
      <c r="Q1345" s="11"/>
      <c r="R1345" s="11"/>
      <c r="S1345" s="11"/>
      <c r="T1345" s="11"/>
      <c r="U1345" s="11"/>
      <c r="V1345" s="11"/>
      <c r="W1345" s="11"/>
      <c r="X1345" s="11"/>
      <c r="Y1345" s="11"/>
      <c r="Z1345" s="11"/>
      <c r="AA1345" s="11"/>
      <c r="AB1345" s="11"/>
      <c r="AC1345" s="11"/>
    </row>
    <row r="1346" spans="1:29" x14ac:dyDescent="0.3">
      <c r="A1346" s="11"/>
      <c r="B1346" s="11"/>
      <c r="C1346" s="11"/>
      <c r="D1346" s="11"/>
      <c r="E1346" s="11"/>
      <c r="F1346" s="11"/>
      <c r="G1346" s="11"/>
      <c r="H1346" s="11"/>
      <c r="I1346" s="11"/>
      <c r="J1346" s="11"/>
      <c r="K1346" s="11"/>
      <c r="L1346" s="11"/>
      <c r="M1346" s="11"/>
      <c r="N1346" s="11"/>
      <c r="O1346" s="11"/>
      <c r="P1346" s="11"/>
      <c r="Q1346" s="11"/>
      <c r="R1346" s="11"/>
      <c r="S1346" s="11"/>
      <c r="T1346" s="11"/>
      <c r="U1346" s="11"/>
      <c r="V1346" s="11"/>
      <c r="W1346" s="11"/>
      <c r="X1346" s="11"/>
      <c r="Y1346" s="11"/>
      <c r="Z1346" s="11"/>
      <c r="AA1346" s="11"/>
      <c r="AB1346" s="11"/>
      <c r="AC1346" s="11"/>
    </row>
    <row r="1347" spans="1:29" x14ac:dyDescent="0.3">
      <c r="A1347" s="11"/>
      <c r="B1347" s="11"/>
      <c r="C1347" s="11"/>
      <c r="D1347" s="11"/>
      <c r="E1347" s="11"/>
      <c r="F1347" s="11"/>
      <c r="G1347" s="11"/>
      <c r="H1347" s="11"/>
      <c r="I1347" s="11"/>
      <c r="J1347" s="11"/>
      <c r="K1347" s="11"/>
      <c r="L1347" s="11"/>
      <c r="M1347" s="11"/>
      <c r="N1347" s="11"/>
      <c r="O1347" s="11"/>
      <c r="P1347" s="11"/>
      <c r="Q1347" s="11"/>
      <c r="R1347" s="11"/>
      <c r="S1347" s="11"/>
      <c r="T1347" s="11"/>
      <c r="U1347" s="11"/>
      <c r="V1347" s="11"/>
      <c r="W1347" s="11"/>
      <c r="X1347" s="11"/>
      <c r="Y1347" s="11"/>
      <c r="Z1347" s="11"/>
      <c r="AA1347" s="11"/>
      <c r="AB1347" s="11"/>
      <c r="AC1347" s="11"/>
    </row>
    <row r="1348" spans="1:29" x14ac:dyDescent="0.3">
      <c r="A1348" s="11"/>
      <c r="B1348" s="11"/>
      <c r="C1348" s="11"/>
      <c r="D1348" s="11"/>
      <c r="E1348" s="11"/>
      <c r="F1348" s="11"/>
      <c r="G1348" s="11"/>
      <c r="H1348" s="11"/>
      <c r="I1348" s="11"/>
      <c r="J1348" s="11"/>
      <c r="K1348" s="11"/>
      <c r="L1348" s="11"/>
      <c r="M1348" s="11"/>
      <c r="N1348" s="11"/>
      <c r="O1348" s="11"/>
      <c r="P1348" s="11"/>
      <c r="Q1348" s="11"/>
      <c r="R1348" s="11"/>
      <c r="S1348" s="11"/>
      <c r="T1348" s="11"/>
      <c r="U1348" s="11"/>
      <c r="V1348" s="11"/>
      <c r="W1348" s="11"/>
      <c r="X1348" s="11"/>
      <c r="Y1348" s="11"/>
      <c r="Z1348" s="11"/>
      <c r="AA1348" s="11"/>
      <c r="AB1348" s="11"/>
      <c r="AC1348" s="11"/>
    </row>
    <row r="1349" spans="1:29" x14ac:dyDescent="0.3">
      <c r="A1349" s="11"/>
      <c r="B1349" s="11"/>
      <c r="C1349" s="11"/>
      <c r="D1349" s="11"/>
      <c r="E1349" s="11"/>
      <c r="F1349" s="11"/>
      <c r="G1349" s="11"/>
      <c r="H1349" s="11"/>
      <c r="I1349" s="11"/>
      <c r="J1349" s="11"/>
      <c r="K1349" s="11"/>
      <c r="L1349" s="11"/>
      <c r="M1349" s="11"/>
      <c r="N1349" s="11"/>
      <c r="O1349" s="11"/>
      <c r="P1349" s="11"/>
      <c r="Q1349" s="11"/>
      <c r="R1349" s="11"/>
      <c r="S1349" s="11"/>
      <c r="T1349" s="11"/>
      <c r="U1349" s="11"/>
      <c r="V1349" s="11"/>
      <c r="W1349" s="11"/>
      <c r="X1349" s="11"/>
      <c r="Y1349" s="11"/>
      <c r="Z1349" s="11"/>
      <c r="AA1349" s="11"/>
      <c r="AB1349" s="11"/>
      <c r="AC1349" s="11"/>
    </row>
    <row r="1350" spans="1:29" x14ac:dyDescent="0.3">
      <c r="A1350" s="11"/>
      <c r="B1350" s="11"/>
      <c r="C1350" s="11"/>
      <c r="D1350" s="11"/>
      <c r="E1350" s="11"/>
      <c r="F1350" s="11"/>
      <c r="G1350" s="11"/>
      <c r="H1350" s="11"/>
      <c r="I1350" s="11"/>
      <c r="J1350" s="11"/>
      <c r="K1350" s="11"/>
      <c r="L1350" s="11"/>
      <c r="M1350" s="11"/>
      <c r="N1350" s="11"/>
      <c r="O1350" s="11"/>
      <c r="P1350" s="11"/>
      <c r="Q1350" s="11"/>
      <c r="R1350" s="11"/>
      <c r="S1350" s="11"/>
      <c r="T1350" s="11"/>
      <c r="U1350" s="11"/>
      <c r="V1350" s="11"/>
      <c r="W1350" s="11"/>
      <c r="X1350" s="11"/>
      <c r="Y1350" s="11"/>
      <c r="Z1350" s="11"/>
      <c r="AA1350" s="11"/>
      <c r="AB1350" s="11"/>
      <c r="AC1350" s="11"/>
    </row>
    <row r="1351" spans="1:29" x14ac:dyDescent="0.3">
      <c r="A1351" s="11"/>
      <c r="B1351" s="11"/>
      <c r="C1351" s="11"/>
      <c r="D1351" s="11"/>
      <c r="E1351" s="11"/>
      <c r="F1351" s="11"/>
      <c r="G1351" s="11"/>
      <c r="H1351" s="11"/>
      <c r="I1351" s="11"/>
      <c r="J1351" s="11"/>
      <c r="K1351" s="11"/>
      <c r="L1351" s="11"/>
      <c r="M1351" s="11"/>
      <c r="N1351" s="11"/>
      <c r="O1351" s="11"/>
      <c r="P1351" s="11"/>
      <c r="Q1351" s="11"/>
      <c r="R1351" s="11"/>
      <c r="S1351" s="11"/>
      <c r="T1351" s="11"/>
      <c r="U1351" s="11"/>
      <c r="V1351" s="11"/>
      <c r="W1351" s="11"/>
      <c r="X1351" s="11"/>
      <c r="Y1351" s="11"/>
      <c r="Z1351" s="11"/>
      <c r="AA1351" s="11"/>
      <c r="AB1351" s="11"/>
      <c r="AC1351" s="11"/>
    </row>
    <row r="1352" spans="1:29" x14ac:dyDescent="0.3">
      <c r="A1352" s="11"/>
      <c r="B1352" s="11"/>
      <c r="C1352" s="11"/>
      <c r="D1352" s="11"/>
      <c r="E1352" s="11"/>
      <c r="F1352" s="11"/>
      <c r="G1352" s="11"/>
      <c r="H1352" s="11"/>
      <c r="I1352" s="11"/>
      <c r="J1352" s="11"/>
      <c r="K1352" s="11"/>
      <c r="L1352" s="11"/>
      <c r="M1352" s="11"/>
      <c r="N1352" s="11"/>
      <c r="O1352" s="11"/>
      <c r="P1352" s="11"/>
      <c r="Q1352" s="11"/>
      <c r="R1352" s="11"/>
      <c r="S1352" s="11"/>
      <c r="T1352" s="11"/>
      <c r="U1352" s="11"/>
      <c r="V1352" s="11"/>
      <c r="W1352" s="11"/>
      <c r="X1352" s="11"/>
      <c r="Y1352" s="11"/>
      <c r="Z1352" s="11"/>
      <c r="AA1352" s="11"/>
      <c r="AB1352" s="11"/>
      <c r="AC1352" s="11"/>
    </row>
    <row r="1353" spans="1:29" x14ac:dyDescent="0.3">
      <c r="A1353" s="11"/>
      <c r="B1353" s="11"/>
      <c r="C1353" s="11"/>
      <c r="D1353" s="11"/>
      <c r="E1353" s="11"/>
      <c r="F1353" s="11"/>
      <c r="G1353" s="11"/>
      <c r="H1353" s="11"/>
      <c r="I1353" s="11"/>
      <c r="J1353" s="11"/>
      <c r="K1353" s="11"/>
      <c r="L1353" s="11"/>
      <c r="M1353" s="11"/>
      <c r="N1353" s="11"/>
      <c r="O1353" s="11"/>
      <c r="P1353" s="11"/>
      <c r="Q1353" s="11"/>
      <c r="R1353" s="11"/>
      <c r="S1353" s="11"/>
      <c r="T1353" s="11"/>
      <c r="U1353" s="11"/>
      <c r="V1353" s="11"/>
      <c r="W1353" s="11"/>
      <c r="X1353" s="11"/>
      <c r="Y1353" s="11"/>
      <c r="Z1353" s="11"/>
      <c r="AA1353" s="11"/>
      <c r="AB1353" s="11"/>
      <c r="AC1353" s="11"/>
    </row>
    <row r="1354" spans="1:29" x14ac:dyDescent="0.3">
      <c r="A1354" s="11"/>
      <c r="B1354" s="11"/>
      <c r="C1354" s="11"/>
      <c r="D1354" s="11"/>
      <c r="E1354" s="11"/>
      <c r="F1354" s="11"/>
      <c r="G1354" s="11"/>
      <c r="H1354" s="11"/>
      <c r="I1354" s="11"/>
      <c r="J1354" s="11"/>
      <c r="K1354" s="11"/>
      <c r="L1354" s="11"/>
      <c r="M1354" s="11"/>
      <c r="N1354" s="11"/>
      <c r="O1354" s="11"/>
      <c r="P1354" s="11"/>
      <c r="Q1354" s="11"/>
      <c r="R1354" s="11"/>
      <c r="S1354" s="11"/>
      <c r="T1354" s="11"/>
      <c r="U1354" s="11"/>
      <c r="V1354" s="11"/>
      <c r="W1354" s="11"/>
      <c r="X1354" s="11"/>
      <c r="Y1354" s="11"/>
      <c r="Z1354" s="11"/>
      <c r="AA1354" s="11"/>
      <c r="AB1354" s="11"/>
      <c r="AC1354" s="11"/>
    </row>
    <row r="1355" spans="1:29" x14ac:dyDescent="0.3">
      <c r="A1355" s="11"/>
      <c r="B1355" s="11"/>
      <c r="C1355" s="11"/>
      <c r="D1355" s="11"/>
      <c r="E1355" s="11"/>
      <c r="F1355" s="11"/>
      <c r="G1355" s="11"/>
      <c r="H1355" s="11"/>
      <c r="I1355" s="11"/>
      <c r="J1355" s="11"/>
      <c r="K1355" s="11"/>
      <c r="L1355" s="11"/>
      <c r="M1355" s="11"/>
      <c r="N1355" s="11"/>
      <c r="O1355" s="11"/>
      <c r="P1355" s="11"/>
      <c r="Q1355" s="11"/>
      <c r="R1355" s="11"/>
      <c r="S1355" s="11"/>
      <c r="T1355" s="11"/>
      <c r="U1355" s="11"/>
      <c r="V1355" s="11"/>
      <c r="W1355" s="11"/>
      <c r="X1355" s="11"/>
      <c r="Y1355" s="11"/>
      <c r="Z1355" s="11"/>
      <c r="AA1355" s="11"/>
      <c r="AB1355" s="11"/>
      <c r="AC1355" s="11"/>
    </row>
    <row r="1356" spans="1:29" x14ac:dyDescent="0.3">
      <c r="A1356" s="11"/>
      <c r="B1356" s="11"/>
      <c r="C1356" s="11"/>
      <c r="D1356" s="11"/>
      <c r="E1356" s="11"/>
      <c r="F1356" s="11"/>
      <c r="G1356" s="11"/>
      <c r="H1356" s="11"/>
      <c r="I1356" s="11"/>
      <c r="J1356" s="11"/>
      <c r="K1356" s="11"/>
      <c r="L1356" s="11"/>
      <c r="M1356" s="11"/>
      <c r="N1356" s="11"/>
      <c r="O1356" s="11"/>
      <c r="P1356" s="11"/>
      <c r="Q1356" s="11"/>
      <c r="R1356" s="11"/>
      <c r="S1356" s="11"/>
      <c r="T1356" s="11"/>
      <c r="U1356" s="11"/>
      <c r="V1356" s="11"/>
      <c r="W1356" s="11"/>
      <c r="X1356" s="11"/>
      <c r="Y1356" s="11"/>
      <c r="Z1356" s="11"/>
      <c r="AA1356" s="11"/>
      <c r="AB1356" s="11"/>
      <c r="AC1356" s="11"/>
    </row>
    <row r="1357" spans="1:29" x14ac:dyDescent="0.3">
      <c r="A1357" s="11"/>
      <c r="B1357" s="11"/>
      <c r="C1357" s="11"/>
      <c r="D1357" s="11"/>
      <c r="E1357" s="11"/>
      <c r="F1357" s="11"/>
      <c r="G1357" s="11"/>
      <c r="H1357" s="11"/>
      <c r="I1357" s="11"/>
      <c r="J1357" s="11"/>
      <c r="K1357" s="11"/>
      <c r="L1357" s="11"/>
      <c r="M1357" s="11"/>
      <c r="N1357" s="11"/>
      <c r="O1357" s="11"/>
      <c r="P1357" s="11"/>
      <c r="Q1357" s="11"/>
      <c r="R1357" s="11"/>
      <c r="S1357" s="11"/>
      <c r="T1357" s="11"/>
      <c r="U1357" s="11"/>
      <c r="V1357" s="11"/>
      <c r="W1357" s="11"/>
      <c r="X1357" s="11"/>
      <c r="Y1357" s="11"/>
      <c r="Z1357" s="11"/>
      <c r="AA1357" s="11"/>
      <c r="AB1357" s="11"/>
      <c r="AC1357" s="11"/>
    </row>
    <row r="1358" spans="1:29" x14ac:dyDescent="0.3">
      <c r="A1358" s="11"/>
      <c r="B1358" s="11"/>
      <c r="C1358" s="11"/>
      <c r="D1358" s="11"/>
      <c r="E1358" s="11"/>
      <c r="F1358" s="11"/>
      <c r="G1358" s="11"/>
      <c r="H1358" s="11"/>
      <c r="I1358" s="11"/>
      <c r="J1358" s="11"/>
      <c r="K1358" s="11"/>
      <c r="L1358" s="11"/>
      <c r="M1358" s="11"/>
      <c r="N1358" s="11"/>
      <c r="O1358" s="11"/>
      <c r="P1358" s="11"/>
      <c r="Q1358" s="11"/>
      <c r="R1358" s="11"/>
      <c r="S1358" s="11"/>
      <c r="T1358" s="11"/>
      <c r="U1358" s="11"/>
      <c r="V1358" s="11"/>
      <c r="W1358" s="11"/>
      <c r="X1358" s="11"/>
      <c r="Y1358" s="11"/>
      <c r="Z1358" s="11"/>
      <c r="AA1358" s="11"/>
      <c r="AB1358" s="11"/>
      <c r="AC1358" s="11"/>
    </row>
    <row r="1359" spans="1:29" x14ac:dyDescent="0.3">
      <c r="A1359" s="11"/>
      <c r="B1359" s="11"/>
      <c r="C1359" s="11"/>
      <c r="D1359" s="11"/>
      <c r="E1359" s="11"/>
      <c r="F1359" s="11"/>
      <c r="G1359" s="11"/>
      <c r="H1359" s="11"/>
      <c r="I1359" s="11"/>
      <c r="J1359" s="11"/>
      <c r="K1359" s="11"/>
      <c r="L1359" s="11"/>
      <c r="M1359" s="11"/>
      <c r="N1359" s="11"/>
      <c r="O1359" s="11"/>
      <c r="P1359" s="11"/>
      <c r="Q1359" s="11"/>
      <c r="R1359" s="11"/>
      <c r="S1359" s="11"/>
      <c r="T1359" s="11"/>
      <c r="U1359" s="11"/>
      <c r="V1359" s="11"/>
      <c r="W1359" s="11"/>
      <c r="X1359" s="11"/>
      <c r="Y1359" s="11"/>
      <c r="Z1359" s="11"/>
      <c r="AA1359" s="11"/>
      <c r="AB1359" s="11"/>
      <c r="AC1359" s="11"/>
    </row>
    <row r="1360" spans="1:29" x14ac:dyDescent="0.3">
      <c r="A1360" s="11"/>
      <c r="B1360" s="11"/>
      <c r="C1360" s="11"/>
      <c r="D1360" s="11"/>
      <c r="E1360" s="11"/>
      <c r="F1360" s="11"/>
      <c r="G1360" s="11"/>
      <c r="H1360" s="11"/>
      <c r="I1360" s="11"/>
      <c r="J1360" s="11"/>
      <c r="K1360" s="11"/>
      <c r="L1360" s="11"/>
      <c r="M1360" s="11"/>
      <c r="N1360" s="11"/>
      <c r="O1360" s="11"/>
      <c r="P1360" s="11"/>
      <c r="Q1360" s="11"/>
      <c r="R1360" s="11"/>
      <c r="S1360" s="11"/>
      <c r="T1360" s="11"/>
      <c r="U1360" s="11"/>
      <c r="V1360" s="11"/>
      <c r="W1360" s="11"/>
      <c r="X1360" s="11"/>
      <c r="Y1360" s="11"/>
      <c r="Z1360" s="11"/>
      <c r="AA1360" s="11"/>
      <c r="AB1360" s="11"/>
      <c r="AC1360" s="11"/>
    </row>
    <row r="1361" spans="1:29" x14ac:dyDescent="0.3">
      <c r="A1361" s="11"/>
      <c r="B1361" s="11"/>
      <c r="C1361" s="11"/>
      <c r="D1361" s="11"/>
      <c r="E1361" s="11"/>
      <c r="F1361" s="11"/>
      <c r="G1361" s="11"/>
      <c r="H1361" s="11"/>
      <c r="I1361" s="11"/>
      <c r="J1361" s="11"/>
      <c r="K1361" s="11"/>
      <c r="L1361" s="11"/>
      <c r="M1361" s="11"/>
      <c r="N1361" s="11"/>
      <c r="O1361" s="11"/>
      <c r="P1361" s="11"/>
      <c r="Q1361" s="11"/>
      <c r="R1361" s="11"/>
      <c r="S1361" s="11"/>
      <c r="T1361" s="11"/>
      <c r="U1361" s="11"/>
      <c r="V1361" s="11"/>
      <c r="W1361" s="11"/>
      <c r="X1361" s="11"/>
      <c r="Y1361" s="11"/>
      <c r="Z1361" s="11"/>
      <c r="AA1361" s="11"/>
      <c r="AB1361" s="11"/>
      <c r="AC1361" s="11"/>
    </row>
    <row r="1362" spans="1:29" x14ac:dyDescent="0.3">
      <c r="A1362" s="11"/>
      <c r="B1362" s="11"/>
      <c r="C1362" s="11"/>
      <c r="D1362" s="11"/>
      <c r="E1362" s="11"/>
      <c r="F1362" s="11"/>
      <c r="G1362" s="11"/>
      <c r="H1362" s="11"/>
      <c r="I1362" s="11"/>
      <c r="J1362" s="11"/>
      <c r="K1362" s="11"/>
      <c r="L1362" s="11"/>
      <c r="M1362" s="11"/>
      <c r="N1362" s="11"/>
      <c r="O1362" s="11"/>
      <c r="P1362" s="11"/>
      <c r="Q1362" s="11"/>
      <c r="R1362" s="11"/>
      <c r="S1362" s="11"/>
      <c r="T1362" s="11"/>
      <c r="U1362" s="11"/>
      <c r="V1362" s="11"/>
      <c r="W1362" s="11"/>
      <c r="X1362" s="11"/>
      <c r="Y1362" s="11"/>
      <c r="Z1362" s="11"/>
      <c r="AA1362" s="11"/>
      <c r="AB1362" s="11"/>
      <c r="AC1362" s="11"/>
    </row>
    <row r="1363" spans="1:29" x14ac:dyDescent="0.3">
      <c r="A1363" s="11"/>
      <c r="B1363" s="11"/>
      <c r="C1363" s="11"/>
      <c r="D1363" s="11"/>
      <c r="E1363" s="11"/>
      <c r="F1363" s="11"/>
      <c r="G1363" s="11"/>
      <c r="H1363" s="11"/>
      <c r="I1363" s="11"/>
      <c r="J1363" s="11"/>
      <c r="K1363" s="11"/>
      <c r="L1363" s="11"/>
      <c r="M1363" s="11"/>
      <c r="N1363" s="11"/>
      <c r="O1363" s="11"/>
      <c r="P1363" s="11"/>
      <c r="Q1363" s="11"/>
      <c r="R1363" s="11"/>
      <c r="S1363" s="11"/>
      <c r="T1363" s="11"/>
      <c r="U1363" s="11"/>
      <c r="V1363" s="11"/>
      <c r="W1363" s="11"/>
      <c r="X1363" s="11"/>
      <c r="Y1363" s="11"/>
      <c r="Z1363" s="11"/>
      <c r="AA1363" s="11"/>
      <c r="AB1363" s="11"/>
      <c r="AC1363" s="11"/>
    </row>
    <row r="1364" spans="1:29" x14ac:dyDescent="0.3">
      <c r="A1364" s="11"/>
      <c r="B1364" s="11"/>
      <c r="C1364" s="11"/>
      <c r="D1364" s="11"/>
      <c r="E1364" s="11"/>
      <c r="F1364" s="11"/>
      <c r="G1364" s="11"/>
      <c r="H1364" s="11"/>
      <c r="I1364" s="11"/>
      <c r="J1364" s="11"/>
      <c r="K1364" s="11"/>
      <c r="L1364" s="11"/>
      <c r="M1364" s="11"/>
      <c r="N1364" s="11"/>
      <c r="O1364" s="11"/>
      <c r="P1364" s="11"/>
      <c r="Q1364" s="11"/>
      <c r="R1364" s="11"/>
      <c r="S1364" s="11"/>
      <c r="T1364" s="11"/>
      <c r="U1364" s="11"/>
      <c r="V1364" s="11"/>
      <c r="W1364" s="11"/>
      <c r="X1364" s="11"/>
      <c r="Y1364" s="11"/>
      <c r="Z1364" s="11"/>
      <c r="AA1364" s="11"/>
      <c r="AB1364" s="11"/>
      <c r="AC1364" s="11"/>
    </row>
    <row r="1365" spans="1:29" x14ac:dyDescent="0.3">
      <c r="A1365" s="11"/>
      <c r="B1365" s="11"/>
      <c r="C1365" s="11"/>
      <c r="D1365" s="11"/>
      <c r="E1365" s="11"/>
      <c r="F1365" s="11"/>
      <c r="G1365" s="11"/>
      <c r="H1365" s="11"/>
      <c r="I1365" s="11"/>
      <c r="J1365" s="11"/>
      <c r="K1365" s="11"/>
      <c r="L1365" s="11"/>
      <c r="M1365" s="11"/>
      <c r="N1365" s="11"/>
      <c r="O1365" s="11"/>
      <c r="P1365" s="11"/>
      <c r="Q1365" s="11"/>
      <c r="R1365" s="11"/>
      <c r="S1365" s="11"/>
      <c r="T1365" s="11"/>
      <c r="U1365" s="11"/>
      <c r="V1365" s="11"/>
      <c r="W1365" s="11"/>
      <c r="X1365" s="11"/>
      <c r="Y1365" s="11"/>
      <c r="Z1365" s="11"/>
      <c r="AA1365" s="11"/>
      <c r="AB1365" s="11"/>
      <c r="AC1365" s="11"/>
    </row>
    <row r="1366" spans="1:29" x14ac:dyDescent="0.3">
      <c r="A1366" s="11"/>
      <c r="B1366" s="11"/>
      <c r="C1366" s="11"/>
      <c r="D1366" s="11"/>
      <c r="E1366" s="11"/>
      <c r="F1366" s="11"/>
      <c r="G1366" s="11"/>
      <c r="H1366" s="11"/>
      <c r="I1366" s="11"/>
      <c r="J1366" s="11"/>
      <c r="K1366" s="11"/>
      <c r="L1366" s="11"/>
      <c r="M1366" s="11"/>
      <c r="N1366" s="11"/>
      <c r="O1366" s="11"/>
      <c r="P1366" s="11"/>
      <c r="Q1366" s="11"/>
      <c r="R1366" s="11"/>
      <c r="S1366" s="11"/>
      <c r="T1366" s="11"/>
      <c r="U1366" s="11"/>
      <c r="V1366" s="11"/>
      <c r="W1366" s="11"/>
      <c r="X1366" s="11"/>
      <c r="Y1366" s="11"/>
      <c r="Z1366" s="11"/>
      <c r="AA1366" s="11"/>
      <c r="AB1366" s="11"/>
      <c r="AC1366" s="11"/>
    </row>
    <row r="1367" spans="1:29" x14ac:dyDescent="0.3">
      <c r="A1367" s="11"/>
      <c r="B1367" s="11"/>
      <c r="C1367" s="11"/>
      <c r="D1367" s="11"/>
      <c r="E1367" s="11"/>
      <c r="F1367" s="11"/>
      <c r="G1367" s="11"/>
      <c r="H1367" s="11"/>
      <c r="I1367" s="11"/>
      <c r="J1367" s="11"/>
      <c r="K1367" s="11"/>
      <c r="L1367" s="11"/>
      <c r="M1367" s="11"/>
      <c r="N1367" s="11"/>
      <c r="O1367" s="11"/>
      <c r="P1367" s="11"/>
      <c r="Q1367" s="11"/>
      <c r="R1367" s="11"/>
      <c r="S1367" s="11"/>
      <c r="T1367" s="11"/>
      <c r="U1367" s="11"/>
      <c r="V1367" s="11"/>
      <c r="W1367" s="11"/>
      <c r="X1367" s="11"/>
      <c r="Y1367" s="11"/>
      <c r="Z1367" s="11"/>
      <c r="AA1367" s="11"/>
      <c r="AB1367" s="11"/>
      <c r="AC1367" s="11"/>
    </row>
    <row r="1368" spans="1:29" x14ac:dyDescent="0.3">
      <c r="A1368" s="11"/>
      <c r="B1368" s="11"/>
      <c r="C1368" s="11"/>
      <c r="D1368" s="11"/>
      <c r="E1368" s="11"/>
      <c r="F1368" s="11"/>
      <c r="G1368" s="11"/>
      <c r="H1368" s="11"/>
      <c r="I1368" s="11"/>
      <c r="J1368" s="11"/>
      <c r="K1368" s="11"/>
      <c r="L1368" s="11"/>
      <c r="M1368" s="11"/>
      <c r="N1368" s="11"/>
      <c r="O1368" s="11"/>
      <c r="P1368" s="11"/>
      <c r="Q1368" s="11"/>
      <c r="R1368" s="11"/>
      <c r="S1368" s="11"/>
      <c r="T1368" s="11"/>
      <c r="U1368" s="11"/>
      <c r="V1368" s="11"/>
      <c r="W1368" s="11"/>
      <c r="X1368" s="11"/>
      <c r="Y1368" s="11"/>
      <c r="Z1368" s="11"/>
      <c r="AA1368" s="11"/>
      <c r="AB1368" s="11"/>
      <c r="AC1368" s="11"/>
    </row>
    <row r="1369" spans="1:29" x14ac:dyDescent="0.3">
      <c r="A1369" s="11"/>
      <c r="B1369" s="11"/>
      <c r="C1369" s="11"/>
      <c r="D1369" s="11"/>
      <c r="E1369" s="11"/>
      <c r="F1369" s="11"/>
      <c r="G1369" s="11"/>
      <c r="H1369" s="11"/>
      <c r="I1369" s="11"/>
      <c r="J1369" s="11"/>
      <c r="K1369" s="11"/>
      <c r="L1369" s="11"/>
      <c r="M1369" s="11"/>
      <c r="N1369" s="11"/>
      <c r="O1369" s="11"/>
      <c r="P1369" s="11"/>
      <c r="Q1369" s="11"/>
      <c r="R1369" s="11"/>
      <c r="S1369" s="11"/>
      <c r="T1369" s="11"/>
      <c r="U1369" s="11"/>
      <c r="V1369" s="11"/>
      <c r="W1369" s="11"/>
      <c r="X1369" s="11"/>
      <c r="Y1369" s="11"/>
      <c r="Z1369" s="11"/>
      <c r="AA1369" s="11"/>
      <c r="AB1369" s="11"/>
      <c r="AC1369" s="11"/>
    </row>
    <row r="1370" spans="1:29" x14ac:dyDescent="0.3">
      <c r="A1370" s="11"/>
      <c r="B1370" s="11"/>
      <c r="C1370" s="11"/>
      <c r="D1370" s="11"/>
      <c r="E1370" s="11"/>
      <c r="F1370" s="11"/>
      <c r="G1370" s="11"/>
      <c r="H1370" s="11"/>
      <c r="I1370" s="11"/>
      <c r="J1370" s="11"/>
      <c r="K1370" s="11"/>
      <c r="L1370" s="11"/>
      <c r="M1370" s="11"/>
      <c r="N1370" s="11"/>
      <c r="O1370" s="11"/>
      <c r="P1370" s="11"/>
      <c r="Q1370" s="11"/>
      <c r="R1370" s="11"/>
      <c r="S1370" s="11"/>
      <c r="T1370" s="11"/>
      <c r="U1370" s="11"/>
      <c r="V1370" s="11"/>
      <c r="W1370" s="11"/>
      <c r="X1370" s="11"/>
      <c r="Y1370" s="11"/>
      <c r="Z1370" s="11"/>
      <c r="AA1370" s="11"/>
      <c r="AB1370" s="11"/>
      <c r="AC1370" s="11"/>
    </row>
    <row r="1371" spans="1:29" x14ac:dyDescent="0.3">
      <c r="A1371" s="11"/>
      <c r="B1371" s="11"/>
      <c r="C1371" s="11"/>
      <c r="D1371" s="11"/>
      <c r="E1371" s="11"/>
      <c r="F1371" s="11"/>
      <c r="G1371" s="11"/>
      <c r="H1371" s="11"/>
      <c r="I1371" s="11"/>
      <c r="J1371" s="11"/>
      <c r="K1371" s="11"/>
      <c r="L1371" s="11"/>
      <c r="M1371" s="11"/>
      <c r="N1371" s="11"/>
      <c r="O1371" s="11"/>
      <c r="P1371" s="11"/>
      <c r="Q1371" s="11"/>
      <c r="R1371" s="11"/>
      <c r="S1371" s="11"/>
      <c r="T1371" s="11"/>
      <c r="U1371" s="11"/>
      <c r="V1371" s="11"/>
      <c r="W1371" s="11"/>
      <c r="X1371" s="11"/>
      <c r="Y1371" s="11"/>
      <c r="Z1371" s="11"/>
      <c r="AA1371" s="11"/>
      <c r="AB1371" s="11"/>
      <c r="AC1371" s="11"/>
    </row>
    <row r="1372" spans="1:29" x14ac:dyDescent="0.3">
      <c r="A1372" s="11"/>
      <c r="B1372" s="11"/>
      <c r="C1372" s="11"/>
      <c r="D1372" s="11"/>
      <c r="E1372" s="11"/>
      <c r="F1372" s="11"/>
      <c r="G1372" s="11"/>
      <c r="H1372" s="11"/>
      <c r="I1372" s="11"/>
      <c r="J1372" s="11"/>
      <c r="K1372" s="11"/>
      <c r="L1372" s="11"/>
      <c r="M1372" s="11"/>
      <c r="N1372" s="11"/>
      <c r="O1372" s="11"/>
      <c r="P1372" s="11"/>
      <c r="Q1372" s="11"/>
      <c r="R1372" s="11"/>
      <c r="S1372" s="11"/>
      <c r="T1372" s="11"/>
      <c r="U1372" s="11"/>
      <c r="V1372" s="11"/>
      <c r="W1372" s="11"/>
      <c r="X1372" s="11"/>
      <c r="Y1372" s="11"/>
      <c r="Z1372" s="11"/>
      <c r="AA1372" s="11"/>
      <c r="AB1372" s="11"/>
      <c r="AC1372" s="11"/>
    </row>
    <row r="1373" spans="1:29" x14ac:dyDescent="0.3">
      <c r="A1373" s="11"/>
      <c r="B1373" s="11"/>
      <c r="C1373" s="11"/>
      <c r="D1373" s="11"/>
      <c r="E1373" s="11"/>
      <c r="F1373" s="11"/>
      <c r="G1373" s="11"/>
      <c r="H1373" s="11"/>
      <c r="I1373" s="11"/>
      <c r="J1373" s="11"/>
      <c r="K1373" s="11"/>
      <c r="L1373" s="11"/>
      <c r="M1373" s="11"/>
      <c r="N1373" s="11"/>
      <c r="O1373" s="11"/>
      <c r="P1373" s="11"/>
      <c r="Q1373" s="11"/>
      <c r="R1373" s="11"/>
      <c r="S1373" s="11"/>
      <c r="T1373" s="11"/>
      <c r="U1373" s="11"/>
      <c r="V1373" s="11"/>
      <c r="W1373" s="11"/>
      <c r="X1373" s="11"/>
      <c r="Y1373" s="11"/>
      <c r="Z1373" s="11"/>
      <c r="AA1373" s="11"/>
      <c r="AB1373" s="11"/>
      <c r="AC1373" s="11"/>
    </row>
    <row r="1374" spans="1:29" x14ac:dyDescent="0.3">
      <c r="A1374" s="11"/>
      <c r="B1374" s="11"/>
      <c r="C1374" s="11"/>
      <c r="D1374" s="11"/>
      <c r="E1374" s="11"/>
      <c r="F1374" s="11"/>
      <c r="G1374" s="11"/>
      <c r="H1374" s="11"/>
      <c r="I1374" s="11"/>
      <c r="J1374" s="11"/>
      <c r="K1374" s="11"/>
      <c r="L1374" s="11"/>
      <c r="M1374" s="11"/>
      <c r="N1374" s="11"/>
      <c r="O1374" s="11"/>
      <c r="P1374" s="11"/>
      <c r="Q1374" s="11"/>
      <c r="R1374" s="11"/>
      <c r="S1374" s="11"/>
      <c r="T1374" s="11"/>
      <c r="U1374" s="11"/>
      <c r="V1374" s="11"/>
      <c r="W1374" s="11"/>
      <c r="X1374" s="11"/>
      <c r="Y1374" s="11"/>
      <c r="Z1374" s="11"/>
      <c r="AA1374" s="11"/>
      <c r="AB1374" s="11"/>
      <c r="AC1374" s="11"/>
    </row>
    <row r="1375" spans="1:29" x14ac:dyDescent="0.3">
      <c r="A1375" s="11"/>
      <c r="B1375" s="11"/>
      <c r="C1375" s="11"/>
      <c r="D1375" s="11"/>
      <c r="E1375" s="11"/>
      <c r="F1375" s="11"/>
      <c r="G1375" s="11"/>
      <c r="H1375" s="11"/>
      <c r="I1375" s="11"/>
      <c r="J1375" s="11"/>
      <c r="K1375" s="11"/>
      <c r="L1375" s="11"/>
      <c r="M1375" s="11"/>
      <c r="N1375" s="11"/>
      <c r="O1375" s="11"/>
      <c r="P1375" s="11"/>
      <c r="Q1375" s="11"/>
      <c r="R1375" s="11"/>
      <c r="S1375" s="11"/>
      <c r="T1375" s="11"/>
      <c r="U1375" s="11"/>
      <c r="V1375" s="11"/>
      <c r="W1375" s="11"/>
      <c r="X1375" s="11"/>
      <c r="Y1375" s="11"/>
      <c r="Z1375" s="11"/>
      <c r="AA1375" s="11"/>
      <c r="AB1375" s="11"/>
      <c r="AC1375" s="11"/>
    </row>
    <row r="1376" spans="1:29" x14ac:dyDescent="0.3">
      <c r="A1376" s="11"/>
      <c r="B1376" s="11"/>
      <c r="C1376" s="11"/>
      <c r="D1376" s="11"/>
      <c r="E1376" s="11"/>
      <c r="F1376" s="11"/>
      <c r="G1376" s="11"/>
      <c r="H1376" s="11"/>
      <c r="I1376" s="11"/>
      <c r="J1376" s="11"/>
      <c r="K1376" s="11"/>
      <c r="L1376" s="11"/>
      <c r="M1376" s="11"/>
      <c r="N1376" s="11"/>
      <c r="O1376" s="11"/>
      <c r="P1376" s="11"/>
      <c r="Q1376" s="11"/>
      <c r="R1376" s="11"/>
      <c r="S1376" s="11"/>
      <c r="T1376" s="11"/>
      <c r="U1376" s="11"/>
      <c r="V1376" s="11"/>
      <c r="W1376" s="11"/>
      <c r="X1376" s="11"/>
      <c r="Y1376" s="11"/>
      <c r="Z1376" s="11"/>
      <c r="AA1376" s="11"/>
      <c r="AB1376" s="11"/>
      <c r="AC1376" s="11"/>
    </row>
    <row r="1377" spans="1:29" x14ac:dyDescent="0.3">
      <c r="A1377" s="11"/>
      <c r="B1377" s="11"/>
      <c r="C1377" s="11"/>
      <c r="D1377" s="11"/>
      <c r="E1377" s="11"/>
      <c r="F1377" s="11"/>
      <c r="G1377" s="11"/>
      <c r="H1377" s="11"/>
      <c r="I1377" s="11"/>
      <c r="J1377" s="11"/>
      <c r="K1377" s="11"/>
      <c r="L1377" s="11"/>
      <c r="M1377" s="11"/>
      <c r="N1377" s="11"/>
      <c r="O1377" s="11"/>
      <c r="P1377" s="11"/>
      <c r="Q1377" s="11"/>
      <c r="R1377" s="11"/>
      <c r="S1377" s="11"/>
      <c r="T1377" s="11"/>
      <c r="U1377" s="11"/>
      <c r="V1377" s="11"/>
      <c r="W1377" s="11"/>
      <c r="X1377" s="11"/>
      <c r="Y1377" s="11"/>
      <c r="Z1377" s="11"/>
      <c r="AA1377" s="11"/>
      <c r="AB1377" s="11"/>
      <c r="AC1377" s="11"/>
    </row>
    <row r="1378" spans="1:29" x14ac:dyDescent="0.3">
      <c r="A1378" s="11"/>
      <c r="B1378" s="11"/>
      <c r="C1378" s="11"/>
      <c r="D1378" s="11"/>
      <c r="E1378" s="11"/>
      <c r="F1378" s="11"/>
      <c r="G1378" s="11"/>
      <c r="H1378" s="11"/>
      <c r="I1378" s="11"/>
      <c r="J1378" s="11"/>
      <c r="K1378" s="11"/>
      <c r="L1378" s="11"/>
      <c r="M1378" s="11"/>
      <c r="N1378" s="11"/>
      <c r="O1378" s="11"/>
      <c r="P1378" s="11"/>
      <c r="Q1378" s="11"/>
      <c r="R1378" s="11"/>
      <c r="S1378" s="11"/>
      <c r="T1378" s="11"/>
      <c r="U1378" s="11"/>
      <c r="V1378" s="11"/>
      <c r="W1378" s="11"/>
      <c r="X1378" s="11"/>
      <c r="Y1378" s="11"/>
      <c r="Z1378" s="11"/>
      <c r="AA1378" s="11"/>
      <c r="AB1378" s="11"/>
      <c r="AC1378" s="11"/>
    </row>
    <row r="1379" spans="1:29" x14ac:dyDescent="0.3">
      <c r="A1379" s="11"/>
      <c r="B1379" s="11"/>
      <c r="C1379" s="11"/>
      <c r="D1379" s="11"/>
      <c r="E1379" s="11"/>
      <c r="F1379" s="11"/>
      <c r="G1379" s="11"/>
      <c r="H1379" s="11"/>
      <c r="I1379" s="11"/>
      <c r="J1379" s="11"/>
      <c r="K1379" s="11"/>
      <c r="L1379" s="11"/>
      <c r="M1379" s="11"/>
      <c r="N1379" s="11"/>
      <c r="O1379" s="11"/>
      <c r="P1379" s="11"/>
      <c r="Q1379" s="11"/>
      <c r="R1379" s="11"/>
      <c r="S1379" s="11"/>
      <c r="T1379" s="11"/>
      <c r="U1379" s="11"/>
      <c r="V1379" s="11"/>
      <c r="W1379" s="11"/>
      <c r="X1379" s="11"/>
      <c r="Y1379" s="11"/>
      <c r="Z1379" s="11"/>
      <c r="AA1379" s="11"/>
      <c r="AB1379" s="11"/>
      <c r="AC1379" s="11"/>
    </row>
    <row r="1380" spans="1:29" x14ac:dyDescent="0.3">
      <c r="A1380" s="11"/>
      <c r="B1380" s="11"/>
      <c r="C1380" s="11"/>
      <c r="D1380" s="11"/>
      <c r="E1380" s="11"/>
      <c r="F1380" s="11"/>
      <c r="G1380" s="11"/>
      <c r="H1380" s="11"/>
      <c r="I1380" s="11"/>
      <c r="J1380" s="11"/>
      <c r="K1380" s="11"/>
      <c r="L1380" s="11"/>
      <c r="M1380" s="11"/>
      <c r="N1380" s="11"/>
      <c r="O1380" s="11"/>
      <c r="P1380" s="11"/>
      <c r="Q1380" s="11"/>
      <c r="R1380" s="11"/>
      <c r="S1380" s="11"/>
      <c r="T1380" s="11"/>
      <c r="U1380" s="11"/>
      <c r="V1380" s="11"/>
      <c r="W1380" s="11"/>
      <c r="X1380" s="11"/>
      <c r="Y1380" s="11"/>
      <c r="Z1380" s="11"/>
      <c r="AA1380" s="11"/>
      <c r="AB1380" s="11"/>
      <c r="AC1380" s="11"/>
    </row>
    <row r="1381" spans="1:29" x14ac:dyDescent="0.3">
      <c r="A1381" s="11"/>
      <c r="B1381" s="11"/>
      <c r="C1381" s="11"/>
      <c r="D1381" s="11"/>
      <c r="E1381" s="11"/>
      <c r="F1381" s="11"/>
      <c r="G1381" s="11"/>
      <c r="H1381" s="11"/>
      <c r="I1381" s="11"/>
      <c r="J1381" s="11"/>
      <c r="K1381" s="11"/>
      <c r="L1381" s="11"/>
      <c r="M1381" s="11"/>
      <c r="N1381" s="11"/>
      <c r="O1381" s="11"/>
      <c r="P1381" s="11"/>
      <c r="Q1381" s="11"/>
      <c r="R1381" s="11"/>
      <c r="S1381" s="11"/>
      <c r="T1381" s="11"/>
      <c r="U1381" s="11"/>
      <c r="V1381" s="11"/>
      <c r="W1381" s="11"/>
      <c r="X1381" s="11"/>
      <c r="Y1381" s="11"/>
      <c r="Z1381" s="11"/>
      <c r="AA1381" s="11"/>
      <c r="AB1381" s="11"/>
      <c r="AC1381" s="11"/>
    </row>
    <row r="1382" spans="1:29" x14ac:dyDescent="0.3">
      <c r="A1382" s="11"/>
      <c r="B1382" s="11"/>
      <c r="C1382" s="11"/>
      <c r="D1382" s="11"/>
      <c r="E1382" s="11"/>
      <c r="F1382" s="11"/>
      <c r="G1382" s="11"/>
      <c r="H1382" s="11"/>
      <c r="I1382" s="11"/>
      <c r="J1382" s="11"/>
      <c r="K1382" s="11"/>
      <c r="L1382" s="11"/>
      <c r="M1382" s="11"/>
      <c r="N1382" s="11"/>
      <c r="O1382" s="11"/>
      <c r="P1382" s="11"/>
      <c r="Q1382" s="11"/>
      <c r="R1382" s="11"/>
      <c r="S1382" s="11"/>
      <c r="T1382" s="11"/>
      <c r="U1382" s="11"/>
      <c r="V1382" s="11"/>
      <c r="W1382" s="11"/>
      <c r="X1382" s="11"/>
      <c r="Y1382" s="11"/>
      <c r="Z1382" s="11"/>
      <c r="AA1382" s="11"/>
      <c r="AB1382" s="11"/>
      <c r="AC1382" s="11"/>
    </row>
    <row r="1383" spans="1:29" x14ac:dyDescent="0.3">
      <c r="A1383" s="11"/>
      <c r="B1383" s="11"/>
      <c r="C1383" s="11"/>
      <c r="D1383" s="11"/>
      <c r="E1383" s="11"/>
      <c r="F1383" s="11"/>
      <c r="G1383" s="11"/>
      <c r="H1383" s="11"/>
      <c r="I1383" s="11"/>
      <c r="J1383" s="11"/>
      <c r="K1383" s="11"/>
      <c r="L1383" s="11"/>
      <c r="M1383" s="11"/>
      <c r="N1383" s="11"/>
      <c r="O1383" s="11"/>
      <c r="P1383" s="11"/>
      <c r="Q1383" s="11"/>
      <c r="R1383" s="11"/>
      <c r="S1383" s="11"/>
      <c r="T1383" s="11"/>
      <c r="U1383" s="11"/>
      <c r="V1383" s="11"/>
      <c r="W1383" s="11"/>
      <c r="X1383" s="11"/>
      <c r="Y1383" s="11"/>
      <c r="Z1383" s="11"/>
      <c r="AA1383" s="11"/>
      <c r="AB1383" s="11"/>
      <c r="AC1383" s="11"/>
    </row>
    <row r="1384" spans="1:29" x14ac:dyDescent="0.3">
      <c r="A1384" s="11"/>
      <c r="B1384" s="11"/>
      <c r="C1384" s="11"/>
      <c r="D1384" s="11"/>
      <c r="E1384" s="11"/>
      <c r="F1384" s="11"/>
      <c r="G1384" s="11"/>
      <c r="H1384" s="11"/>
      <c r="I1384" s="11"/>
      <c r="J1384" s="11"/>
      <c r="K1384" s="11"/>
      <c r="L1384" s="11"/>
      <c r="M1384" s="11"/>
      <c r="N1384" s="11"/>
      <c r="O1384" s="11"/>
      <c r="P1384" s="11"/>
      <c r="Q1384" s="11"/>
      <c r="R1384" s="11"/>
      <c r="S1384" s="11"/>
      <c r="T1384" s="11"/>
      <c r="U1384" s="11"/>
      <c r="V1384" s="11"/>
      <c r="W1384" s="11"/>
      <c r="X1384" s="11"/>
      <c r="Y1384" s="11"/>
      <c r="Z1384" s="11"/>
      <c r="AA1384" s="11"/>
      <c r="AB1384" s="11"/>
      <c r="AC1384" s="11"/>
    </row>
    <row r="1385" spans="1:29" x14ac:dyDescent="0.3">
      <c r="A1385" s="11"/>
      <c r="B1385" s="11"/>
      <c r="C1385" s="11"/>
      <c r="D1385" s="11"/>
      <c r="E1385" s="11"/>
      <c r="F1385" s="11"/>
      <c r="G1385" s="11"/>
      <c r="H1385" s="11"/>
      <c r="I1385" s="11"/>
      <c r="J1385" s="11"/>
      <c r="K1385" s="11"/>
      <c r="L1385" s="11"/>
      <c r="M1385" s="11"/>
      <c r="N1385" s="11"/>
      <c r="O1385" s="11"/>
      <c r="P1385" s="11"/>
      <c r="Q1385" s="11"/>
      <c r="R1385" s="11"/>
      <c r="S1385" s="11"/>
      <c r="T1385" s="11"/>
      <c r="U1385" s="11"/>
      <c r="V1385" s="11"/>
      <c r="W1385" s="11"/>
      <c r="X1385" s="11"/>
      <c r="Y1385" s="11"/>
      <c r="Z1385" s="11"/>
      <c r="AA1385" s="11"/>
      <c r="AB1385" s="11"/>
      <c r="AC1385" s="11"/>
    </row>
    <row r="1386" spans="1:29" x14ac:dyDescent="0.3">
      <c r="A1386" s="11"/>
      <c r="B1386" s="11"/>
      <c r="C1386" s="11"/>
      <c r="D1386" s="11"/>
      <c r="E1386" s="11"/>
      <c r="F1386" s="11"/>
      <c r="G1386" s="11"/>
      <c r="H1386" s="11"/>
      <c r="I1386" s="11"/>
      <c r="J1386" s="11"/>
      <c r="K1386" s="11"/>
      <c r="L1386" s="11"/>
      <c r="M1386" s="11"/>
      <c r="N1386" s="11"/>
      <c r="O1386" s="11"/>
      <c r="P1386" s="11"/>
      <c r="Q1386" s="11"/>
      <c r="R1386" s="11"/>
      <c r="S1386" s="11"/>
      <c r="T1386" s="11"/>
      <c r="U1386" s="11"/>
      <c r="V1386" s="11"/>
      <c r="W1386" s="11"/>
      <c r="X1386" s="11"/>
      <c r="Y1386" s="11"/>
      <c r="Z1386" s="11"/>
      <c r="AA1386" s="11"/>
      <c r="AB1386" s="11"/>
      <c r="AC1386" s="11"/>
    </row>
    <row r="1387" spans="1:29" x14ac:dyDescent="0.3">
      <c r="A1387" s="11"/>
      <c r="B1387" s="11"/>
      <c r="C1387" s="11"/>
      <c r="D1387" s="11"/>
      <c r="E1387" s="11"/>
      <c r="F1387" s="11"/>
      <c r="G1387" s="11"/>
      <c r="H1387" s="11"/>
      <c r="I1387" s="11"/>
      <c r="J1387" s="11"/>
      <c r="K1387" s="11"/>
      <c r="L1387" s="11"/>
      <c r="M1387" s="11"/>
      <c r="N1387" s="11"/>
      <c r="O1387" s="11"/>
      <c r="P1387" s="11"/>
      <c r="Q1387" s="11"/>
      <c r="R1387" s="11"/>
      <c r="S1387" s="11"/>
      <c r="T1387" s="11"/>
      <c r="U1387" s="11"/>
      <c r="V1387" s="11"/>
      <c r="W1387" s="11"/>
      <c r="X1387" s="11"/>
      <c r="Y1387" s="11"/>
      <c r="Z1387" s="11"/>
      <c r="AA1387" s="11"/>
      <c r="AB1387" s="11"/>
      <c r="AC1387" s="11"/>
    </row>
    <row r="1388" spans="1:29" x14ac:dyDescent="0.3">
      <c r="A1388" s="11"/>
      <c r="B1388" s="11"/>
      <c r="C1388" s="11"/>
      <c r="D1388" s="11"/>
      <c r="E1388" s="11"/>
      <c r="F1388" s="11"/>
      <c r="G1388" s="11"/>
      <c r="H1388" s="11"/>
      <c r="I1388" s="11"/>
      <c r="J1388" s="11"/>
      <c r="K1388" s="11"/>
      <c r="L1388" s="11"/>
      <c r="M1388" s="11"/>
      <c r="N1388" s="11"/>
      <c r="O1388" s="11"/>
      <c r="P1388" s="11"/>
      <c r="Q1388" s="11"/>
      <c r="R1388" s="11"/>
      <c r="S1388" s="11"/>
      <c r="T1388" s="11"/>
      <c r="U1388" s="11"/>
      <c r="V1388" s="11"/>
      <c r="W1388" s="11"/>
      <c r="X1388" s="11"/>
      <c r="Y1388" s="11"/>
      <c r="Z1388" s="11"/>
      <c r="AA1388" s="11"/>
      <c r="AB1388" s="11"/>
      <c r="AC1388" s="11"/>
    </row>
    <row r="1389" spans="1:29" x14ac:dyDescent="0.3">
      <c r="A1389" s="11"/>
      <c r="B1389" s="11"/>
      <c r="C1389" s="11"/>
      <c r="D1389" s="11"/>
      <c r="E1389" s="11"/>
      <c r="F1389" s="11"/>
      <c r="G1389" s="11"/>
      <c r="H1389" s="11"/>
      <c r="I1389" s="11"/>
      <c r="J1389" s="11"/>
      <c r="K1389" s="11"/>
      <c r="L1389" s="11"/>
      <c r="M1389" s="11"/>
      <c r="N1389" s="11"/>
      <c r="O1389" s="11"/>
      <c r="P1389" s="11"/>
      <c r="Q1389" s="11"/>
      <c r="R1389" s="11"/>
      <c r="S1389" s="11"/>
      <c r="T1389" s="11"/>
      <c r="U1389" s="11"/>
      <c r="V1389" s="11"/>
      <c r="W1389" s="11"/>
      <c r="X1389" s="11"/>
      <c r="Y1389" s="11"/>
      <c r="Z1389" s="11"/>
      <c r="AA1389" s="11"/>
      <c r="AB1389" s="11"/>
      <c r="AC1389" s="11"/>
    </row>
    <row r="1390" spans="1:29" x14ac:dyDescent="0.3">
      <c r="A1390" s="11"/>
      <c r="B1390" s="11"/>
      <c r="C1390" s="11"/>
      <c r="D1390" s="11"/>
      <c r="E1390" s="11"/>
      <c r="F1390" s="11"/>
      <c r="G1390" s="11"/>
      <c r="H1390" s="11"/>
      <c r="I1390" s="11"/>
      <c r="J1390" s="11"/>
      <c r="K1390" s="11"/>
      <c r="L1390" s="11"/>
      <c r="M1390" s="11"/>
      <c r="N1390" s="11"/>
      <c r="O1390" s="11"/>
      <c r="P1390" s="11"/>
      <c r="Q1390" s="11"/>
      <c r="R1390" s="11"/>
      <c r="S1390" s="11"/>
      <c r="T1390" s="11"/>
      <c r="U1390" s="11"/>
      <c r="V1390" s="11"/>
      <c r="W1390" s="11"/>
      <c r="X1390" s="11"/>
      <c r="Y1390" s="11"/>
      <c r="Z1390" s="11"/>
      <c r="AA1390" s="11"/>
      <c r="AB1390" s="11"/>
      <c r="AC1390" s="11"/>
    </row>
    <row r="1391" spans="1:29" x14ac:dyDescent="0.3">
      <c r="A1391" s="11"/>
      <c r="B1391" s="11"/>
      <c r="C1391" s="11"/>
      <c r="D1391" s="11"/>
      <c r="E1391" s="11"/>
      <c r="F1391" s="11"/>
      <c r="G1391" s="11"/>
      <c r="H1391" s="11"/>
      <c r="I1391" s="11"/>
      <c r="J1391" s="11"/>
      <c r="K1391" s="11"/>
      <c r="L1391" s="11"/>
      <c r="M1391" s="11"/>
      <c r="N1391" s="11"/>
      <c r="O1391" s="11"/>
      <c r="P1391" s="11"/>
      <c r="Q1391" s="11"/>
      <c r="R1391" s="11"/>
      <c r="S1391" s="11"/>
      <c r="T1391" s="11"/>
      <c r="U1391" s="11"/>
      <c r="V1391" s="11"/>
      <c r="W1391" s="11"/>
      <c r="X1391" s="11"/>
      <c r="Y1391" s="11"/>
      <c r="Z1391" s="11"/>
      <c r="AA1391" s="11"/>
      <c r="AB1391" s="11"/>
      <c r="AC1391" s="11"/>
    </row>
    <row r="1392" spans="1:29" x14ac:dyDescent="0.3">
      <c r="A1392" s="11"/>
      <c r="B1392" s="11"/>
      <c r="C1392" s="11"/>
      <c r="D1392" s="11"/>
      <c r="E1392" s="11"/>
      <c r="F1392" s="11"/>
      <c r="G1392" s="11"/>
      <c r="H1392" s="11"/>
      <c r="I1392" s="11"/>
      <c r="J1392" s="11"/>
      <c r="K1392" s="11"/>
      <c r="L1392" s="11"/>
      <c r="M1392" s="11"/>
      <c r="N1392" s="11"/>
      <c r="O1392" s="11"/>
      <c r="P1392" s="11"/>
      <c r="Q1392" s="11"/>
      <c r="R1392" s="11"/>
      <c r="S1392" s="11"/>
      <c r="T1392" s="11"/>
      <c r="U1392" s="11"/>
      <c r="V1392" s="11"/>
      <c r="W1392" s="11"/>
      <c r="X1392" s="11"/>
      <c r="Y1392" s="11"/>
      <c r="Z1392" s="11"/>
      <c r="AA1392" s="11"/>
      <c r="AB1392" s="11"/>
      <c r="AC1392" s="11"/>
    </row>
    <row r="1393" spans="1:29" x14ac:dyDescent="0.3">
      <c r="A1393" s="11"/>
      <c r="B1393" s="11"/>
      <c r="C1393" s="11"/>
      <c r="D1393" s="11"/>
      <c r="E1393" s="11"/>
      <c r="F1393" s="11"/>
      <c r="G1393" s="11"/>
      <c r="H1393" s="11"/>
      <c r="I1393" s="11"/>
      <c r="J1393" s="11"/>
      <c r="K1393" s="11"/>
      <c r="L1393" s="11"/>
      <c r="M1393" s="11"/>
      <c r="N1393" s="11"/>
      <c r="O1393" s="11"/>
      <c r="P1393" s="11"/>
      <c r="Q1393" s="11"/>
      <c r="R1393" s="11"/>
      <c r="S1393" s="11"/>
      <c r="T1393" s="11"/>
      <c r="U1393" s="11"/>
      <c r="V1393" s="11"/>
      <c r="W1393" s="11"/>
      <c r="X1393" s="11"/>
      <c r="Y1393" s="11"/>
      <c r="Z1393" s="11"/>
      <c r="AA1393" s="11"/>
      <c r="AB1393" s="11"/>
      <c r="AC1393" s="11"/>
    </row>
    <row r="1394" spans="1:29" x14ac:dyDescent="0.3">
      <c r="A1394" s="11"/>
      <c r="B1394" s="11"/>
      <c r="C1394" s="11"/>
      <c r="D1394" s="11"/>
      <c r="E1394" s="11"/>
      <c r="F1394" s="11"/>
      <c r="G1394" s="11"/>
      <c r="H1394" s="11"/>
      <c r="I1394" s="11"/>
      <c r="J1394" s="11"/>
      <c r="K1394" s="11"/>
      <c r="L1394" s="11"/>
      <c r="M1394" s="11"/>
      <c r="N1394" s="11"/>
      <c r="O1394" s="11"/>
      <c r="P1394" s="11"/>
      <c r="Q1394" s="11"/>
      <c r="R1394" s="11"/>
      <c r="S1394" s="11"/>
      <c r="T1394" s="11"/>
      <c r="U1394" s="11"/>
      <c r="V1394" s="11"/>
      <c r="W1394" s="11"/>
      <c r="X1394" s="11"/>
      <c r="Y1394" s="11"/>
      <c r="Z1394" s="11"/>
      <c r="AA1394" s="11"/>
      <c r="AB1394" s="11"/>
      <c r="AC1394" s="11"/>
    </row>
    <row r="1395" spans="1:29" x14ac:dyDescent="0.3">
      <c r="A1395" s="11"/>
      <c r="B1395" s="11"/>
      <c r="C1395" s="11"/>
      <c r="D1395" s="11"/>
      <c r="E1395" s="11"/>
      <c r="F1395" s="11"/>
      <c r="G1395" s="11"/>
      <c r="H1395" s="11"/>
      <c r="I1395" s="11"/>
      <c r="J1395" s="11"/>
      <c r="K1395" s="11"/>
      <c r="L1395" s="11"/>
      <c r="M1395" s="11"/>
      <c r="N1395" s="11"/>
      <c r="O1395" s="11"/>
      <c r="P1395" s="11"/>
      <c r="Q1395" s="11"/>
      <c r="R1395" s="11"/>
      <c r="S1395" s="11"/>
      <c r="T1395" s="11"/>
      <c r="U1395" s="11"/>
      <c r="V1395" s="11"/>
      <c r="W1395" s="11"/>
      <c r="X1395" s="11"/>
      <c r="Y1395" s="11"/>
      <c r="Z1395" s="11"/>
      <c r="AA1395" s="11"/>
      <c r="AB1395" s="11"/>
      <c r="AC1395" s="11"/>
    </row>
    <row r="1396" spans="1:29" x14ac:dyDescent="0.3">
      <c r="A1396" s="11"/>
      <c r="B1396" s="11"/>
      <c r="C1396" s="11"/>
      <c r="D1396" s="11"/>
      <c r="E1396" s="11"/>
      <c r="F1396" s="11"/>
      <c r="G1396" s="11"/>
      <c r="H1396" s="11"/>
      <c r="I1396" s="11"/>
      <c r="J1396" s="11"/>
      <c r="K1396" s="11"/>
      <c r="L1396" s="11"/>
      <c r="M1396" s="11"/>
      <c r="N1396" s="11"/>
      <c r="O1396" s="11"/>
      <c r="P1396" s="11"/>
      <c r="Q1396" s="11"/>
      <c r="R1396" s="11"/>
      <c r="S1396" s="11"/>
      <c r="T1396" s="11"/>
      <c r="U1396" s="11"/>
      <c r="V1396" s="11"/>
      <c r="W1396" s="11"/>
      <c r="X1396" s="11"/>
      <c r="Y1396" s="11"/>
      <c r="Z1396" s="11"/>
      <c r="AA1396" s="11"/>
      <c r="AB1396" s="11"/>
      <c r="AC1396" s="11"/>
    </row>
    <row r="1397" spans="1:29" x14ac:dyDescent="0.3">
      <c r="A1397" s="11"/>
      <c r="B1397" s="11"/>
      <c r="C1397" s="11"/>
      <c r="D1397" s="11"/>
      <c r="E1397" s="11"/>
      <c r="F1397" s="11"/>
      <c r="G1397" s="11"/>
      <c r="H1397" s="11"/>
      <c r="I1397" s="11"/>
      <c r="J1397" s="11"/>
      <c r="K1397" s="11"/>
      <c r="L1397" s="11"/>
      <c r="M1397" s="11"/>
      <c r="N1397" s="11"/>
      <c r="O1397" s="11"/>
      <c r="P1397" s="11"/>
      <c r="Q1397" s="11"/>
      <c r="R1397" s="11"/>
      <c r="S1397" s="11"/>
      <c r="T1397" s="11"/>
      <c r="U1397" s="11"/>
      <c r="V1397" s="11"/>
      <c r="W1397" s="11"/>
      <c r="X1397" s="11"/>
      <c r="Y1397" s="11"/>
      <c r="Z1397" s="11"/>
      <c r="AA1397" s="11"/>
      <c r="AB1397" s="11"/>
      <c r="AC1397" s="11"/>
    </row>
    <row r="1398" spans="1:29" x14ac:dyDescent="0.3">
      <c r="A1398" s="11"/>
      <c r="B1398" s="11"/>
      <c r="C1398" s="11"/>
      <c r="D1398" s="11"/>
      <c r="E1398" s="11"/>
      <c r="F1398" s="11"/>
      <c r="G1398" s="11"/>
      <c r="H1398" s="11"/>
      <c r="I1398" s="11"/>
      <c r="J1398" s="11"/>
      <c r="K1398" s="11"/>
      <c r="L1398" s="11"/>
      <c r="M1398" s="11"/>
      <c r="N1398" s="11"/>
      <c r="O1398" s="11"/>
      <c r="P1398" s="11"/>
      <c r="Q1398" s="11"/>
      <c r="R1398" s="11"/>
      <c r="S1398" s="11"/>
      <c r="T1398" s="11"/>
      <c r="U1398" s="11"/>
      <c r="V1398" s="11"/>
      <c r="W1398" s="11"/>
      <c r="X1398" s="11"/>
      <c r="Y1398" s="11"/>
      <c r="Z1398" s="11"/>
      <c r="AA1398" s="11"/>
      <c r="AB1398" s="11"/>
      <c r="AC1398" s="11"/>
    </row>
    <row r="1399" spans="1:29" x14ac:dyDescent="0.3">
      <c r="A1399" s="11"/>
      <c r="B1399" s="11"/>
      <c r="C1399" s="11"/>
      <c r="D1399" s="11"/>
      <c r="E1399" s="11"/>
      <c r="F1399" s="11"/>
      <c r="G1399" s="11"/>
      <c r="H1399" s="11"/>
      <c r="I1399" s="11"/>
      <c r="J1399" s="11"/>
      <c r="K1399" s="11"/>
      <c r="L1399" s="11"/>
      <c r="M1399" s="11"/>
      <c r="N1399" s="11"/>
      <c r="O1399" s="11"/>
      <c r="P1399" s="11"/>
      <c r="Q1399" s="11"/>
      <c r="R1399" s="11"/>
      <c r="S1399" s="11"/>
      <c r="T1399" s="11"/>
      <c r="U1399" s="11"/>
      <c r="V1399" s="11"/>
      <c r="W1399" s="11"/>
      <c r="X1399" s="11"/>
      <c r="Y1399" s="11"/>
      <c r="Z1399" s="11"/>
      <c r="AA1399" s="11"/>
      <c r="AB1399" s="11"/>
      <c r="AC1399" s="11"/>
    </row>
    <row r="1400" spans="1:29" x14ac:dyDescent="0.3">
      <c r="A1400" s="11"/>
      <c r="B1400" s="11"/>
      <c r="C1400" s="11"/>
      <c r="D1400" s="11"/>
      <c r="E1400" s="11"/>
      <c r="F1400" s="11"/>
      <c r="G1400" s="11"/>
      <c r="H1400" s="11"/>
      <c r="I1400" s="11"/>
      <c r="J1400" s="11"/>
      <c r="K1400" s="11"/>
      <c r="L1400" s="11"/>
      <c r="M1400" s="11"/>
      <c r="N1400" s="11"/>
      <c r="O1400" s="11"/>
      <c r="P1400" s="11"/>
      <c r="Q1400" s="11"/>
      <c r="R1400" s="11"/>
      <c r="S1400" s="11"/>
      <c r="T1400" s="11"/>
      <c r="U1400" s="11"/>
      <c r="V1400" s="11"/>
      <c r="W1400" s="11"/>
      <c r="X1400" s="11"/>
      <c r="Y1400" s="11"/>
      <c r="Z1400" s="11"/>
      <c r="AA1400" s="11"/>
      <c r="AB1400" s="11"/>
      <c r="AC1400" s="11"/>
    </row>
    <row r="1401" spans="1:29" x14ac:dyDescent="0.3">
      <c r="A1401" s="11"/>
      <c r="B1401" s="11"/>
      <c r="C1401" s="11"/>
      <c r="D1401" s="11"/>
      <c r="E1401" s="11"/>
      <c r="F1401" s="11"/>
      <c r="G1401" s="11"/>
      <c r="H1401" s="11"/>
      <c r="I1401" s="11"/>
      <c r="J1401" s="11"/>
      <c r="K1401" s="11"/>
      <c r="L1401" s="11"/>
      <c r="M1401" s="11"/>
      <c r="N1401" s="11"/>
      <c r="O1401" s="11"/>
      <c r="P1401" s="11"/>
      <c r="Q1401" s="11"/>
      <c r="R1401" s="11"/>
      <c r="S1401" s="11"/>
      <c r="T1401" s="11"/>
      <c r="U1401" s="11"/>
      <c r="V1401" s="11"/>
      <c r="W1401" s="11"/>
      <c r="X1401" s="11"/>
      <c r="Y1401" s="11"/>
      <c r="Z1401" s="11"/>
      <c r="AA1401" s="11"/>
      <c r="AB1401" s="11"/>
      <c r="AC1401" s="11"/>
    </row>
    <row r="1402" spans="1:29" x14ac:dyDescent="0.3">
      <c r="A1402" s="11"/>
      <c r="B1402" s="11"/>
      <c r="C1402" s="11"/>
      <c r="D1402" s="11"/>
      <c r="E1402" s="11"/>
      <c r="F1402" s="11"/>
      <c r="G1402" s="11"/>
      <c r="H1402" s="11"/>
      <c r="I1402" s="11"/>
      <c r="J1402" s="11"/>
      <c r="K1402" s="11"/>
      <c r="L1402" s="11"/>
      <c r="M1402" s="11"/>
      <c r="N1402" s="11"/>
      <c r="O1402" s="11"/>
      <c r="P1402" s="11"/>
      <c r="Q1402" s="11"/>
      <c r="R1402" s="11"/>
      <c r="S1402" s="11"/>
      <c r="T1402" s="11"/>
      <c r="U1402" s="11"/>
      <c r="V1402" s="11"/>
      <c r="W1402" s="11"/>
      <c r="X1402" s="11"/>
      <c r="Y1402" s="11"/>
      <c r="Z1402" s="11"/>
      <c r="AA1402" s="11"/>
      <c r="AB1402" s="11"/>
      <c r="AC1402" s="11"/>
    </row>
    <row r="1403" spans="1:29" x14ac:dyDescent="0.3">
      <c r="A1403" s="11"/>
      <c r="B1403" s="11"/>
      <c r="C1403" s="11"/>
      <c r="D1403" s="11"/>
      <c r="E1403" s="11"/>
      <c r="F1403" s="11"/>
      <c r="G1403" s="11"/>
      <c r="H1403" s="11"/>
      <c r="I1403" s="11"/>
      <c r="J1403" s="11"/>
      <c r="K1403" s="11"/>
      <c r="L1403" s="11"/>
      <c r="M1403" s="11"/>
      <c r="N1403" s="11"/>
      <c r="O1403" s="11"/>
      <c r="P1403" s="11"/>
      <c r="Q1403" s="11"/>
      <c r="R1403" s="11"/>
      <c r="S1403" s="11"/>
      <c r="T1403" s="11"/>
      <c r="U1403" s="11"/>
      <c r="V1403" s="11"/>
      <c r="W1403" s="11"/>
      <c r="X1403" s="11"/>
      <c r="Y1403" s="11"/>
      <c r="Z1403" s="11"/>
      <c r="AA1403" s="11"/>
      <c r="AB1403" s="11"/>
      <c r="AC1403" s="11"/>
    </row>
    <row r="1404" spans="1:29" x14ac:dyDescent="0.3">
      <c r="A1404" s="11"/>
      <c r="B1404" s="11"/>
      <c r="C1404" s="11"/>
      <c r="D1404" s="11"/>
      <c r="E1404" s="11"/>
      <c r="F1404" s="11"/>
      <c r="G1404" s="11"/>
      <c r="H1404" s="11"/>
      <c r="I1404" s="11"/>
      <c r="J1404" s="11"/>
      <c r="K1404" s="11"/>
      <c r="L1404" s="11"/>
      <c r="M1404" s="11"/>
      <c r="N1404" s="11"/>
      <c r="O1404" s="11"/>
      <c r="P1404" s="11"/>
      <c r="Q1404" s="11"/>
      <c r="R1404" s="11"/>
      <c r="S1404" s="11"/>
      <c r="T1404" s="11"/>
      <c r="U1404" s="11"/>
      <c r="V1404" s="11"/>
      <c r="W1404" s="11"/>
      <c r="X1404" s="11"/>
      <c r="Y1404" s="11"/>
      <c r="Z1404" s="11"/>
      <c r="AA1404" s="11"/>
      <c r="AB1404" s="11"/>
      <c r="AC1404" s="11"/>
    </row>
    <row r="1405" spans="1:29" x14ac:dyDescent="0.3">
      <c r="A1405" s="11"/>
      <c r="B1405" s="11"/>
      <c r="C1405" s="11"/>
      <c r="D1405" s="11"/>
      <c r="E1405" s="11"/>
      <c r="F1405" s="11"/>
      <c r="G1405" s="11"/>
      <c r="H1405" s="11"/>
      <c r="I1405" s="11"/>
      <c r="J1405" s="11"/>
      <c r="K1405" s="11"/>
      <c r="L1405" s="11"/>
      <c r="M1405" s="11"/>
      <c r="N1405" s="11"/>
      <c r="O1405" s="11"/>
      <c r="P1405" s="11"/>
      <c r="Q1405" s="11"/>
      <c r="R1405" s="11"/>
      <c r="S1405" s="11"/>
      <c r="T1405" s="11"/>
      <c r="U1405" s="11"/>
      <c r="V1405" s="11"/>
      <c r="W1405" s="11"/>
      <c r="X1405" s="11"/>
      <c r="Y1405" s="11"/>
      <c r="Z1405" s="11"/>
      <c r="AA1405" s="11"/>
      <c r="AB1405" s="11"/>
      <c r="AC1405" s="11"/>
    </row>
    <row r="1406" spans="1:29" x14ac:dyDescent="0.3">
      <c r="A1406" s="11"/>
      <c r="B1406" s="11"/>
      <c r="C1406" s="11"/>
      <c r="D1406" s="11"/>
      <c r="E1406" s="11"/>
      <c r="F1406" s="11"/>
      <c r="G1406" s="11"/>
      <c r="H1406" s="11"/>
      <c r="I1406" s="11"/>
      <c r="J1406" s="11"/>
      <c r="K1406" s="11"/>
      <c r="L1406" s="11"/>
      <c r="M1406" s="11"/>
      <c r="N1406" s="11"/>
      <c r="O1406" s="11"/>
      <c r="P1406" s="11"/>
      <c r="Q1406" s="11"/>
      <c r="R1406" s="11"/>
      <c r="S1406" s="11"/>
      <c r="T1406" s="11"/>
      <c r="U1406" s="11"/>
      <c r="V1406" s="11"/>
      <c r="W1406" s="11"/>
      <c r="X1406" s="11"/>
      <c r="Y1406" s="11"/>
      <c r="Z1406" s="11"/>
      <c r="AA1406" s="11"/>
      <c r="AB1406" s="11"/>
      <c r="AC1406" s="11"/>
    </row>
    <row r="1407" spans="1:29" x14ac:dyDescent="0.3">
      <c r="A1407" s="11"/>
      <c r="B1407" s="11"/>
      <c r="C1407" s="11"/>
      <c r="D1407" s="11"/>
      <c r="E1407" s="11"/>
      <c r="F1407" s="11"/>
      <c r="G1407" s="11"/>
      <c r="H1407" s="11"/>
      <c r="I1407" s="11"/>
      <c r="J1407" s="11"/>
      <c r="K1407" s="11"/>
      <c r="L1407" s="11"/>
      <c r="M1407" s="11"/>
      <c r="N1407" s="11"/>
      <c r="O1407" s="11"/>
      <c r="P1407" s="11"/>
      <c r="Q1407" s="11"/>
      <c r="R1407" s="11"/>
      <c r="S1407" s="11"/>
      <c r="T1407" s="11"/>
      <c r="U1407" s="11"/>
      <c r="V1407" s="11"/>
      <c r="W1407" s="11"/>
      <c r="X1407" s="11"/>
      <c r="Y1407" s="11"/>
      <c r="Z1407" s="11"/>
      <c r="AA1407" s="11"/>
      <c r="AB1407" s="11"/>
      <c r="AC1407" s="11"/>
    </row>
    <row r="1408" spans="1:29" x14ac:dyDescent="0.3">
      <c r="A1408" s="11"/>
      <c r="B1408" s="11"/>
      <c r="C1408" s="11"/>
      <c r="D1408" s="11"/>
      <c r="E1408" s="11"/>
      <c r="F1408" s="11"/>
      <c r="G1408" s="11"/>
      <c r="H1408" s="11"/>
      <c r="I1408" s="11"/>
      <c r="J1408" s="11"/>
      <c r="K1408" s="11"/>
      <c r="L1408" s="11"/>
      <c r="M1408" s="11"/>
      <c r="N1408" s="11"/>
      <c r="O1408" s="11"/>
      <c r="P1408" s="11"/>
      <c r="Q1408" s="11"/>
      <c r="R1408" s="11"/>
      <c r="S1408" s="11"/>
      <c r="T1408" s="11"/>
      <c r="U1408" s="11"/>
      <c r="V1408" s="11"/>
      <c r="W1408" s="11"/>
      <c r="X1408" s="11"/>
      <c r="Y1408" s="11"/>
      <c r="Z1408" s="11"/>
      <c r="AA1408" s="11"/>
      <c r="AB1408" s="11"/>
      <c r="AC1408" s="11"/>
    </row>
    <row r="1409" spans="1:29" x14ac:dyDescent="0.3">
      <c r="A1409" s="11"/>
      <c r="B1409" s="11"/>
      <c r="C1409" s="11"/>
      <c r="D1409" s="11"/>
      <c r="E1409" s="11"/>
      <c r="F1409" s="11"/>
      <c r="G1409" s="11"/>
      <c r="H1409" s="11"/>
      <c r="I1409" s="11"/>
      <c r="J1409" s="11"/>
      <c r="K1409" s="11"/>
      <c r="L1409" s="11"/>
      <c r="M1409" s="11"/>
      <c r="N1409" s="11"/>
      <c r="O1409" s="11"/>
      <c r="P1409" s="11"/>
      <c r="Q1409" s="11"/>
      <c r="R1409" s="11"/>
      <c r="S1409" s="11"/>
      <c r="T1409" s="11"/>
      <c r="U1409" s="11"/>
      <c r="V1409" s="11"/>
      <c r="W1409" s="11"/>
      <c r="X1409" s="11"/>
      <c r="Y1409" s="11"/>
      <c r="Z1409" s="11"/>
      <c r="AA1409" s="11"/>
      <c r="AB1409" s="11"/>
      <c r="AC1409" s="11"/>
    </row>
    <row r="1410" spans="1:29" x14ac:dyDescent="0.3">
      <c r="A1410" s="11"/>
      <c r="B1410" s="11"/>
      <c r="C1410" s="11"/>
      <c r="D1410" s="11"/>
      <c r="E1410" s="11"/>
      <c r="F1410" s="11"/>
      <c r="G1410" s="11"/>
      <c r="H1410" s="11"/>
      <c r="I1410" s="11"/>
      <c r="J1410" s="11"/>
      <c r="K1410" s="11"/>
      <c r="L1410" s="11"/>
      <c r="M1410" s="11"/>
      <c r="N1410" s="11"/>
      <c r="O1410" s="11"/>
      <c r="P1410" s="11"/>
      <c r="Q1410" s="11"/>
      <c r="R1410" s="11"/>
      <c r="S1410" s="11"/>
      <c r="T1410" s="11"/>
      <c r="U1410" s="11"/>
      <c r="V1410" s="11"/>
      <c r="W1410" s="11"/>
      <c r="X1410" s="11"/>
      <c r="Y1410" s="11"/>
      <c r="Z1410" s="11"/>
      <c r="AA1410" s="11"/>
      <c r="AB1410" s="11"/>
      <c r="AC1410" s="11"/>
    </row>
    <row r="1411" spans="1:29" x14ac:dyDescent="0.3">
      <c r="A1411" s="11"/>
      <c r="B1411" s="11"/>
      <c r="C1411" s="11"/>
      <c r="D1411" s="11"/>
      <c r="E1411" s="11"/>
      <c r="F1411" s="11"/>
      <c r="G1411" s="11"/>
      <c r="H1411" s="11"/>
      <c r="I1411" s="11"/>
      <c r="J1411" s="11"/>
      <c r="K1411" s="11"/>
      <c r="L1411" s="11"/>
      <c r="M1411" s="11"/>
      <c r="N1411" s="11"/>
      <c r="O1411" s="11"/>
      <c r="P1411" s="11"/>
      <c r="Q1411" s="11"/>
      <c r="R1411" s="11"/>
      <c r="S1411" s="11"/>
      <c r="T1411" s="11"/>
      <c r="U1411" s="11"/>
      <c r="V1411" s="11"/>
      <c r="W1411" s="11"/>
      <c r="X1411" s="11"/>
      <c r="Y1411" s="11"/>
      <c r="Z1411" s="11"/>
      <c r="AA1411" s="11"/>
      <c r="AB1411" s="11"/>
      <c r="AC1411" s="11"/>
    </row>
    <row r="1412" spans="1:29" x14ac:dyDescent="0.3">
      <c r="A1412" s="11"/>
      <c r="B1412" s="11"/>
      <c r="C1412" s="11"/>
      <c r="D1412" s="11"/>
      <c r="E1412" s="11"/>
      <c r="F1412" s="11"/>
      <c r="G1412" s="11"/>
      <c r="H1412" s="11"/>
      <c r="I1412" s="11"/>
      <c r="J1412" s="11"/>
      <c r="K1412" s="11"/>
      <c r="L1412" s="11"/>
      <c r="M1412" s="11"/>
      <c r="N1412" s="11"/>
      <c r="O1412" s="11"/>
      <c r="P1412" s="11"/>
      <c r="Q1412" s="11"/>
      <c r="R1412" s="11"/>
      <c r="S1412" s="11"/>
      <c r="T1412" s="11"/>
      <c r="U1412" s="11"/>
      <c r="V1412" s="11"/>
      <c r="W1412" s="11"/>
      <c r="X1412" s="11"/>
      <c r="Y1412" s="11"/>
      <c r="Z1412" s="11"/>
      <c r="AA1412" s="11"/>
      <c r="AB1412" s="11"/>
      <c r="AC1412" s="11"/>
    </row>
    <row r="1413" spans="1:29" x14ac:dyDescent="0.3">
      <c r="A1413" s="11"/>
      <c r="B1413" s="11"/>
      <c r="C1413" s="11"/>
      <c r="D1413" s="11"/>
      <c r="E1413" s="11"/>
      <c r="F1413" s="11"/>
      <c r="G1413" s="11"/>
      <c r="H1413" s="11"/>
      <c r="I1413" s="11"/>
      <c r="J1413" s="11"/>
      <c r="K1413" s="11"/>
      <c r="L1413" s="11"/>
      <c r="M1413" s="11"/>
      <c r="N1413" s="11"/>
      <c r="O1413" s="11"/>
      <c r="P1413" s="11"/>
      <c r="Q1413" s="11"/>
      <c r="R1413" s="11"/>
      <c r="S1413" s="11"/>
      <c r="T1413" s="11"/>
      <c r="U1413" s="11"/>
      <c r="V1413" s="11"/>
      <c r="W1413" s="11"/>
      <c r="X1413" s="11"/>
      <c r="Y1413" s="11"/>
      <c r="Z1413" s="11"/>
      <c r="AA1413" s="11"/>
      <c r="AB1413" s="11"/>
      <c r="AC1413" s="11"/>
    </row>
    <row r="1414" spans="1:29" x14ac:dyDescent="0.3">
      <c r="A1414" s="11"/>
      <c r="B1414" s="11"/>
      <c r="C1414" s="11"/>
      <c r="D1414" s="11"/>
      <c r="E1414" s="11"/>
      <c r="F1414" s="11"/>
      <c r="G1414" s="11"/>
      <c r="H1414" s="11"/>
      <c r="I1414" s="11"/>
      <c r="J1414" s="11"/>
      <c r="K1414" s="11"/>
      <c r="L1414" s="11"/>
      <c r="M1414" s="11"/>
      <c r="N1414" s="11"/>
      <c r="O1414" s="11"/>
      <c r="P1414" s="11"/>
      <c r="Q1414" s="11"/>
      <c r="R1414" s="11"/>
      <c r="S1414" s="11"/>
      <c r="T1414" s="11"/>
      <c r="U1414" s="11"/>
      <c r="V1414" s="11"/>
      <c r="W1414" s="11"/>
      <c r="X1414" s="11"/>
      <c r="Y1414" s="11"/>
      <c r="Z1414" s="11"/>
      <c r="AA1414" s="11"/>
      <c r="AB1414" s="11"/>
      <c r="AC1414" s="11"/>
    </row>
    <row r="1415" spans="1:29" x14ac:dyDescent="0.3">
      <c r="A1415" s="11"/>
      <c r="B1415" s="11"/>
      <c r="C1415" s="11"/>
      <c r="D1415" s="11"/>
      <c r="E1415" s="11"/>
      <c r="F1415" s="11"/>
      <c r="G1415" s="11"/>
      <c r="H1415" s="11"/>
      <c r="I1415" s="11"/>
      <c r="J1415" s="11"/>
      <c r="K1415" s="11"/>
      <c r="L1415" s="11"/>
      <c r="M1415" s="11"/>
      <c r="N1415" s="11"/>
      <c r="O1415" s="11"/>
      <c r="P1415" s="11"/>
      <c r="Q1415" s="11"/>
      <c r="R1415" s="11"/>
      <c r="S1415" s="11"/>
      <c r="T1415" s="11"/>
      <c r="U1415" s="11"/>
      <c r="V1415" s="11"/>
      <c r="W1415" s="11"/>
      <c r="X1415" s="11"/>
      <c r="Y1415" s="11"/>
      <c r="Z1415" s="11"/>
      <c r="AA1415" s="11"/>
      <c r="AB1415" s="11"/>
      <c r="AC1415" s="11"/>
    </row>
    <row r="1416" spans="1:29" x14ac:dyDescent="0.3">
      <c r="A1416" s="11"/>
      <c r="B1416" s="11"/>
      <c r="C1416" s="11"/>
      <c r="D1416" s="11"/>
      <c r="E1416" s="11"/>
      <c r="F1416" s="11"/>
      <c r="G1416" s="11"/>
      <c r="H1416" s="11"/>
      <c r="I1416" s="11"/>
      <c r="J1416" s="11"/>
      <c r="K1416" s="11"/>
      <c r="L1416" s="11"/>
      <c r="M1416" s="11"/>
      <c r="N1416" s="11"/>
      <c r="O1416" s="11"/>
      <c r="P1416" s="11"/>
      <c r="Q1416" s="11"/>
      <c r="R1416" s="11"/>
      <c r="S1416" s="11"/>
      <c r="T1416" s="11"/>
      <c r="U1416" s="11"/>
      <c r="V1416" s="11"/>
      <c r="W1416" s="11"/>
      <c r="X1416" s="11"/>
      <c r="Y1416" s="11"/>
      <c r="Z1416" s="11"/>
      <c r="AA1416" s="11"/>
      <c r="AB1416" s="11"/>
      <c r="AC1416" s="11"/>
    </row>
    <row r="1417" spans="1:29" x14ac:dyDescent="0.3">
      <c r="A1417" s="11"/>
      <c r="B1417" s="11"/>
      <c r="C1417" s="11"/>
      <c r="D1417" s="11"/>
      <c r="E1417" s="11"/>
      <c r="F1417" s="11"/>
      <c r="G1417" s="11"/>
      <c r="H1417" s="11"/>
      <c r="I1417" s="11"/>
      <c r="J1417" s="11"/>
      <c r="K1417" s="11"/>
      <c r="L1417" s="11"/>
      <c r="M1417" s="11"/>
      <c r="N1417" s="11"/>
      <c r="O1417" s="11"/>
      <c r="P1417" s="11"/>
      <c r="Q1417" s="11"/>
      <c r="R1417" s="11"/>
      <c r="S1417" s="11"/>
      <c r="T1417" s="11"/>
      <c r="U1417" s="11"/>
      <c r="V1417" s="11"/>
      <c r="W1417" s="11"/>
      <c r="X1417" s="11"/>
      <c r="Y1417" s="11"/>
      <c r="Z1417" s="11"/>
      <c r="AA1417" s="11"/>
      <c r="AB1417" s="11"/>
      <c r="AC1417" s="11"/>
    </row>
    <row r="1418" spans="1:29" x14ac:dyDescent="0.3">
      <c r="A1418" s="11"/>
      <c r="B1418" s="11"/>
      <c r="C1418" s="11"/>
      <c r="D1418" s="11"/>
      <c r="E1418" s="11"/>
      <c r="F1418" s="11"/>
      <c r="G1418" s="11"/>
      <c r="H1418" s="11"/>
      <c r="I1418" s="11"/>
      <c r="J1418" s="11"/>
      <c r="K1418" s="11"/>
      <c r="L1418" s="11"/>
      <c r="M1418" s="11"/>
      <c r="N1418" s="11"/>
      <c r="O1418" s="11"/>
      <c r="P1418" s="11"/>
      <c r="Q1418" s="11"/>
      <c r="R1418" s="11"/>
      <c r="S1418" s="11"/>
      <c r="T1418" s="11"/>
      <c r="U1418" s="11"/>
      <c r="V1418" s="11"/>
      <c r="W1418" s="11"/>
      <c r="X1418" s="11"/>
      <c r="Y1418" s="11"/>
      <c r="Z1418" s="11"/>
      <c r="AA1418" s="11"/>
      <c r="AB1418" s="11"/>
      <c r="AC1418" s="11"/>
    </row>
    <row r="1419" spans="1:29" x14ac:dyDescent="0.3">
      <c r="A1419" s="11"/>
      <c r="B1419" s="11"/>
      <c r="C1419" s="11"/>
      <c r="D1419" s="11"/>
      <c r="E1419" s="11"/>
      <c r="F1419" s="11"/>
      <c r="G1419" s="11"/>
      <c r="H1419" s="11"/>
      <c r="I1419" s="11"/>
      <c r="J1419" s="11"/>
      <c r="K1419" s="11"/>
      <c r="L1419" s="11"/>
      <c r="M1419" s="11"/>
      <c r="N1419" s="11"/>
      <c r="O1419" s="11"/>
      <c r="P1419" s="11"/>
      <c r="Q1419" s="11"/>
      <c r="R1419" s="11"/>
      <c r="S1419" s="11"/>
      <c r="T1419" s="11"/>
      <c r="U1419" s="11"/>
      <c r="V1419" s="11"/>
      <c r="W1419" s="11"/>
      <c r="X1419" s="11"/>
      <c r="Y1419" s="11"/>
      <c r="Z1419" s="11"/>
      <c r="AA1419" s="11"/>
      <c r="AB1419" s="11"/>
      <c r="AC1419" s="11"/>
    </row>
    <row r="1420" spans="1:29" x14ac:dyDescent="0.3">
      <c r="A1420" s="11"/>
      <c r="B1420" s="11"/>
      <c r="C1420" s="11"/>
      <c r="D1420" s="11"/>
      <c r="E1420" s="11"/>
      <c r="F1420" s="11"/>
      <c r="G1420" s="11"/>
      <c r="H1420" s="11"/>
      <c r="I1420" s="11"/>
      <c r="J1420" s="11"/>
      <c r="K1420" s="11"/>
      <c r="L1420" s="11"/>
      <c r="M1420" s="11"/>
      <c r="N1420" s="11"/>
      <c r="O1420" s="11"/>
      <c r="P1420" s="11"/>
      <c r="Q1420" s="11"/>
      <c r="R1420" s="11"/>
      <c r="S1420" s="11"/>
      <c r="T1420" s="11"/>
      <c r="U1420" s="11"/>
      <c r="V1420" s="11"/>
      <c r="W1420" s="11"/>
      <c r="X1420" s="11"/>
      <c r="Y1420" s="11"/>
      <c r="Z1420" s="11"/>
      <c r="AA1420" s="11"/>
      <c r="AB1420" s="11"/>
      <c r="AC1420" s="11"/>
    </row>
    <row r="1421" spans="1:29" x14ac:dyDescent="0.3">
      <c r="A1421" s="11"/>
      <c r="B1421" s="11"/>
      <c r="C1421" s="11"/>
      <c r="D1421" s="11"/>
      <c r="E1421" s="11"/>
      <c r="F1421" s="11"/>
      <c r="G1421" s="11"/>
      <c r="H1421" s="11"/>
      <c r="I1421" s="11"/>
      <c r="J1421" s="11"/>
      <c r="K1421" s="11"/>
      <c r="L1421" s="11"/>
      <c r="M1421" s="11"/>
      <c r="N1421" s="11"/>
      <c r="O1421" s="11"/>
      <c r="P1421" s="11"/>
      <c r="Q1421" s="11"/>
      <c r="R1421" s="11"/>
      <c r="S1421" s="11"/>
      <c r="T1421" s="11"/>
      <c r="U1421" s="11"/>
      <c r="V1421" s="11"/>
      <c r="W1421" s="11"/>
      <c r="X1421" s="11"/>
      <c r="Y1421" s="11"/>
      <c r="Z1421" s="11"/>
      <c r="AA1421" s="11"/>
      <c r="AB1421" s="11"/>
      <c r="AC1421" s="11"/>
    </row>
    <row r="1422" spans="1:29" x14ac:dyDescent="0.3">
      <c r="A1422" s="11"/>
      <c r="B1422" s="11"/>
      <c r="C1422" s="11"/>
      <c r="D1422" s="11"/>
      <c r="E1422" s="11"/>
      <c r="F1422" s="11"/>
      <c r="G1422" s="11"/>
      <c r="H1422" s="11"/>
      <c r="I1422" s="11"/>
      <c r="J1422" s="11"/>
      <c r="K1422" s="11"/>
      <c r="L1422" s="11"/>
      <c r="M1422" s="11"/>
      <c r="N1422" s="11"/>
      <c r="O1422" s="11"/>
      <c r="P1422" s="11"/>
      <c r="Q1422" s="11"/>
      <c r="R1422" s="11"/>
      <c r="S1422" s="11"/>
      <c r="T1422" s="11"/>
      <c r="U1422" s="11"/>
      <c r="V1422" s="11"/>
      <c r="W1422" s="11"/>
      <c r="X1422" s="11"/>
      <c r="Y1422" s="11"/>
      <c r="Z1422" s="11"/>
      <c r="AA1422" s="11"/>
      <c r="AB1422" s="11"/>
      <c r="AC1422" s="11"/>
    </row>
    <row r="1423" spans="1:29" x14ac:dyDescent="0.3">
      <c r="A1423" s="11"/>
      <c r="B1423" s="11"/>
      <c r="C1423" s="11"/>
      <c r="D1423" s="11"/>
      <c r="E1423" s="11"/>
      <c r="F1423" s="11"/>
      <c r="G1423" s="11"/>
      <c r="H1423" s="11"/>
      <c r="I1423" s="11"/>
      <c r="J1423" s="11"/>
      <c r="K1423" s="11"/>
      <c r="L1423" s="11"/>
      <c r="M1423" s="11"/>
      <c r="N1423" s="11"/>
      <c r="O1423" s="11"/>
      <c r="P1423" s="11"/>
      <c r="Q1423" s="11"/>
      <c r="R1423" s="11"/>
      <c r="S1423" s="11"/>
      <c r="T1423" s="11"/>
      <c r="U1423" s="11"/>
      <c r="V1423" s="11"/>
      <c r="W1423" s="11"/>
      <c r="X1423" s="11"/>
      <c r="Y1423" s="11"/>
      <c r="Z1423" s="11"/>
      <c r="AA1423" s="11"/>
      <c r="AB1423" s="11"/>
      <c r="AC1423" s="11"/>
    </row>
    <row r="1424" spans="1:29" x14ac:dyDescent="0.3">
      <c r="A1424" s="11"/>
      <c r="B1424" s="11"/>
      <c r="C1424" s="11"/>
      <c r="D1424" s="11"/>
      <c r="E1424" s="11"/>
      <c r="F1424" s="11"/>
      <c r="G1424" s="11"/>
      <c r="H1424" s="11"/>
      <c r="I1424" s="11"/>
      <c r="J1424" s="11"/>
      <c r="K1424" s="11"/>
      <c r="L1424" s="11"/>
      <c r="M1424" s="11"/>
      <c r="N1424" s="11"/>
      <c r="O1424" s="11"/>
      <c r="P1424" s="11"/>
      <c r="Q1424" s="11"/>
      <c r="R1424" s="11"/>
      <c r="S1424" s="11"/>
      <c r="T1424" s="11"/>
      <c r="U1424" s="11"/>
      <c r="V1424" s="11"/>
      <c r="W1424" s="11"/>
      <c r="X1424" s="11"/>
      <c r="Y1424" s="11"/>
      <c r="Z1424" s="11"/>
      <c r="AA1424" s="11"/>
      <c r="AB1424" s="11"/>
      <c r="AC1424" s="11"/>
    </row>
    <row r="1425" spans="1:29" x14ac:dyDescent="0.3">
      <c r="A1425" s="11"/>
      <c r="B1425" s="11"/>
      <c r="C1425" s="11"/>
      <c r="D1425" s="11"/>
      <c r="E1425" s="11"/>
      <c r="F1425" s="11"/>
      <c r="G1425" s="11"/>
      <c r="H1425" s="11"/>
      <c r="I1425" s="11"/>
      <c r="J1425" s="11"/>
      <c r="K1425" s="11"/>
      <c r="L1425" s="11"/>
      <c r="M1425" s="11"/>
      <c r="N1425" s="11"/>
      <c r="O1425" s="11"/>
      <c r="P1425" s="11"/>
      <c r="Q1425" s="11"/>
      <c r="R1425" s="11"/>
      <c r="S1425" s="11"/>
      <c r="T1425" s="11"/>
      <c r="U1425" s="11"/>
      <c r="V1425" s="11"/>
      <c r="W1425" s="11"/>
      <c r="X1425" s="11"/>
      <c r="Y1425" s="11"/>
      <c r="Z1425" s="11"/>
      <c r="AA1425" s="11"/>
      <c r="AB1425" s="11"/>
      <c r="AC1425" s="11"/>
    </row>
    <row r="1426" spans="1:29" x14ac:dyDescent="0.3">
      <c r="A1426" s="11"/>
      <c r="B1426" s="11"/>
      <c r="C1426" s="11"/>
      <c r="D1426" s="11"/>
      <c r="E1426" s="11"/>
      <c r="F1426" s="11"/>
      <c r="G1426" s="11"/>
      <c r="H1426" s="11"/>
      <c r="I1426" s="11"/>
      <c r="J1426" s="11"/>
      <c r="K1426" s="11"/>
      <c r="L1426" s="11"/>
      <c r="M1426" s="11"/>
      <c r="N1426" s="11"/>
      <c r="O1426" s="11"/>
      <c r="P1426" s="11"/>
      <c r="Q1426" s="11"/>
      <c r="R1426" s="11"/>
      <c r="S1426" s="11"/>
      <c r="T1426" s="11"/>
      <c r="U1426" s="11"/>
      <c r="V1426" s="11"/>
      <c r="W1426" s="11"/>
      <c r="X1426" s="11"/>
      <c r="Y1426" s="11"/>
      <c r="Z1426" s="11"/>
      <c r="AA1426" s="11"/>
      <c r="AB1426" s="11"/>
      <c r="AC1426" s="11"/>
    </row>
    <row r="1427" spans="1:29" x14ac:dyDescent="0.3">
      <c r="A1427" s="11"/>
      <c r="B1427" s="11"/>
      <c r="C1427" s="11"/>
      <c r="D1427" s="11"/>
      <c r="E1427" s="11"/>
      <c r="F1427" s="11"/>
      <c r="G1427" s="11"/>
      <c r="H1427" s="11"/>
      <c r="I1427" s="11"/>
      <c r="J1427" s="11"/>
      <c r="K1427" s="11"/>
      <c r="L1427" s="11"/>
      <c r="M1427" s="11"/>
      <c r="N1427" s="11"/>
      <c r="O1427" s="11"/>
      <c r="P1427" s="11"/>
      <c r="Q1427" s="11"/>
      <c r="R1427" s="11"/>
      <c r="S1427" s="11"/>
      <c r="T1427" s="11"/>
      <c r="U1427" s="11"/>
      <c r="V1427" s="11"/>
      <c r="W1427" s="11"/>
      <c r="X1427" s="11"/>
      <c r="Y1427" s="11"/>
      <c r="Z1427" s="11"/>
      <c r="AA1427" s="11"/>
      <c r="AB1427" s="11"/>
      <c r="AC1427" s="11"/>
    </row>
    <row r="1428" spans="1:29" x14ac:dyDescent="0.3">
      <c r="A1428" s="11"/>
      <c r="B1428" s="11"/>
      <c r="C1428" s="11"/>
      <c r="D1428" s="11"/>
      <c r="E1428" s="11"/>
      <c r="F1428" s="11"/>
      <c r="G1428" s="11"/>
      <c r="H1428" s="11"/>
      <c r="I1428" s="11"/>
      <c r="J1428" s="11"/>
      <c r="K1428" s="11"/>
      <c r="L1428" s="11"/>
      <c r="M1428" s="11"/>
      <c r="N1428" s="11"/>
      <c r="O1428" s="11"/>
      <c r="P1428" s="11"/>
      <c r="Q1428" s="11"/>
      <c r="R1428" s="11"/>
      <c r="S1428" s="11"/>
      <c r="T1428" s="11"/>
      <c r="U1428" s="11"/>
      <c r="V1428" s="11"/>
      <c r="W1428" s="11"/>
      <c r="X1428" s="11"/>
      <c r="Y1428" s="11"/>
      <c r="Z1428" s="11"/>
      <c r="AA1428" s="11"/>
      <c r="AB1428" s="11"/>
      <c r="AC1428" s="11"/>
    </row>
    <row r="1429" spans="1:29" x14ac:dyDescent="0.3">
      <c r="A1429" s="11"/>
      <c r="B1429" s="11"/>
      <c r="C1429" s="11"/>
      <c r="D1429" s="11"/>
      <c r="E1429" s="11"/>
      <c r="F1429" s="11"/>
      <c r="G1429" s="11"/>
      <c r="H1429" s="11"/>
      <c r="I1429" s="11"/>
      <c r="J1429" s="11"/>
      <c r="K1429" s="11"/>
      <c r="L1429" s="11"/>
      <c r="M1429" s="11"/>
      <c r="N1429" s="11"/>
      <c r="O1429" s="11"/>
      <c r="P1429" s="11"/>
      <c r="Q1429" s="11"/>
      <c r="R1429" s="11"/>
      <c r="S1429" s="11"/>
      <c r="T1429" s="11"/>
      <c r="U1429" s="11"/>
      <c r="V1429" s="11"/>
      <c r="W1429" s="11"/>
      <c r="X1429" s="11"/>
      <c r="Y1429" s="11"/>
      <c r="Z1429" s="11"/>
      <c r="AA1429" s="11"/>
      <c r="AB1429" s="11"/>
      <c r="AC1429" s="11"/>
    </row>
    <row r="1430" spans="1:29" x14ac:dyDescent="0.3">
      <c r="A1430" s="11"/>
      <c r="B1430" s="11"/>
      <c r="C1430" s="11"/>
      <c r="D1430" s="11"/>
      <c r="E1430" s="11"/>
      <c r="F1430" s="11"/>
      <c r="G1430" s="11"/>
      <c r="H1430" s="11"/>
      <c r="I1430" s="11"/>
      <c r="J1430" s="11"/>
      <c r="K1430" s="11"/>
      <c r="L1430" s="11"/>
      <c r="M1430" s="11"/>
      <c r="N1430" s="11"/>
      <c r="O1430" s="11"/>
      <c r="P1430" s="11"/>
      <c r="Q1430" s="11"/>
      <c r="R1430" s="11"/>
      <c r="S1430" s="11"/>
      <c r="T1430" s="11"/>
      <c r="U1430" s="11"/>
      <c r="V1430" s="11"/>
      <c r="W1430" s="11"/>
      <c r="X1430" s="11"/>
      <c r="Y1430" s="11"/>
      <c r="Z1430" s="11"/>
      <c r="AA1430" s="11"/>
      <c r="AB1430" s="11"/>
      <c r="AC1430" s="11"/>
    </row>
    <row r="1431" spans="1:29" x14ac:dyDescent="0.3">
      <c r="A1431" s="11"/>
      <c r="B1431" s="11"/>
      <c r="C1431" s="11"/>
      <c r="D1431" s="11"/>
      <c r="E1431" s="11"/>
      <c r="F1431" s="11"/>
      <c r="G1431" s="11"/>
      <c r="H1431" s="11"/>
      <c r="I1431" s="11"/>
      <c r="J1431" s="11"/>
      <c r="K1431" s="11"/>
      <c r="L1431" s="11"/>
      <c r="M1431" s="11"/>
      <c r="N1431" s="11"/>
      <c r="O1431" s="11"/>
      <c r="P1431" s="11"/>
      <c r="Q1431" s="11"/>
      <c r="R1431" s="11"/>
      <c r="S1431" s="11"/>
      <c r="T1431" s="11"/>
      <c r="U1431" s="11"/>
      <c r="V1431" s="11"/>
      <c r="W1431" s="11"/>
      <c r="X1431" s="11"/>
      <c r="Y1431" s="11"/>
      <c r="Z1431" s="11"/>
      <c r="AA1431" s="11"/>
      <c r="AB1431" s="11"/>
      <c r="AC1431" s="11"/>
    </row>
    <row r="1432" spans="1:29" x14ac:dyDescent="0.3">
      <c r="A1432" s="11"/>
      <c r="B1432" s="11"/>
      <c r="C1432" s="11"/>
      <c r="D1432" s="11"/>
      <c r="E1432" s="11"/>
      <c r="F1432" s="11"/>
      <c r="G1432" s="11"/>
      <c r="H1432" s="11"/>
      <c r="I1432" s="11"/>
      <c r="J1432" s="11"/>
      <c r="K1432" s="11"/>
      <c r="L1432" s="11"/>
      <c r="M1432" s="11"/>
      <c r="N1432" s="11"/>
      <c r="O1432" s="11"/>
      <c r="P1432" s="11"/>
      <c r="Q1432" s="11"/>
      <c r="R1432" s="11"/>
      <c r="S1432" s="11"/>
      <c r="T1432" s="11"/>
      <c r="U1432" s="11"/>
      <c r="V1432" s="11"/>
      <c r="W1432" s="11"/>
      <c r="X1432" s="11"/>
      <c r="Y1432" s="11"/>
      <c r="Z1432" s="11"/>
      <c r="AA1432" s="11"/>
      <c r="AB1432" s="11"/>
      <c r="AC1432" s="11"/>
    </row>
    <row r="1433" spans="1:29" x14ac:dyDescent="0.3">
      <c r="A1433" s="11"/>
      <c r="B1433" s="11"/>
      <c r="C1433" s="11"/>
      <c r="D1433" s="11"/>
      <c r="E1433" s="11"/>
      <c r="F1433" s="11"/>
      <c r="G1433" s="11"/>
      <c r="H1433" s="11"/>
      <c r="I1433" s="11"/>
      <c r="J1433" s="11"/>
      <c r="K1433" s="11"/>
      <c r="L1433" s="11"/>
      <c r="M1433" s="11"/>
      <c r="N1433" s="11"/>
      <c r="O1433" s="11"/>
      <c r="P1433" s="11"/>
      <c r="Q1433" s="11"/>
      <c r="R1433" s="11"/>
      <c r="S1433" s="11"/>
      <c r="T1433" s="11"/>
      <c r="U1433" s="11"/>
      <c r="V1433" s="11"/>
      <c r="W1433" s="11"/>
      <c r="X1433" s="11"/>
      <c r="Y1433" s="11"/>
      <c r="Z1433" s="11"/>
      <c r="AA1433" s="11"/>
      <c r="AB1433" s="11"/>
      <c r="AC1433" s="11"/>
    </row>
    <row r="1434" spans="1:29" x14ac:dyDescent="0.3">
      <c r="A1434" s="11"/>
      <c r="B1434" s="11"/>
      <c r="C1434" s="11"/>
      <c r="D1434" s="11"/>
      <c r="E1434" s="11"/>
      <c r="F1434" s="11"/>
      <c r="G1434" s="11"/>
      <c r="H1434" s="11"/>
      <c r="I1434" s="11"/>
      <c r="J1434" s="11"/>
      <c r="K1434" s="11"/>
      <c r="L1434" s="11"/>
      <c r="M1434" s="11"/>
      <c r="N1434" s="11"/>
      <c r="O1434" s="11"/>
      <c r="P1434" s="11"/>
      <c r="Q1434" s="11"/>
      <c r="R1434" s="11"/>
      <c r="S1434" s="11"/>
      <c r="T1434" s="11"/>
      <c r="U1434" s="11"/>
      <c r="V1434" s="11"/>
      <c r="W1434" s="11"/>
      <c r="X1434" s="11"/>
      <c r="Y1434" s="11"/>
      <c r="Z1434" s="11"/>
      <c r="AA1434" s="11"/>
      <c r="AB1434" s="11"/>
      <c r="AC1434" s="11"/>
    </row>
    <row r="1435" spans="1:29" x14ac:dyDescent="0.3">
      <c r="A1435" s="11"/>
      <c r="B1435" s="11"/>
      <c r="C1435" s="11"/>
      <c r="D1435" s="11"/>
      <c r="E1435" s="11"/>
      <c r="F1435" s="11"/>
      <c r="G1435" s="11"/>
      <c r="H1435" s="11"/>
      <c r="I1435" s="11"/>
      <c r="J1435" s="11"/>
      <c r="K1435" s="11"/>
      <c r="L1435" s="11"/>
      <c r="M1435" s="11"/>
      <c r="N1435" s="11"/>
      <c r="O1435" s="11"/>
      <c r="P1435" s="11"/>
      <c r="Q1435" s="11"/>
      <c r="R1435" s="11"/>
      <c r="S1435" s="11"/>
      <c r="T1435" s="11"/>
      <c r="U1435" s="11"/>
      <c r="V1435" s="11"/>
      <c r="W1435" s="11"/>
      <c r="X1435" s="11"/>
      <c r="Y1435" s="11"/>
      <c r="Z1435" s="11"/>
      <c r="AA1435" s="11"/>
      <c r="AB1435" s="11"/>
      <c r="AC1435" s="11"/>
    </row>
    <row r="1436" spans="1:29" x14ac:dyDescent="0.3">
      <c r="A1436" s="11"/>
      <c r="B1436" s="11"/>
      <c r="C1436" s="11"/>
      <c r="D1436" s="11"/>
      <c r="E1436" s="11"/>
      <c r="F1436" s="11"/>
      <c r="G1436" s="11"/>
      <c r="H1436" s="11"/>
      <c r="I1436" s="11"/>
      <c r="J1436" s="11"/>
      <c r="K1436" s="11"/>
      <c r="L1436" s="11"/>
      <c r="M1436" s="11"/>
      <c r="N1436" s="11"/>
      <c r="O1436" s="11"/>
      <c r="P1436" s="11"/>
      <c r="Q1436" s="11"/>
      <c r="R1436" s="11"/>
      <c r="S1436" s="11"/>
      <c r="T1436" s="11"/>
      <c r="U1436" s="11"/>
      <c r="V1436" s="11"/>
      <c r="W1436" s="11"/>
      <c r="X1436" s="11"/>
      <c r="Y1436" s="11"/>
      <c r="Z1436" s="11"/>
      <c r="AA1436" s="11"/>
      <c r="AB1436" s="11"/>
      <c r="AC1436" s="11"/>
    </row>
    <row r="1437" spans="1:29" x14ac:dyDescent="0.3">
      <c r="A1437" s="11"/>
      <c r="B1437" s="11"/>
      <c r="C1437" s="11"/>
      <c r="D1437" s="11"/>
      <c r="E1437" s="11"/>
      <c r="F1437" s="11"/>
      <c r="G1437" s="11"/>
      <c r="H1437" s="11"/>
      <c r="I1437" s="11"/>
      <c r="J1437" s="11"/>
      <c r="K1437" s="11"/>
      <c r="L1437" s="11"/>
      <c r="M1437" s="11"/>
      <c r="N1437" s="11"/>
      <c r="O1437" s="11"/>
      <c r="P1437" s="11"/>
      <c r="Q1437" s="11"/>
      <c r="R1437" s="11"/>
      <c r="S1437" s="11"/>
      <c r="T1437" s="11"/>
      <c r="U1437" s="11"/>
      <c r="V1437" s="11"/>
      <c r="W1437" s="11"/>
      <c r="X1437" s="11"/>
      <c r="Y1437" s="11"/>
      <c r="Z1437" s="11"/>
      <c r="AA1437" s="11"/>
      <c r="AB1437" s="11"/>
      <c r="AC1437" s="11"/>
    </row>
    <row r="1438" spans="1:29" x14ac:dyDescent="0.3">
      <c r="A1438" s="11"/>
      <c r="B1438" s="11"/>
      <c r="C1438" s="11"/>
      <c r="D1438" s="11"/>
      <c r="E1438" s="11"/>
      <c r="F1438" s="11"/>
      <c r="G1438" s="11"/>
      <c r="H1438" s="11"/>
      <c r="I1438" s="11"/>
      <c r="J1438" s="11"/>
      <c r="K1438" s="11"/>
      <c r="L1438" s="11"/>
      <c r="M1438" s="11"/>
      <c r="N1438" s="11"/>
      <c r="O1438" s="11"/>
      <c r="P1438" s="11"/>
      <c r="Q1438" s="11"/>
      <c r="R1438" s="11"/>
      <c r="S1438" s="11"/>
      <c r="T1438" s="11"/>
      <c r="U1438" s="11"/>
      <c r="V1438" s="11"/>
      <c r="W1438" s="11"/>
      <c r="X1438" s="11"/>
      <c r="Y1438" s="11"/>
      <c r="Z1438" s="11"/>
      <c r="AA1438" s="11"/>
      <c r="AB1438" s="11"/>
      <c r="AC1438" s="11"/>
    </row>
    <row r="1439" spans="1:29" x14ac:dyDescent="0.3">
      <c r="A1439" s="11"/>
      <c r="B1439" s="11"/>
      <c r="C1439" s="11"/>
      <c r="D1439" s="11"/>
      <c r="E1439" s="11"/>
      <c r="F1439" s="11"/>
      <c r="G1439" s="11"/>
      <c r="H1439" s="11"/>
      <c r="I1439" s="11"/>
      <c r="J1439" s="11"/>
      <c r="K1439" s="11"/>
      <c r="L1439" s="11"/>
      <c r="M1439" s="11"/>
      <c r="N1439" s="11"/>
      <c r="O1439" s="11"/>
      <c r="P1439" s="11"/>
      <c r="Q1439" s="11"/>
      <c r="R1439" s="11"/>
      <c r="S1439" s="11"/>
      <c r="T1439" s="11"/>
      <c r="U1439" s="11"/>
      <c r="V1439" s="11"/>
      <c r="W1439" s="11"/>
      <c r="X1439" s="11"/>
      <c r="Y1439" s="11"/>
      <c r="Z1439" s="11"/>
      <c r="AA1439" s="11"/>
      <c r="AB1439" s="11"/>
      <c r="AC1439" s="11"/>
    </row>
    <row r="1440" spans="1:29" x14ac:dyDescent="0.3">
      <c r="A1440" s="11"/>
      <c r="B1440" s="11"/>
      <c r="C1440" s="11"/>
      <c r="D1440" s="11"/>
      <c r="E1440" s="11"/>
      <c r="F1440" s="11"/>
      <c r="G1440" s="11"/>
      <c r="H1440" s="11"/>
      <c r="I1440" s="11"/>
      <c r="J1440" s="11"/>
      <c r="K1440" s="11"/>
      <c r="L1440" s="11"/>
      <c r="M1440" s="11"/>
      <c r="N1440" s="11"/>
      <c r="O1440" s="11"/>
      <c r="P1440" s="11"/>
      <c r="Q1440" s="11"/>
      <c r="R1440" s="11"/>
      <c r="S1440" s="11"/>
      <c r="T1440" s="11"/>
      <c r="U1440" s="11"/>
      <c r="V1440" s="11"/>
      <c r="W1440" s="11"/>
      <c r="X1440" s="11"/>
      <c r="Y1440" s="11"/>
      <c r="Z1440" s="11"/>
      <c r="AA1440" s="11"/>
      <c r="AB1440" s="11"/>
      <c r="AC1440" s="11"/>
    </row>
    <row r="1441" spans="1:29" x14ac:dyDescent="0.3">
      <c r="A1441" s="11"/>
      <c r="B1441" s="11"/>
      <c r="C1441" s="11"/>
      <c r="D1441" s="11"/>
      <c r="E1441" s="11"/>
      <c r="F1441" s="11"/>
      <c r="G1441" s="11"/>
      <c r="H1441" s="11"/>
      <c r="I1441" s="11"/>
      <c r="J1441" s="11"/>
      <c r="K1441" s="11"/>
      <c r="L1441" s="11"/>
      <c r="M1441" s="11"/>
      <c r="N1441" s="11"/>
      <c r="O1441" s="11"/>
      <c r="P1441" s="11"/>
      <c r="Q1441" s="11"/>
      <c r="R1441" s="11"/>
      <c r="S1441" s="11"/>
      <c r="T1441" s="11"/>
      <c r="U1441" s="11"/>
      <c r="V1441" s="11"/>
      <c r="W1441" s="11"/>
      <c r="X1441" s="11"/>
      <c r="Y1441" s="11"/>
      <c r="Z1441" s="11"/>
      <c r="AA1441" s="11"/>
      <c r="AB1441" s="11"/>
      <c r="AC1441" s="11"/>
    </row>
    <row r="1442" spans="1:29" x14ac:dyDescent="0.3">
      <c r="A1442" s="11"/>
      <c r="B1442" s="11"/>
      <c r="C1442" s="11"/>
      <c r="D1442" s="11"/>
      <c r="E1442" s="11"/>
      <c r="F1442" s="11"/>
      <c r="G1442" s="11"/>
      <c r="H1442" s="11"/>
      <c r="I1442" s="11"/>
      <c r="J1442" s="11"/>
      <c r="K1442" s="11"/>
      <c r="L1442" s="11"/>
      <c r="M1442" s="11"/>
      <c r="N1442" s="11"/>
      <c r="O1442" s="11"/>
      <c r="P1442" s="11"/>
      <c r="Q1442" s="11"/>
      <c r="R1442" s="11"/>
      <c r="S1442" s="11"/>
      <c r="T1442" s="11"/>
      <c r="U1442" s="11"/>
      <c r="V1442" s="11"/>
      <c r="W1442" s="11"/>
      <c r="X1442" s="11"/>
      <c r="Y1442" s="11"/>
      <c r="Z1442" s="11"/>
      <c r="AA1442" s="11"/>
      <c r="AB1442" s="11"/>
      <c r="AC1442" s="11"/>
    </row>
    <row r="1443" spans="1:29" x14ac:dyDescent="0.3">
      <c r="A1443" s="11"/>
      <c r="B1443" s="11"/>
      <c r="C1443" s="11"/>
      <c r="D1443" s="11"/>
      <c r="E1443" s="11"/>
      <c r="F1443" s="11"/>
      <c r="G1443" s="11"/>
      <c r="H1443" s="11"/>
      <c r="I1443" s="11"/>
      <c r="J1443" s="11"/>
      <c r="K1443" s="11"/>
      <c r="L1443" s="11"/>
      <c r="M1443" s="11"/>
      <c r="N1443" s="11"/>
      <c r="O1443" s="11"/>
      <c r="P1443" s="11"/>
      <c r="Q1443" s="11"/>
      <c r="R1443" s="11"/>
      <c r="S1443" s="11"/>
      <c r="T1443" s="11"/>
      <c r="U1443" s="11"/>
      <c r="V1443" s="11"/>
      <c r="W1443" s="11"/>
      <c r="X1443" s="11"/>
      <c r="Y1443" s="11"/>
      <c r="Z1443" s="11"/>
      <c r="AA1443" s="11"/>
      <c r="AB1443" s="11"/>
      <c r="AC1443" s="11"/>
    </row>
    <row r="1444" spans="1:29" x14ac:dyDescent="0.3">
      <c r="A1444" s="11"/>
      <c r="B1444" s="11"/>
      <c r="C1444" s="11"/>
      <c r="D1444" s="11"/>
      <c r="E1444" s="11"/>
      <c r="F1444" s="11"/>
      <c r="G1444" s="11"/>
      <c r="H1444" s="11"/>
      <c r="I1444" s="11"/>
      <c r="J1444" s="11"/>
      <c r="K1444" s="11"/>
      <c r="L1444" s="11"/>
      <c r="M1444" s="11"/>
      <c r="N1444" s="11"/>
      <c r="O1444" s="11"/>
      <c r="P1444" s="11"/>
      <c r="Q1444" s="11"/>
      <c r="R1444" s="11"/>
      <c r="S1444" s="11"/>
      <c r="T1444" s="11"/>
      <c r="U1444" s="11"/>
      <c r="V1444" s="11"/>
      <c r="W1444" s="11"/>
      <c r="X1444" s="11"/>
      <c r="Y1444" s="11"/>
      <c r="Z1444" s="11"/>
      <c r="AA1444" s="11"/>
      <c r="AB1444" s="11"/>
      <c r="AC1444" s="11"/>
    </row>
    <row r="1445" spans="1:29" x14ac:dyDescent="0.3">
      <c r="A1445" s="11"/>
      <c r="B1445" s="11"/>
      <c r="C1445" s="11"/>
      <c r="D1445" s="11"/>
      <c r="E1445" s="11"/>
      <c r="F1445" s="11"/>
      <c r="G1445" s="11"/>
      <c r="H1445" s="11"/>
      <c r="I1445" s="11"/>
      <c r="J1445" s="11"/>
      <c r="K1445" s="11"/>
      <c r="L1445" s="11"/>
      <c r="M1445" s="11"/>
      <c r="N1445" s="11"/>
      <c r="O1445" s="11"/>
      <c r="P1445" s="11"/>
      <c r="Q1445" s="11"/>
      <c r="R1445" s="11"/>
      <c r="S1445" s="11"/>
      <c r="T1445" s="11"/>
      <c r="U1445" s="11"/>
      <c r="V1445" s="11"/>
      <c r="W1445" s="11"/>
      <c r="X1445" s="11"/>
      <c r="Y1445" s="11"/>
      <c r="Z1445" s="11"/>
      <c r="AA1445" s="11"/>
      <c r="AB1445" s="11"/>
      <c r="AC1445" s="11"/>
    </row>
    <row r="1446" spans="1:29" x14ac:dyDescent="0.3">
      <c r="A1446" s="11"/>
      <c r="B1446" s="11"/>
      <c r="C1446" s="11"/>
      <c r="D1446" s="11"/>
      <c r="E1446" s="11"/>
      <c r="F1446" s="11"/>
      <c r="G1446" s="11"/>
      <c r="H1446" s="11"/>
      <c r="I1446" s="11"/>
      <c r="J1446" s="11"/>
      <c r="K1446" s="11"/>
      <c r="L1446" s="11"/>
      <c r="M1446" s="11"/>
      <c r="N1446" s="11"/>
      <c r="O1446" s="11"/>
      <c r="P1446" s="11"/>
      <c r="Q1446" s="11"/>
      <c r="R1446" s="11"/>
      <c r="S1446" s="11"/>
      <c r="T1446" s="11"/>
      <c r="U1446" s="11"/>
      <c r="V1446" s="11"/>
      <c r="W1446" s="11"/>
      <c r="X1446" s="11"/>
      <c r="Y1446" s="11"/>
      <c r="Z1446" s="11"/>
      <c r="AA1446" s="11"/>
      <c r="AB1446" s="11"/>
      <c r="AC1446" s="11"/>
    </row>
    <row r="1447" spans="1:29" x14ac:dyDescent="0.3">
      <c r="A1447" s="11"/>
      <c r="B1447" s="11"/>
      <c r="C1447" s="11"/>
      <c r="D1447" s="11"/>
      <c r="E1447" s="11"/>
      <c r="F1447" s="11"/>
      <c r="G1447" s="11"/>
      <c r="H1447" s="11"/>
      <c r="I1447" s="11"/>
      <c r="J1447" s="11"/>
      <c r="K1447" s="11"/>
      <c r="L1447" s="11"/>
      <c r="M1447" s="11"/>
      <c r="N1447" s="11"/>
      <c r="O1447" s="11"/>
      <c r="P1447" s="11"/>
      <c r="Q1447" s="11"/>
      <c r="R1447" s="11"/>
      <c r="S1447" s="11"/>
      <c r="T1447" s="11"/>
      <c r="U1447" s="11"/>
      <c r="V1447" s="11"/>
      <c r="W1447" s="11"/>
      <c r="X1447" s="11"/>
      <c r="Y1447" s="11"/>
      <c r="Z1447" s="11"/>
      <c r="AA1447" s="11"/>
      <c r="AB1447" s="11"/>
      <c r="AC1447" s="11"/>
    </row>
    <row r="1448" spans="1:29" x14ac:dyDescent="0.3">
      <c r="A1448" s="11"/>
      <c r="B1448" s="11"/>
      <c r="C1448" s="11"/>
      <c r="D1448" s="11"/>
      <c r="E1448" s="11"/>
      <c r="F1448" s="11"/>
      <c r="G1448" s="11"/>
      <c r="H1448" s="11"/>
      <c r="I1448" s="11"/>
      <c r="J1448" s="11"/>
      <c r="K1448" s="11"/>
      <c r="L1448" s="11"/>
      <c r="M1448" s="11"/>
      <c r="N1448" s="11"/>
      <c r="O1448" s="11"/>
      <c r="P1448" s="11"/>
      <c r="Q1448" s="11"/>
      <c r="R1448" s="11"/>
      <c r="S1448" s="11"/>
      <c r="T1448" s="11"/>
      <c r="U1448" s="11"/>
      <c r="V1448" s="11"/>
      <c r="W1448" s="11"/>
      <c r="X1448" s="11"/>
      <c r="Y1448" s="11"/>
      <c r="Z1448" s="11"/>
      <c r="AA1448" s="11"/>
      <c r="AB1448" s="11"/>
      <c r="AC1448" s="11"/>
    </row>
    <row r="1449" spans="1:29" x14ac:dyDescent="0.3">
      <c r="A1449" s="11"/>
      <c r="B1449" s="11"/>
      <c r="C1449" s="11"/>
      <c r="D1449" s="11"/>
      <c r="E1449" s="11"/>
      <c r="F1449" s="11"/>
      <c r="G1449" s="11"/>
      <c r="H1449" s="11"/>
      <c r="I1449" s="11"/>
      <c r="J1449" s="11"/>
      <c r="K1449" s="11"/>
      <c r="L1449" s="11"/>
      <c r="M1449" s="11"/>
      <c r="N1449" s="11"/>
      <c r="O1449" s="11"/>
      <c r="P1449" s="11"/>
      <c r="Q1449" s="11"/>
      <c r="R1449" s="11"/>
      <c r="S1449" s="11"/>
      <c r="T1449" s="11"/>
      <c r="U1449" s="11"/>
      <c r="V1449" s="11"/>
      <c r="W1449" s="11"/>
      <c r="X1449" s="11"/>
      <c r="Y1449" s="11"/>
      <c r="Z1449" s="11"/>
      <c r="AA1449" s="11"/>
      <c r="AB1449" s="11"/>
      <c r="AC1449" s="11"/>
    </row>
    <row r="1450" spans="1:29" x14ac:dyDescent="0.3">
      <c r="A1450" s="11"/>
      <c r="B1450" s="11"/>
      <c r="C1450" s="11"/>
      <c r="D1450" s="11"/>
      <c r="E1450" s="11"/>
      <c r="F1450" s="11"/>
      <c r="G1450" s="11"/>
      <c r="H1450" s="11"/>
      <c r="I1450" s="11"/>
      <c r="J1450" s="11"/>
      <c r="K1450" s="11"/>
      <c r="L1450" s="11"/>
      <c r="M1450" s="11"/>
      <c r="N1450" s="11"/>
      <c r="O1450" s="11"/>
      <c r="P1450" s="11"/>
      <c r="Q1450" s="11"/>
      <c r="R1450" s="11"/>
      <c r="S1450" s="11"/>
      <c r="T1450" s="11"/>
      <c r="U1450" s="11"/>
      <c r="V1450" s="11"/>
      <c r="W1450" s="11"/>
      <c r="X1450" s="11"/>
      <c r="Y1450" s="11"/>
      <c r="Z1450" s="11"/>
      <c r="AA1450" s="11"/>
      <c r="AB1450" s="11"/>
      <c r="AC1450" s="11"/>
    </row>
    <row r="1451" spans="1:29" x14ac:dyDescent="0.3">
      <c r="A1451" s="11"/>
      <c r="B1451" s="11"/>
      <c r="C1451" s="11"/>
      <c r="D1451" s="11"/>
      <c r="E1451" s="11"/>
      <c r="F1451" s="11"/>
      <c r="G1451" s="11"/>
      <c r="H1451" s="11"/>
      <c r="I1451" s="11"/>
      <c r="J1451" s="11"/>
      <c r="K1451" s="11"/>
      <c r="L1451" s="11"/>
      <c r="M1451" s="11"/>
      <c r="N1451" s="11"/>
      <c r="O1451" s="11"/>
      <c r="P1451" s="11"/>
      <c r="Q1451" s="11"/>
      <c r="R1451" s="11"/>
      <c r="S1451" s="11"/>
      <c r="T1451" s="11"/>
      <c r="U1451" s="11"/>
      <c r="V1451" s="11"/>
      <c r="W1451" s="11"/>
      <c r="X1451" s="11"/>
      <c r="Y1451" s="11"/>
      <c r="Z1451" s="11"/>
      <c r="AA1451" s="11"/>
      <c r="AB1451" s="11"/>
      <c r="AC1451" s="11"/>
    </row>
    <row r="1452" spans="1:29" x14ac:dyDescent="0.3">
      <c r="A1452" s="11"/>
      <c r="B1452" s="11"/>
      <c r="C1452" s="11"/>
      <c r="D1452" s="11"/>
      <c r="E1452" s="11"/>
      <c r="F1452" s="11"/>
      <c r="G1452" s="11"/>
      <c r="H1452" s="11"/>
      <c r="I1452" s="11"/>
      <c r="J1452" s="11"/>
      <c r="K1452" s="11"/>
      <c r="L1452" s="11"/>
      <c r="M1452" s="11"/>
      <c r="N1452" s="11"/>
      <c r="O1452" s="11"/>
      <c r="P1452" s="11"/>
      <c r="Q1452" s="11"/>
      <c r="R1452" s="11"/>
      <c r="S1452" s="11"/>
      <c r="T1452" s="11"/>
      <c r="U1452" s="11"/>
      <c r="V1452" s="11"/>
      <c r="W1452" s="11"/>
      <c r="X1452" s="11"/>
      <c r="Y1452" s="11"/>
      <c r="Z1452" s="11"/>
      <c r="AA1452" s="11"/>
      <c r="AB1452" s="11"/>
      <c r="AC1452" s="11"/>
    </row>
    <row r="1453" spans="1:29" x14ac:dyDescent="0.3">
      <c r="A1453" s="11"/>
      <c r="B1453" s="11"/>
      <c r="C1453" s="11"/>
      <c r="D1453" s="11"/>
      <c r="E1453" s="11"/>
      <c r="F1453" s="11"/>
      <c r="G1453" s="11"/>
      <c r="H1453" s="11"/>
      <c r="I1453" s="11"/>
      <c r="J1453" s="11"/>
      <c r="K1453" s="11"/>
      <c r="L1453" s="11"/>
      <c r="M1453" s="11"/>
      <c r="N1453" s="11"/>
      <c r="O1453" s="11"/>
      <c r="P1453" s="11"/>
      <c r="Q1453" s="11"/>
      <c r="R1453" s="11"/>
      <c r="S1453" s="11"/>
      <c r="T1453" s="11"/>
      <c r="U1453" s="11"/>
      <c r="V1453" s="11"/>
      <c r="W1453" s="11"/>
      <c r="X1453" s="11"/>
      <c r="Y1453" s="11"/>
      <c r="Z1453" s="11"/>
      <c r="AA1453" s="11"/>
      <c r="AB1453" s="11"/>
      <c r="AC1453" s="11"/>
    </row>
    <row r="1454" spans="1:29" x14ac:dyDescent="0.3">
      <c r="A1454" s="11"/>
      <c r="B1454" s="11"/>
      <c r="C1454" s="11"/>
      <c r="D1454" s="11"/>
      <c r="E1454" s="11"/>
      <c r="F1454" s="11"/>
      <c r="G1454" s="11"/>
      <c r="H1454" s="11"/>
      <c r="I1454" s="11"/>
      <c r="J1454" s="11"/>
      <c r="K1454" s="11"/>
      <c r="L1454" s="11"/>
      <c r="M1454" s="11"/>
      <c r="N1454" s="11"/>
      <c r="O1454" s="11"/>
      <c r="P1454" s="11"/>
      <c r="Q1454" s="11"/>
      <c r="R1454" s="11"/>
      <c r="S1454" s="11"/>
      <c r="T1454" s="11"/>
      <c r="U1454" s="11"/>
      <c r="V1454" s="11"/>
      <c r="W1454" s="11"/>
      <c r="X1454" s="11"/>
      <c r="Y1454" s="11"/>
      <c r="Z1454" s="11"/>
      <c r="AA1454" s="11"/>
      <c r="AB1454" s="11"/>
      <c r="AC1454" s="11"/>
    </row>
    <row r="1455" spans="1:29" x14ac:dyDescent="0.3">
      <c r="A1455" s="11"/>
      <c r="B1455" s="11"/>
      <c r="C1455" s="11"/>
      <c r="D1455" s="11"/>
      <c r="E1455" s="11"/>
      <c r="F1455" s="11"/>
      <c r="G1455" s="11"/>
      <c r="H1455" s="11"/>
      <c r="I1455" s="11"/>
      <c r="J1455" s="11"/>
      <c r="K1455" s="11"/>
      <c r="L1455" s="11"/>
      <c r="M1455" s="11"/>
      <c r="N1455" s="11"/>
      <c r="O1455" s="11"/>
      <c r="P1455" s="11"/>
      <c r="Q1455" s="11"/>
      <c r="R1455" s="11"/>
      <c r="S1455" s="11"/>
      <c r="T1455" s="11"/>
      <c r="U1455" s="11"/>
      <c r="V1455" s="11"/>
      <c r="W1455" s="11"/>
      <c r="X1455" s="11"/>
      <c r="Y1455" s="11"/>
      <c r="Z1455" s="11"/>
      <c r="AA1455" s="11"/>
      <c r="AB1455" s="11"/>
      <c r="AC1455" s="11"/>
    </row>
    <row r="1456" spans="1:29" x14ac:dyDescent="0.3">
      <c r="A1456" s="11"/>
      <c r="B1456" s="11"/>
      <c r="C1456" s="11"/>
      <c r="D1456" s="11"/>
      <c r="E1456" s="11"/>
      <c r="F1456" s="11"/>
      <c r="G1456" s="11"/>
      <c r="H1456" s="11"/>
      <c r="I1456" s="11"/>
      <c r="J1456" s="11"/>
      <c r="K1456" s="11"/>
      <c r="L1456" s="11"/>
      <c r="M1456" s="11"/>
      <c r="N1456" s="11"/>
      <c r="O1456" s="11"/>
      <c r="P1456" s="11"/>
      <c r="Q1456" s="11"/>
      <c r="R1456" s="11"/>
      <c r="S1456" s="11"/>
      <c r="T1456" s="11"/>
      <c r="U1456" s="11"/>
      <c r="V1456" s="11"/>
      <c r="W1456" s="11"/>
      <c r="X1456" s="11"/>
      <c r="Y1456" s="11"/>
      <c r="Z1456" s="11"/>
      <c r="AA1456" s="11"/>
      <c r="AB1456" s="11"/>
      <c r="AC1456" s="11"/>
    </row>
    <row r="1457" spans="1:29" x14ac:dyDescent="0.3">
      <c r="A1457" s="11"/>
      <c r="B1457" s="11"/>
      <c r="C1457" s="11"/>
      <c r="D1457" s="11"/>
      <c r="E1457" s="11"/>
      <c r="F1457" s="11"/>
      <c r="G1457" s="11"/>
      <c r="H1457" s="11"/>
      <c r="I1457" s="11"/>
      <c r="J1457" s="11"/>
      <c r="K1457" s="11"/>
      <c r="L1457" s="11"/>
      <c r="M1457" s="11"/>
      <c r="N1457" s="11"/>
      <c r="O1457" s="11"/>
      <c r="P1457" s="11"/>
      <c r="Q1457" s="11"/>
      <c r="R1457" s="11"/>
      <c r="S1457" s="11"/>
      <c r="T1457" s="11"/>
      <c r="U1457" s="11"/>
      <c r="V1457" s="11"/>
      <c r="W1457" s="11"/>
      <c r="X1457" s="11"/>
      <c r="Y1457" s="11"/>
      <c r="Z1457" s="11"/>
      <c r="AA1457" s="11"/>
      <c r="AB1457" s="11"/>
      <c r="AC1457" s="11"/>
    </row>
    <row r="1458" spans="1:29" x14ac:dyDescent="0.3">
      <c r="A1458" s="11"/>
      <c r="B1458" s="11"/>
      <c r="C1458" s="11"/>
      <c r="D1458" s="11"/>
      <c r="E1458" s="11"/>
      <c r="F1458" s="11"/>
      <c r="G1458" s="11"/>
      <c r="H1458" s="11"/>
      <c r="I1458" s="11"/>
      <c r="J1458" s="11"/>
      <c r="K1458" s="11"/>
      <c r="L1458" s="11"/>
      <c r="M1458" s="11"/>
      <c r="N1458" s="11"/>
      <c r="O1458" s="11"/>
      <c r="P1458" s="11"/>
      <c r="Q1458" s="11"/>
      <c r="R1458" s="11"/>
      <c r="S1458" s="11"/>
      <c r="T1458" s="11"/>
      <c r="U1458" s="11"/>
      <c r="V1458" s="11"/>
      <c r="W1458" s="11"/>
      <c r="X1458" s="11"/>
      <c r="Y1458" s="11"/>
      <c r="Z1458" s="11"/>
      <c r="AA1458" s="11"/>
      <c r="AB1458" s="11"/>
      <c r="AC1458" s="11"/>
    </row>
    <row r="1459" spans="1:29" x14ac:dyDescent="0.3">
      <c r="A1459" s="11"/>
      <c r="B1459" s="11"/>
      <c r="C1459" s="11"/>
      <c r="D1459" s="11"/>
      <c r="E1459" s="11"/>
      <c r="F1459" s="11"/>
      <c r="G1459" s="11"/>
      <c r="H1459" s="11"/>
      <c r="I1459" s="11"/>
      <c r="J1459" s="11"/>
      <c r="K1459" s="11"/>
      <c r="L1459" s="11"/>
      <c r="M1459" s="11"/>
      <c r="N1459" s="11"/>
      <c r="O1459" s="11"/>
      <c r="P1459" s="11"/>
      <c r="Q1459" s="11"/>
      <c r="R1459" s="11"/>
      <c r="S1459" s="11"/>
      <c r="T1459" s="11"/>
      <c r="U1459" s="11"/>
      <c r="V1459" s="11"/>
      <c r="W1459" s="11"/>
      <c r="X1459" s="11"/>
      <c r="Y1459" s="11"/>
      <c r="Z1459" s="11"/>
      <c r="AA1459" s="11"/>
      <c r="AB1459" s="11"/>
      <c r="AC1459" s="11"/>
    </row>
    <row r="1460" spans="1:29" x14ac:dyDescent="0.3">
      <c r="A1460" s="11"/>
      <c r="B1460" s="11"/>
      <c r="C1460" s="11"/>
      <c r="D1460" s="11"/>
      <c r="E1460" s="11"/>
      <c r="F1460" s="11"/>
      <c r="G1460" s="11"/>
      <c r="H1460" s="11"/>
      <c r="I1460" s="11"/>
      <c r="J1460" s="11"/>
      <c r="K1460" s="11"/>
      <c r="L1460" s="11"/>
      <c r="M1460" s="11"/>
      <c r="N1460" s="11"/>
      <c r="O1460" s="11"/>
      <c r="P1460" s="11"/>
      <c r="Q1460" s="11"/>
      <c r="R1460" s="11"/>
      <c r="S1460" s="11"/>
      <c r="T1460" s="11"/>
      <c r="U1460" s="11"/>
      <c r="V1460" s="11"/>
      <c r="W1460" s="11"/>
      <c r="X1460" s="11"/>
      <c r="Y1460" s="11"/>
      <c r="Z1460" s="11"/>
      <c r="AA1460" s="11"/>
      <c r="AB1460" s="11"/>
      <c r="AC1460" s="11"/>
    </row>
    <row r="1461" spans="1:29" x14ac:dyDescent="0.3">
      <c r="A1461" s="11"/>
      <c r="B1461" s="11"/>
      <c r="C1461" s="11"/>
      <c r="D1461" s="11"/>
      <c r="E1461" s="11"/>
      <c r="F1461" s="11"/>
      <c r="G1461" s="11"/>
      <c r="H1461" s="11"/>
      <c r="I1461" s="11"/>
      <c r="J1461" s="11"/>
      <c r="K1461" s="11"/>
      <c r="L1461" s="11"/>
      <c r="M1461" s="11"/>
      <c r="N1461" s="11"/>
      <c r="O1461" s="11"/>
      <c r="P1461" s="11"/>
      <c r="Q1461" s="11"/>
      <c r="R1461" s="11"/>
      <c r="S1461" s="11"/>
      <c r="T1461" s="11"/>
      <c r="U1461" s="11"/>
      <c r="V1461" s="11"/>
      <c r="W1461" s="11"/>
      <c r="X1461" s="11"/>
      <c r="Y1461" s="11"/>
      <c r="Z1461" s="11"/>
      <c r="AA1461" s="11"/>
      <c r="AB1461" s="11"/>
      <c r="AC1461" s="11"/>
    </row>
    <row r="1462" spans="1:29" x14ac:dyDescent="0.3">
      <c r="A1462" s="11"/>
      <c r="B1462" s="11"/>
      <c r="C1462" s="11"/>
      <c r="D1462" s="11"/>
      <c r="E1462" s="11"/>
      <c r="F1462" s="11"/>
      <c r="G1462" s="11"/>
      <c r="H1462" s="11"/>
      <c r="I1462" s="11"/>
      <c r="J1462" s="11"/>
      <c r="K1462" s="11"/>
      <c r="L1462" s="11"/>
      <c r="M1462" s="11"/>
      <c r="N1462" s="11"/>
      <c r="O1462" s="11"/>
      <c r="P1462" s="11"/>
      <c r="Q1462" s="11"/>
      <c r="R1462" s="11"/>
      <c r="S1462" s="11"/>
      <c r="T1462" s="11"/>
      <c r="U1462" s="11"/>
      <c r="V1462" s="11"/>
      <c r="W1462" s="11"/>
      <c r="X1462" s="11"/>
      <c r="Y1462" s="11"/>
      <c r="Z1462" s="11"/>
      <c r="AA1462" s="11"/>
      <c r="AB1462" s="11"/>
      <c r="AC1462" s="11"/>
    </row>
    <row r="1463" spans="1:29" x14ac:dyDescent="0.3">
      <c r="A1463" s="11"/>
      <c r="B1463" s="11"/>
      <c r="C1463" s="11"/>
      <c r="D1463" s="11"/>
      <c r="E1463" s="11"/>
      <c r="F1463" s="11"/>
      <c r="G1463" s="11"/>
      <c r="H1463" s="11"/>
      <c r="I1463" s="11"/>
      <c r="J1463" s="11"/>
      <c r="K1463" s="11"/>
      <c r="L1463" s="11"/>
      <c r="M1463" s="11"/>
      <c r="N1463" s="11"/>
      <c r="O1463" s="11"/>
      <c r="P1463" s="11"/>
      <c r="Q1463" s="11"/>
      <c r="R1463" s="11"/>
      <c r="S1463" s="11"/>
      <c r="T1463" s="11"/>
      <c r="U1463" s="11"/>
      <c r="V1463" s="11"/>
      <c r="W1463" s="11"/>
      <c r="X1463" s="11"/>
      <c r="Y1463" s="11"/>
      <c r="Z1463" s="11"/>
      <c r="AA1463" s="11"/>
      <c r="AB1463" s="11"/>
      <c r="AC1463" s="11"/>
    </row>
    <row r="1464" spans="1:29" x14ac:dyDescent="0.3">
      <c r="A1464" s="11"/>
      <c r="B1464" s="11"/>
      <c r="C1464" s="11"/>
      <c r="D1464" s="11"/>
      <c r="E1464" s="11"/>
      <c r="F1464" s="11"/>
      <c r="G1464" s="11"/>
      <c r="H1464" s="11"/>
      <c r="I1464" s="11"/>
      <c r="J1464" s="11"/>
      <c r="K1464" s="11"/>
      <c r="L1464" s="11"/>
      <c r="M1464" s="11"/>
      <c r="N1464" s="11"/>
      <c r="O1464" s="11"/>
      <c r="P1464" s="11"/>
      <c r="Q1464" s="11"/>
      <c r="R1464" s="11"/>
      <c r="S1464" s="11"/>
      <c r="T1464" s="11"/>
      <c r="U1464" s="11"/>
      <c r="V1464" s="11"/>
      <c r="W1464" s="11"/>
      <c r="X1464" s="11"/>
      <c r="Y1464" s="11"/>
      <c r="Z1464" s="11"/>
      <c r="AA1464" s="11"/>
      <c r="AB1464" s="11"/>
      <c r="AC1464" s="11"/>
    </row>
    <row r="1465" spans="1:29" x14ac:dyDescent="0.3">
      <c r="A1465" s="11"/>
      <c r="B1465" s="11"/>
      <c r="C1465" s="11"/>
      <c r="D1465" s="11"/>
      <c r="E1465" s="11"/>
      <c r="F1465" s="11"/>
      <c r="G1465" s="11"/>
      <c r="H1465" s="11"/>
      <c r="I1465" s="11"/>
      <c r="J1465" s="11"/>
      <c r="K1465" s="11"/>
      <c r="L1465" s="11"/>
      <c r="M1465" s="11"/>
      <c r="N1465" s="11"/>
      <c r="O1465" s="11"/>
      <c r="P1465" s="11"/>
      <c r="Q1465" s="11"/>
      <c r="R1465" s="11"/>
      <c r="S1465" s="11"/>
      <c r="T1465" s="11"/>
      <c r="U1465" s="11"/>
      <c r="V1465" s="11"/>
      <c r="W1465" s="11"/>
      <c r="X1465" s="11"/>
      <c r="Y1465" s="11"/>
      <c r="Z1465" s="11"/>
      <c r="AA1465" s="11"/>
      <c r="AB1465" s="11"/>
      <c r="AC1465" s="11"/>
    </row>
    <row r="1466" spans="1:29" x14ac:dyDescent="0.3">
      <c r="A1466" s="11"/>
      <c r="B1466" s="11"/>
      <c r="C1466" s="11"/>
      <c r="D1466" s="11"/>
      <c r="E1466" s="11"/>
      <c r="F1466" s="11"/>
      <c r="G1466" s="11"/>
      <c r="H1466" s="11"/>
      <c r="I1466" s="11"/>
      <c r="J1466" s="11"/>
      <c r="K1466" s="11"/>
      <c r="L1466" s="11"/>
      <c r="M1466" s="11"/>
      <c r="N1466" s="11"/>
      <c r="O1466" s="11"/>
      <c r="P1466" s="11"/>
      <c r="Q1466" s="11"/>
      <c r="R1466" s="11"/>
      <c r="S1466" s="11"/>
      <c r="T1466" s="11"/>
      <c r="U1466" s="11"/>
      <c r="V1466" s="11"/>
      <c r="W1466" s="11"/>
      <c r="X1466" s="11"/>
      <c r="Y1466" s="11"/>
      <c r="Z1466" s="11"/>
      <c r="AA1466" s="11"/>
      <c r="AB1466" s="11"/>
      <c r="AC1466" s="11"/>
    </row>
    <row r="1467" spans="1:29" x14ac:dyDescent="0.3">
      <c r="A1467" s="11"/>
      <c r="B1467" s="11"/>
      <c r="C1467" s="11"/>
      <c r="D1467" s="11"/>
      <c r="E1467" s="11"/>
      <c r="F1467" s="11"/>
      <c r="G1467" s="11"/>
      <c r="H1467" s="11"/>
      <c r="I1467" s="11"/>
      <c r="J1467" s="11"/>
      <c r="K1467" s="11"/>
      <c r="L1467" s="11"/>
      <c r="M1467" s="11"/>
      <c r="N1467" s="11"/>
      <c r="O1467" s="11"/>
      <c r="P1467" s="11"/>
      <c r="Q1467" s="11"/>
      <c r="R1467" s="11"/>
      <c r="S1467" s="11"/>
      <c r="T1467" s="11"/>
      <c r="U1467" s="11"/>
      <c r="V1467" s="11"/>
      <c r="W1467" s="11"/>
      <c r="X1467" s="11"/>
      <c r="Y1467" s="11"/>
      <c r="Z1467" s="11"/>
      <c r="AA1467" s="11"/>
      <c r="AB1467" s="11"/>
      <c r="AC1467" s="11"/>
    </row>
    <row r="1468" spans="1:29" x14ac:dyDescent="0.3">
      <c r="A1468" s="11"/>
      <c r="B1468" s="11"/>
      <c r="C1468" s="11"/>
      <c r="D1468" s="11"/>
      <c r="E1468" s="11"/>
      <c r="F1468" s="11"/>
      <c r="G1468" s="11"/>
      <c r="H1468" s="11"/>
      <c r="I1468" s="11"/>
      <c r="J1468" s="11"/>
      <c r="K1468" s="11"/>
      <c r="L1468" s="11"/>
      <c r="M1468" s="11"/>
      <c r="N1468" s="11"/>
      <c r="O1468" s="11"/>
      <c r="P1468" s="11"/>
      <c r="Q1468" s="11"/>
      <c r="R1468" s="11"/>
      <c r="S1468" s="11"/>
      <c r="T1468" s="11"/>
      <c r="U1468" s="11"/>
      <c r="V1468" s="11"/>
      <c r="W1468" s="11"/>
      <c r="X1468" s="11"/>
      <c r="Y1468" s="11"/>
      <c r="Z1468" s="11"/>
      <c r="AA1468" s="11"/>
      <c r="AB1468" s="11"/>
      <c r="AC1468" s="11"/>
    </row>
    <row r="1469" spans="1:29" x14ac:dyDescent="0.3">
      <c r="A1469" s="11"/>
      <c r="B1469" s="11"/>
      <c r="C1469" s="11"/>
      <c r="D1469" s="11"/>
      <c r="E1469" s="11"/>
      <c r="F1469" s="11"/>
      <c r="G1469" s="11"/>
      <c r="H1469" s="11"/>
      <c r="I1469" s="11"/>
      <c r="J1469" s="11"/>
      <c r="K1469" s="11"/>
      <c r="L1469" s="11"/>
      <c r="M1469" s="11"/>
      <c r="N1469" s="11"/>
      <c r="O1469" s="11"/>
      <c r="P1469" s="11"/>
      <c r="Q1469" s="11"/>
      <c r="R1469" s="11"/>
      <c r="S1469" s="11"/>
      <c r="T1469" s="11"/>
      <c r="U1469" s="11"/>
      <c r="V1469" s="11"/>
      <c r="W1469" s="11"/>
      <c r="X1469" s="11"/>
      <c r="Y1469" s="11"/>
      <c r="Z1469" s="11"/>
      <c r="AA1469" s="11"/>
      <c r="AB1469" s="11"/>
      <c r="AC1469" s="11"/>
    </row>
    <row r="1470" spans="1:29" x14ac:dyDescent="0.3">
      <c r="A1470" s="11"/>
      <c r="B1470" s="11"/>
      <c r="C1470" s="11"/>
      <c r="D1470" s="11"/>
      <c r="E1470" s="11"/>
      <c r="F1470" s="11"/>
      <c r="G1470" s="11"/>
      <c r="H1470" s="11"/>
      <c r="I1470" s="11"/>
      <c r="J1470" s="11"/>
      <c r="K1470" s="11"/>
      <c r="L1470" s="11"/>
      <c r="M1470" s="11"/>
      <c r="N1470" s="11"/>
      <c r="O1470" s="11"/>
      <c r="P1470" s="11"/>
      <c r="Q1470" s="11"/>
      <c r="R1470" s="11"/>
      <c r="S1470" s="11"/>
      <c r="T1470" s="11"/>
      <c r="U1470" s="11"/>
      <c r="V1470" s="11"/>
      <c r="W1470" s="11"/>
      <c r="X1470" s="11"/>
      <c r="Y1470" s="11"/>
      <c r="Z1470" s="11"/>
      <c r="AA1470" s="11"/>
      <c r="AB1470" s="11"/>
      <c r="AC1470" s="11"/>
    </row>
    <row r="1471" spans="1:29" x14ac:dyDescent="0.3">
      <c r="A1471" s="11"/>
      <c r="B1471" s="11"/>
      <c r="C1471" s="11"/>
      <c r="D1471" s="11"/>
      <c r="E1471" s="11"/>
      <c r="F1471" s="11"/>
      <c r="G1471" s="11"/>
      <c r="H1471" s="11"/>
      <c r="I1471" s="11"/>
      <c r="J1471" s="11"/>
      <c r="K1471" s="11"/>
      <c r="L1471" s="11"/>
      <c r="M1471" s="11"/>
      <c r="N1471" s="11"/>
      <c r="O1471" s="11"/>
      <c r="P1471" s="11"/>
      <c r="Q1471" s="11"/>
      <c r="R1471" s="11"/>
      <c r="S1471" s="11"/>
      <c r="T1471" s="11"/>
      <c r="U1471" s="11"/>
      <c r="V1471" s="11"/>
      <c r="W1471" s="11"/>
      <c r="X1471" s="11"/>
      <c r="Y1471" s="11"/>
      <c r="Z1471" s="11"/>
      <c r="AA1471" s="11"/>
      <c r="AB1471" s="11"/>
      <c r="AC1471" s="11"/>
    </row>
    <row r="1472" spans="1:29" x14ac:dyDescent="0.3">
      <c r="A1472" s="11"/>
      <c r="B1472" s="11"/>
      <c r="C1472" s="11"/>
      <c r="D1472" s="11"/>
      <c r="E1472" s="11"/>
      <c r="F1472" s="11"/>
      <c r="G1472" s="11"/>
      <c r="H1472" s="11"/>
      <c r="I1472" s="11"/>
      <c r="J1472" s="11"/>
      <c r="K1472" s="11"/>
      <c r="L1472" s="11"/>
      <c r="M1472" s="11"/>
      <c r="N1472" s="11"/>
      <c r="O1472" s="11"/>
      <c r="P1472" s="11"/>
      <c r="Q1472" s="11"/>
      <c r="R1472" s="11"/>
      <c r="S1472" s="11"/>
      <c r="T1472" s="11"/>
      <c r="U1472" s="11"/>
      <c r="V1472" s="11"/>
      <c r="W1472" s="11"/>
      <c r="X1472" s="11"/>
      <c r="Y1472" s="11"/>
      <c r="Z1472" s="11"/>
      <c r="AA1472" s="11"/>
      <c r="AB1472" s="11"/>
      <c r="AC1472" s="11"/>
    </row>
    <row r="1473" spans="1:29" x14ac:dyDescent="0.3">
      <c r="A1473" s="11"/>
      <c r="B1473" s="11"/>
      <c r="C1473" s="11"/>
      <c r="D1473" s="11"/>
      <c r="E1473" s="11"/>
      <c r="F1473" s="11"/>
      <c r="G1473" s="11"/>
      <c r="H1473" s="11"/>
      <c r="I1473" s="11"/>
      <c r="J1473" s="11"/>
      <c r="K1473" s="11"/>
      <c r="L1473" s="11"/>
      <c r="M1473" s="11"/>
      <c r="N1473" s="11"/>
      <c r="O1473" s="11"/>
      <c r="P1473" s="11"/>
      <c r="Q1473" s="11"/>
      <c r="R1473" s="11"/>
      <c r="S1473" s="11"/>
      <c r="T1473" s="11"/>
      <c r="U1473" s="11"/>
      <c r="V1473" s="11"/>
      <c r="W1473" s="11"/>
      <c r="X1473" s="11"/>
      <c r="Y1473" s="11"/>
      <c r="Z1473" s="11"/>
      <c r="AA1473" s="11"/>
      <c r="AB1473" s="11"/>
      <c r="AC1473" s="11"/>
    </row>
    <row r="1474" spans="1:29" x14ac:dyDescent="0.3">
      <c r="A1474" s="11"/>
      <c r="B1474" s="11"/>
      <c r="C1474" s="11"/>
      <c r="D1474" s="11"/>
      <c r="E1474" s="11"/>
      <c r="F1474" s="11"/>
      <c r="G1474" s="11"/>
      <c r="H1474" s="11"/>
      <c r="I1474" s="11"/>
      <c r="J1474" s="11"/>
      <c r="K1474" s="11"/>
      <c r="L1474" s="11"/>
      <c r="M1474" s="11"/>
      <c r="N1474" s="11"/>
      <c r="O1474" s="11"/>
      <c r="P1474" s="11"/>
      <c r="Q1474" s="11"/>
      <c r="R1474" s="11"/>
      <c r="S1474" s="11"/>
      <c r="T1474" s="11"/>
      <c r="U1474" s="11"/>
      <c r="V1474" s="11"/>
      <c r="W1474" s="11"/>
      <c r="X1474" s="11"/>
      <c r="Y1474" s="11"/>
      <c r="Z1474" s="11"/>
      <c r="AA1474" s="11"/>
      <c r="AB1474" s="11"/>
      <c r="AC1474" s="11"/>
    </row>
    <row r="1475" spans="1:29" x14ac:dyDescent="0.3">
      <c r="A1475" s="11"/>
      <c r="B1475" s="11"/>
      <c r="C1475" s="11"/>
      <c r="D1475" s="11"/>
      <c r="E1475" s="11"/>
      <c r="F1475" s="11"/>
      <c r="G1475" s="11"/>
      <c r="H1475" s="11"/>
      <c r="I1475" s="11"/>
      <c r="J1475" s="11"/>
      <c r="K1475" s="11"/>
      <c r="L1475" s="11"/>
      <c r="M1475" s="11"/>
      <c r="N1475" s="11"/>
      <c r="O1475" s="11"/>
      <c r="P1475" s="11"/>
      <c r="Q1475" s="11"/>
      <c r="R1475" s="11"/>
      <c r="S1475" s="11"/>
      <c r="T1475" s="11"/>
      <c r="U1475" s="11"/>
      <c r="V1475" s="11"/>
      <c r="W1475" s="11"/>
      <c r="X1475" s="11"/>
      <c r="Y1475" s="11"/>
      <c r="Z1475" s="11"/>
      <c r="AA1475" s="11"/>
      <c r="AB1475" s="11"/>
      <c r="AC1475" s="11"/>
    </row>
    <row r="1476" spans="1:29" x14ac:dyDescent="0.3">
      <c r="A1476" s="11"/>
      <c r="B1476" s="11"/>
      <c r="C1476" s="11"/>
      <c r="D1476" s="11"/>
      <c r="E1476" s="11"/>
      <c r="F1476" s="11"/>
      <c r="G1476" s="11"/>
      <c r="H1476" s="11"/>
      <c r="I1476" s="11"/>
      <c r="J1476" s="11"/>
      <c r="K1476" s="11"/>
      <c r="L1476" s="11"/>
      <c r="M1476" s="11"/>
      <c r="N1476" s="11"/>
      <c r="O1476" s="11"/>
      <c r="P1476" s="11"/>
      <c r="Q1476" s="11"/>
      <c r="R1476" s="11"/>
      <c r="S1476" s="11"/>
      <c r="T1476" s="11"/>
      <c r="U1476" s="11"/>
      <c r="V1476" s="11"/>
      <c r="W1476" s="11"/>
      <c r="X1476" s="11"/>
      <c r="Y1476" s="11"/>
      <c r="Z1476" s="11"/>
      <c r="AA1476" s="11"/>
      <c r="AB1476" s="11"/>
      <c r="AC1476" s="11"/>
    </row>
    <row r="1477" spans="1:29" x14ac:dyDescent="0.3">
      <c r="A1477" s="11"/>
      <c r="B1477" s="11"/>
      <c r="C1477" s="11"/>
      <c r="D1477" s="11"/>
      <c r="E1477" s="11"/>
      <c r="F1477" s="11"/>
      <c r="G1477" s="11"/>
      <c r="H1477" s="11"/>
      <c r="I1477" s="11"/>
      <c r="J1477" s="11"/>
      <c r="K1477" s="11"/>
      <c r="L1477" s="11"/>
      <c r="M1477" s="11"/>
      <c r="N1477" s="11"/>
      <c r="O1477" s="11"/>
      <c r="P1477" s="11"/>
      <c r="Q1477" s="11"/>
      <c r="R1477" s="11"/>
      <c r="S1477" s="11"/>
      <c r="T1477" s="11"/>
      <c r="U1477" s="11"/>
      <c r="V1477" s="11"/>
      <c r="W1477" s="11"/>
      <c r="X1477" s="11"/>
      <c r="Y1477" s="11"/>
      <c r="Z1477" s="11"/>
      <c r="AA1477" s="11"/>
      <c r="AB1477" s="11"/>
      <c r="AC1477" s="11"/>
    </row>
    <row r="1478" spans="1:29" x14ac:dyDescent="0.3">
      <c r="A1478" s="11"/>
      <c r="B1478" s="11"/>
      <c r="C1478" s="11"/>
      <c r="D1478" s="11"/>
      <c r="E1478" s="11"/>
      <c r="F1478" s="11"/>
      <c r="G1478" s="11"/>
      <c r="H1478" s="11"/>
      <c r="I1478" s="11"/>
      <c r="J1478" s="11"/>
      <c r="K1478" s="11"/>
      <c r="L1478" s="11"/>
      <c r="M1478" s="11"/>
      <c r="N1478" s="11"/>
      <c r="O1478" s="11"/>
      <c r="P1478" s="11"/>
      <c r="Q1478" s="11"/>
      <c r="R1478" s="11"/>
      <c r="S1478" s="11"/>
      <c r="T1478" s="11"/>
      <c r="U1478" s="11"/>
      <c r="V1478" s="11"/>
      <c r="W1478" s="11"/>
      <c r="X1478" s="11"/>
      <c r="Y1478" s="11"/>
      <c r="Z1478" s="11"/>
      <c r="AA1478" s="11"/>
      <c r="AB1478" s="11"/>
      <c r="AC1478" s="11"/>
    </row>
    <row r="1479" spans="1:29" x14ac:dyDescent="0.3">
      <c r="A1479" s="11"/>
      <c r="B1479" s="11"/>
      <c r="C1479" s="11"/>
      <c r="D1479" s="11"/>
      <c r="E1479" s="11"/>
      <c r="F1479" s="11"/>
      <c r="G1479" s="11"/>
      <c r="H1479" s="11"/>
      <c r="I1479" s="11"/>
      <c r="J1479" s="11"/>
      <c r="K1479" s="11"/>
      <c r="L1479" s="11"/>
      <c r="M1479" s="11"/>
      <c r="N1479" s="11"/>
      <c r="O1479" s="11"/>
      <c r="P1479" s="11"/>
      <c r="Q1479" s="11"/>
      <c r="R1479" s="11"/>
      <c r="S1479" s="11"/>
      <c r="T1479" s="11"/>
      <c r="U1479" s="11"/>
      <c r="V1479" s="11"/>
      <c r="W1479" s="11"/>
      <c r="X1479" s="11"/>
      <c r="Y1479" s="11"/>
      <c r="Z1479" s="11"/>
      <c r="AA1479" s="11"/>
      <c r="AB1479" s="11"/>
      <c r="AC1479" s="11"/>
    </row>
    <row r="1480" spans="1:29" x14ac:dyDescent="0.3">
      <c r="A1480" s="11"/>
      <c r="B1480" s="11"/>
      <c r="C1480" s="11"/>
      <c r="D1480" s="11"/>
      <c r="E1480" s="11"/>
      <c r="F1480" s="11"/>
      <c r="G1480" s="11"/>
      <c r="H1480" s="11"/>
      <c r="I1480" s="11"/>
      <c r="J1480" s="11"/>
      <c r="K1480" s="11"/>
      <c r="L1480" s="11"/>
      <c r="M1480" s="11"/>
      <c r="N1480" s="11"/>
      <c r="O1480" s="11"/>
      <c r="P1480" s="11"/>
      <c r="Q1480" s="11"/>
      <c r="R1480" s="11"/>
      <c r="S1480" s="11"/>
      <c r="T1480" s="11"/>
      <c r="U1480" s="11"/>
      <c r="V1480" s="11"/>
      <c r="W1480" s="11"/>
      <c r="X1480" s="11"/>
      <c r="Y1480" s="11"/>
      <c r="Z1480" s="11"/>
      <c r="AA1480" s="11"/>
      <c r="AB1480" s="11"/>
      <c r="AC1480" s="11"/>
    </row>
    <row r="1481" spans="1:29" x14ac:dyDescent="0.3">
      <c r="A1481" s="11"/>
      <c r="B1481" s="11"/>
      <c r="C1481" s="11"/>
      <c r="D1481" s="11"/>
      <c r="E1481" s="11"/>
      <c r="F1481" s="11"/>
      <c r="G1481" s="11"/>
      <c r="H1481" s="11"/>
      <c r="I1481" s="11"/>
      <c r="J1481" s="11"/>
      <c r="K1481" s="11"/>
      <c r="L1481" s="11"/>
      <c r="M1481" s="11"/>
      <c r="N1481" s="11"/>
      <c r="O1481" s="11"/>
      <c r="P1481" s="11"/>
      <c r="Q1481" s="11"/>
      <c r="R1481" s="11"/>
      <c r="S1481" s="11"/>
      <c r="T1481" s="11"/>
      <c r="U1481" s="11"/>
      <c r="V1481" s="11"/>
      <c r="W1481" s="11"/>
      <c r="X1481" s="11"/>
      <c r="Y1481" s="11"/>
      <c r="Z1481" s="11"/>
      <c r="AA1481" s="11"/>
      <c r="AB1481" s="11"/>
      <c r="AC1481" s="11"/>
    </row>
    <row r="1482" spans="1:29" x14ac:dyDescent="0.3">
      <c r="A1482" s="11"/>
      <c r="B1482" s="11"/>
      <c r="C1482" s="11"/>
      <c r="D1482" s="11"/>
      <c r="E1482" s="11"/>
      <c r="F1482" s="11"/>
      <c r="G1482" s="11"/>
      <c r="H1482" s="11"/>
      <c r="I1482" s="11"/>
      <c r="J1482" s="11"/>
      <c r="K1482" s="11"/>
      <c r="L1482" s="11"/>
      <c r="M1482" s="11"/>
      <c r="N1482" s="11"/>
      <c r="O1482" s="11"/>
      <c r="P1482" s="11"/>
      <c r="Q1482" s="11"/>
      <c r="R1482" s="11"/>
      <c r="S1482" s="11"/>
      <c r="T1482" s="11"/>
      <c r="U1482" s="11"/>
      <c r="V1482" s="11"/>
      <c r="W1482" s="11"/>
      <c r="X1482" s="11"/>
      <c r="Y1482" s="11"/>
      <c r="Z1482" s="11"/>
      <c r="AA1482" s="11"/>
      <c r="AB1482" s="11"/>
      <c r="AC1482" s="11"/>
    </row>
    <row r="1483" spans="1:29" x14ac:dyDescent="0.3">
      <c r="A1483" s="11"/>
      <c r="B1483" s="11"/>
      <c r="C1483" s="11"/>
      <c r="D1483" s="11"/>
      <c r="E1483" s="11"/>
      <c r="F1483" s="11"/>
      <c r="G1483" s="11"/>
      <c r="H1483" s="11"/>
      <c r="I1483" s="11"/>
      <c r="J1483" s="11"/>
      <c r="K1483" s="11"/>
      <c r="L1483" s="11"/>
      <c r="M1483" s="11"/>
      <c r="N1483" s="11"/>
      <c r="O1483" s="11"/>
      <c r="P1483" s="11"/>
      <c r="Q1483" s="11"/>
      <c r="R1483" s="11"/>
      <c r="S1483" s="11"/>
      <c r="T1483" s="11"/>
      <c r="U1483" s="11"/>
      <c r="V1483" s="11"/>
      <c r="W1483" s="11"/>
      <c r="X1483" s="11"/>
      <c r="Y1483" s="11"/>
      <c r="Z1483" s="11"/>
      <c r="AA1483" s="11"/>
      <c r="AB1483" s="11"/>
      <c r="AC1483" s="11"/>
    </row>
    <row r="1484" spans="1:29" x14ac:dyDescent="0.3">
      <c r="A1484" s="11"/>
      <c r="B1484" s="11"/>
      <c r="C1484" s="11"/>
      <c r="D1484" s="11"/>
      <c r="E1484" s="11"/>
      <c r="F1484" s="11"/>
      <c r="G1484" s="11"/>
      <c r="H1484" s="11"/>
      <c r="I1484" s="11"/>
      <c r="J1484" s="11"/>
      <c r="K1484" s="11"/>
      <c r="L1484" s="11"/>
      <c r="M1484" s="11"/>
      <c r="N1484" s="11"/>
      <c r="O1484" s="11"/>
      <c r="P1484" s="11"/>
      <c r="Q1484" s="11"/>
      <c r="R1484" s="11"/>
      <c r="S1484" s="11"/>
      <c r="T1484" s="11"/>
      <c r="U1484" s="11"/>
      <c r="V1484" s="11"/>
      <c r="W1484" s="11"/>
      <c r="X1484" s="11"/>
      <c r="Y1484" s="11"/>
      <c r="Z1484" s="11"/>
      <c r="AA1484" s="11"/>
      <c r="AB1484" s="11"/>
      <c r="AC1484" s="11"/>
    </row>
    <row r="1485" spans="1:29" x14ac:dyDescent="0.3">
      <c r="A1485" s="11"/>
      <c r="B1485" s="11"/>
      <c r="C1485" s="11"/>
      <c r="D1485" s="11"/>
      <c r="E1485" s="11"/>
      <c r="F1485" s="11"/>
      <c r="G1485" s="11"/>
      <c r="H1485" s="11"/>
      <c r="I1485" s="11"/>
      <c r="J1485" s="11"/>
      <c r="K1485" s="11"/>
      <c r="L1485" s="11"/>
      <c r="M1485" s="11"/>
      <c r="N1485" s="11"/>
      <c r="O1485" s="11"/>
      <c r="P1485" s="11"/>
      <c r="Q1485" s="11"/>
      <c r="R1485" s="11"/>
      <c r="S1485" s="11"/>
      <c r="T1485" s="11"/>
      <c r="U1485" s="11"/>
      <c r="V1485" s="11"/>
      <c r="W1485" s="11"/>
      <c r="X1485" s="11"/>
      <c r="Y1485" s="11"/>
      <c r="Z1485" s="11"/>
      <c r="AA1485" s="11"/>
      <c r="AB1485" s="11"/>
      <c r="AC1485" s="11"/>
    </row>
    <row r="1486" spans="1:29" x14ac:dyDescent="0.3">
      <c r="A1486" s="11"/>
      <c r="B1486" s="11"/>
      <c r="C1486" s="11"/>
      <c r="D1486" s="11"/>
      <c r="E1486" s="11"/>
      <c r="F1486" s="11"/>
      <c r="G1486" s="11"/>
      <c r="H1486" s="11"/>
      <c r="I1486" s="11"/>
      <c r="J1486" s="11"/>
      <c r="K1486" s="11"/>
      <c r="L1486" s="11"/>
      <c r="M1486" s="11"/>
      <c r="N1486" s="11"/>
      <c r="O1486" s="11"/>
      <c r="P1486" s="11"/>
      <c r="Q1486" s="11"/>
      <c r="R1486" s="11"/>
      <c r="S1486" s="11"/>
      <c r="T1486" s="11"/>
      <c r="U1486" s="11"/>
      <c r="V1486" s="11"/>
      <c r="W1486" s="11"/>
      <c r="X1486" s="11"/>
      <c r="Y1486" s="11"/>
      <c r="Z1486" s="11"/>
      <c r="AA1486" s="11"/>
      <c r="AB1486" s="11"/>
      <c r="AC1486" s="11"/>
    </row>
    <row r="1487" spans="1:29" x14ac:dyDescent="0.3">
      <c r="A1487" s="11"/>
      <c r="B1487" s="11"/>
      <c r="C1487" s="11"/>
      <c r="D1487" s="11"/>
      <c r="E1487" s="11"/>
      <c r="F1487" s="11"/>
      <c r="G1487" s="11"/>
      <c r="H1487" s="11"/>
      <c r="I1487" s="11"/>
      <c r="J1487" s="11"/>
      <c r="K1487" s="11"/>
      <c r="L1487" s="11"/>
      <c r="M1487" s="11"/>
      <c r="N1487" s="11"/>
      <c r="O1487" s="11"/>
      <c r="P1487" s="11"/>
      <c r="Q1487" s="11"/>
      <c r="R1487" s="11"/>
      <c r="S1487" s="11"/>
      <c r="T1487" s="11"/>
      <c r="U1487" s="11"/>
      <c r="V1487" s="11"/>
      <c r="W1487" s="11"/>
      <c r="X1487" s="11"/>
      <c r="Y1487" s="11"/>
      <c r="Z1487" s="11"/>
      <c r="AA1487" s="11"/>
      <c r="AB1487" s="11"/>
      <c r="AC1487" s="11"/>
    </row>
    <row r="1488" spans="1:29" x14ac:dyDescent="0.3">
      <c r="A1488" s="11"/>
      <c r="B1488" s="11"/>
      <c r="C1488" s="11"/>
      <c r="D1488" s="11"/>
      <c r="E1488" s="11"/>
      <c r="F1488" s="11"/>
      <c r="G1488" s="11"/>
      <c r="H1488" s="11"/>
      <c r="I1488" s="11"/>
      <c r="J1488" s="11"/>
      <c r="K1488" s="11"/>
      <c r="L1488" s="11"/>
      <c r="M1488" s="11"/>
      <c r="N1488" s="11"/>
      <c r="O1488" s="11"/>
      <c r="P1488" s="11"/>
      <c r="Q1488" s="11"/>
      <c r="R1488" s="11"/>
      <c r="S1488" s="11"/>
      <c r="T1488" s="11"/>
      <c r="U1488" s="11"/>
      <c r="V1488" s="11"/>
      <c r="W1488" s="11"/>
      <c r="X1488" s="11"/>
      <c r="Y1488" s="11"/>
      <c r="Z1488" s="11"/>
      <c r="AA1488" s="11"/>
      <c r="AB1488" s="11"/>
      <c r="AC1488" s="11"/>
    </row>
    <row r="1489" spans="1:29" x14ac:dyDescent="0.3">
      <c r="A1489" s="11"/>
      <c r="B1489" s="11"/>
      <c r="C1489" s="11"/>
      <c r="D1489" s="11"/>
      <c r="E1489" s="11"/>
      <c r="F1489" s="11"/>
      <c r="G1489" s="11"/>
      <c r="H1489" s="11"/>
      <c r="I1489" s="11"/>
      <c r="J1489" s="11"/>
      <c r="K1489" s="11"/>
      <c r="L1489" s="11"/>
      <c r="M1489" s="11"/>
      <c r="N1489" s="11"/>
      <c r="O1489" s="11"/>
      <c r="P1489" s="11"/>
      <c r="Q1489" s="11"/>
      <c r="R1489" s="11"/>
      <c r="S1489" s="11"/>
      <c r="T1489" s="11"/>
      <c r="U1489" s="11"/>
      <c r="V1489" s="11"/>
      <c r="W1489" s="11"/>
      <c r="X1489" s="11"/>
      <c r="Y1489" s="11"/>
      <c r="Z1489" s="11"/>
      <c r="AA1489" s="11"/>
      <c r="AB1489" s="11"/>
      <c r="AC1489" s="11"/>
    </row>
    <row r="1490" spans="1:29" x14ac:dyDescent="0.3">
      <c r="A1490" s="11"/>
      <c r="B1490" s="11"/>
      <c r="C1490" s="11"/>
      <c r="D1490" s="11"/>
      <c r="E1490" s="11"/>
      <c r="F1490" s="11"/>
      <c r="G1490" s="11"/>
      <c r="H1490" s="11"/>
      <c r="I1490" s="11"/>
      <c r="J1490" s="11"/>
      <c r="K1490" s="11"/>
      <c r="L1490" s="11"/>
      <c r="M1490" s="11"/>
      <c r="N1490" s="11"/>
      <c r="O1490" s="11"/>
      <c r="P1490" s="11"/>
      <c r="Q1490" s="11"/>
      <c r="R1490" s="11"/>
      <c r="S1490" s="11"/>
      <c r="T1490" s="11"/>
      <c r="U1490" s="11"/>
      <c r="V1490" s="11"/>
      <c r="W1490" s="11"/>
      <c r="X1490" s="11"/>
      <c r="Y1490" s="11"/>
      <c r="Z1490" s="11"/>
      <c r="AA1490" s="11"/>
      <c r="AB1490" s="11"/>
      <c r="AC1490" s="11"/>
    </row>
    <row r="1491" spans="1:29" x14ac:dyDescent="0.3">
      <c r="A1491" s="11"/>
      <c r="B1491" s="11"/>
      <c r="C1491" s="11"/>
      <c r="D1491" s="11"/>
      <c r="E1491" s="11"/>
      <c r="F1491" s="11"/>
      <c r="G1491" s="11"/>
      <c r="H1491" s="11"/>
      <c r="I1491" s="11"/>
      <c r="J1491" s="11"/>
      <c r="K1491" s="11"/>
      <c r="L1491" s="11"/>
      <c r="M1491" s="11"/>
      <c r="N1491" s="11"/>
      <c r="O1491" s="11"/>
      <c r="P1491" s="11"/>
      <c r="Q1491" s="11"/>
      <c r="R1491" s="11"/>
      <c r="S1491" s="11"/>
      <c r="T1491" s="11"/>
      <c r="U1491" s="11"/>
      <c r="V1491" s="11"/>
      <c r="W1491" s="11"/>
      <c r="X1491" s="11"/>
      <c r="Y1491" s="11"/>
      <c r="Z1491" s="11"/>
      <c r="AA1491" s="11"/>
      <c r="AB1491" s="11"/>
      <c r="AC1491" s="11"/>
    </row>
    <row r="1492" spans="1:29" x14ac:dyDescent="0.3">
      <c r="A1492" s="11"/>
      <c r="B1492" s="11"/>
      <c r="C1492" s="11"/>
      <c r="D1492" s="11"/>
      <c r="E1492" s="11"/>
      <c r="F1492" s="11"/>
      <c r="G1492" s="11"/>
      <c r="H1492" s="11"/>
      <c r="I1492" s="11"/>
      <c r="J1492" s="11"/>
      <c r="K1492" s="11"/>
      <c r="L1492" s="11"/>
      <c r="M1492" s="11"/>
      <c r="N1492" s="11"/>
      <c r="O1492" s="11"/>
      <c r="P1492" s="11"/>
      <c r="Q1492" s="11"/>
      <c r="R1492" s="11"/>
      <c r="S1492" s="11"/>
      <c r="T1492" s="11"/>
      <c r="U1492" s="11"/>
      <c r="V1492" s="11"/>
      <c r="W1492" s="11"/>
      <c r="X1492" s="11"/>
      <c r="Y1492" s="11"/>
      <c r="Z1492" s="11"/>
      <c r="AA1492" s="11"/>
      <c r="AB1492" s="11"/>
      <c r="AC1492" s="11"/>
    </row>
    <row r="1493" spans="1:29" x14ac:dyDescent="0.3">
      <c r="A1493" s="11"/>
      <c r="B1493" s="11"/>
      <c r="C1493" s="11"/>
      <c r="D1493" s="11"/>
      <c r="E1493" s="11"/>
      <c r="F1493" s="11"/>
      <c r="G1493" s="11"/>
      <c r="H1493" s="11"/>
      <c r="I1493" s="11"/>
      <c r="J1493" s="11"/>
      <c r="K1493" s="11"/>
      <c r="L1493" s="11"/>
      <c r="M1493" s="11"/>
      <c r="N1493" s="11"/>
      <c r="O1493" s="11"/>
      <c r="P1493" s="11"/>
      <c r="Q1493" s="11"/>
      <c r="R1493" s="11"/>
      <c r="S1493" s="11"/>
      <c r="T1493" s="11"/>
      <c r="U1493" s="11"/>
      <c r="V1493" s="11"/>
      <c r="W1493" s="11"/>
      <c r="X1493" s="11"/>
      <c r="Y1493" s="11"/>
      <c r="Z1493" s="11"/>
      <c r="AA1493" s="11"/>
      <c r="AB1493" s="11"/>
      <c r="AC1493" s="11"/>
    </row>
    <row r="1494" spans="1:29" x14ac:dyDescent="0.3">
      <c r="A1494" s="11"/>
      <c r="B1494" s="11"/>
      <c r="C1494" s="11"/>
      <c r="D1494" s="11"/>
      <c r="E1494" s="11"/>
      <c r="F1494" s="11"/>
      <c r="G1494" s="11"/>
      <c r="H1494" s="11"/>
      <c r="I1494" s="11"/>
      <c r="J1494" s="11"/>
      <c r="K1494" s="11"/>
      <c r="L1494" s="11"/>
      <c r="M1494" s="11"/>
      <c r="N1494" s="11"/>
      <c r="O1494" s="11"/>
      <c r="P1494" s="11"/>
      <c r="Q1494" s="11"/>
      <c r="R1494" s="11"/>
      <c r="S1494" s="11"/>
      <c r="T1494" s="11"/>
      <c r="U1494" s="11"/>
      <c r="V1494" s="11"/>
      <c r="W1494" s="11"/>
      <c r="X1494" s="11"/>
      <c r="Y1494" s="11"/>
      <c r="Z1494" s="11"/>
      <c r="AA1494" s="11"/>
      <c r="AB1494" s="11"/>
      <c r="AC1494" s="11"/>
    </row>
    <row r="1495" spans="1:29" x14ac:dyDescent="0.3">
      <c r="A1495" s="11"/>
      <c r="B1495" s="11"/>
      <c r="C1495" s="11"/>
      <c r="D1495" s="11"/>
      <c r="E1495" s="11"/>
      <c r="F1495" s="11"/>
      <c r="G1495" s="11"/>
      <c r="H1495" s="11"/>
      <c r="I1495" s="11"/>
      <c r="J1495" s="11"/>
      <c r="K1495" s="11"/>
      <c r="L1495" s="11"/>
      <c r="M1495" s="11"/>
      <c r="N1495" s="11"/>
      <c r="O1495" s="11"/>
      <c r="P1495" s="11"/>
      <c r="Q1495" s="11"/>
      <c r="R1495" s="11"/>
      <c r="S1495" s="11"/>
      <c r="T1495" s="11"/>
      <c r="U1495" s="11"/>
      <c r="V1495" s="11"/>
      <c r="W1495" s="11"/>
      <c r="X1495" s="11"/>
      <c r="Y1495" s="11"/>
      <c r="Z1495" s="11"/>
      <c r="AA1495" s="11"/>
      <c r="AB1495" s="11"/>
      <c r="AC1495" s="11"/>
    </row>
    <row r="1496" spans="1:29" x14ac:dyDescent="0.3">
      <c r="A1496" s="11"/>
      <c r="B1496" s="11"/>
      <c r="C1496" s="11"/>
      <c r="D1496" s="11"/>
      <c r="E1496" s="11"/>
      <c r="F1496" s="11"/>
      <c r="G1496" s="11"/>
      <c r="H1496" s="11"/>
      <c r="I1496" s="11"/>
      <c r="J1496" s="11"/>
      <c r="K1496" s="11"/>
      <c r="L1496" s="11"/>
      <c r="M1496" s="11"/>
      <c r="N1496" s="11"/>
      <c r="O1496" s="11"/>
      <c r="P1496" s="11"/>
      <c r="Q1496" s="11"/>
      <c r="R1496" s="11"/>
      <c r="S1496" s="11"/>
      <c r="T1496" s="11"/>
      <c r="U1496" s="11"/>
      <c r="V1496" s="11"/>
      <c r="W1496" s="11"/>
      <c r="X1496" s="11"/>
      <c r="Y1496" s="11"/>
      <c r="Z1496" s="11"/>
      <c r="AA1496" s="11"/>
      <c r="AB1496" s="11"/>
      <c r="AC1496" s="11"/>
    </row>
    <row r="1497" spans="1:29" x14ac:dyDescent="0.3">
      <c r="A1497" s="11"/>
      <c r="B1497" s="11"/>
      <c r="C1497" s="11"/>
      <c r="D1497" s="11"/>
      <c r="E1497" s="11"/>
      <c r="F1497" s="11"/>
      <c r="G1497" s="11"/>
      <c r="H1497" s="11"/>
      <c r="I1497" s="11"/>
      <c r="J1497" s="11"/>
      <c r="K1497" s="11"/>
      <c r="L1497" s="11"/>
      <c r="M1497" s="11"/>
      <c r="N1497" s="11"/>
      <c r="O1497" s="11"/>
      <c r="P1497" s="11"/>
      <c r="Q1497" s="11"/>
      <c r="R1497" s="11"/>
      <c r="S1497" s="11"/>
      <c r="T1497" s="11"/>
      <c r="U1497" s="11"/>
      <c r="V1497" s="11"/>
      <c r="W1497" s="11"/>
      <c r="X1497" s="11"/>
      <c r="Y1497" s="11"/>
      <c r="Z1497" s="11"/>
      <c r="AA1497" s="11"/>
      <c r="AB1497" s="11"/>
      <c r="AC1497" s="11"/>
    </row>
    <row r="1498" spans="1:29" x14ac:dyDescent="0.3">
      <c r="A1498" s="11"/>
      <c r="B1498" s="11"/>
      <c r="C1498" s="11"/>
      <c r="D1498" s="11"/>
      <c r="E1498" s="11"/>
      <c r="F1498" s="11"/>
      <c r="G1498" s="11"/>
      <c r="H1498" s="11"/>
      <c r="I1498" s="11"/>
      <c r="J1498" s="11"/>
      <c r="K1498" s="11"/>
      <c r="L1498" s="11"/>
      <c r="M1498" s="11"/>
      <c r="N1498" s="11"/>
      <c r="O1498" s="11"/>
      <c r="P1498" s="11"/>
      <c r="Q1498" s="11"/>
      <c r="R1498" s="11"/>
      <c r="S1498" s="11"/>
      <c r="T1498" s="11"/>
      <c r="U1498" s="11"/>
      <c r="V1498" s="11"/>
      <c r="W1498" s="11"/>
      <c r="X1498" s="11"/>
      <c r="Y1498" s="11"/>
      <c r="Z1498" s="11"/>
      <c r="AA1498" s="11"/>
      <c r="AB1498" s="11"/>
      <c r="AC1498" s="11"/>
    </row>
    <row r="1499" spans="1:29" x14ac:dyDescent="0.3">
      <c r="A1499" s="11"/>
      <c r="B1499" s="11"/>
      <c r="C1499" s="11"/>
      <c r="D1499" s="11"/>
      <c r="E1499" s="11"/>
      <c r="F1499" s="11"/>
      <c r="G1499" s="11"/>
      <c r="H1499" s="11"/>
      <c r="I1499" s="11"/>
      <c r="J1499" s="11"/>
      <c r="K1499" s="11"/>
      <c r="L1499" s="11"/>
      <c r="M1499" s="11"/>
      <c r="N1499" s="11"/>
      <c r="O1499" s="11"/>
      <c r="P1499" s="11"/>
      <c r="Q1499" s="11"/>
      <c r="R1499" s="11"/>
      <c r="S1499" s="11"/>
      <c r="T1499" s="11"/>
      <c r="U1499" s="11"/>
      <c r="V1499" s="11"/>
      <c r="W1499" s="11"/>
      <c r="X1499" s="11"/>
      <c r="Y1499" s="11"/>
      <c r="Z1499" s="11"/>
      <c r="AA1499" s="11"/>
      <c r="AB1499" s="11"/>
      <c r="AC1499" s="11"/>
    </row>
    <row r="1500" spans="1:29" x14ac:dyDescent="0.3">
      <c r="A1500" s="11"/>
      <c r="B1500" s="11"/>
      <c r="C1500" s="11"/>
      <c r="D1500" s="11"/>
      <c r="E1500" s="11"/>
      <c r="F1500" s="11"/>
      <c r="G1500" s="11"/>
      <c r="H1500" s="11"/>
      <c r="I1500" s="11"/>
      <c r="J1500" s="11"/>
      <c r="K1500" s="11"/>
      <c r="L1500" s="11"/>
      <c r="M1500" s="11"/>
      <c r="N1500" s="11"/>
      <c r="O1500" s="11"/>
      <c r="P1500" s="11"/>
      <c r="Q1500" s="11"/>
      <c r="R1500" s="11"/>
      <c r="S1500" s="11"/>
      <c r="T1500" s="11"/>
      <c r="U1500" s="11"/>
      <c r="V1500" s="11"/>
      <c r="W1500" s="11"/>
      <c r="X1500" s="11"/>
      <c r="Y1500" s="11"/>
      <c r="Z1500" s="11"/>
      <c r="AA1500" s="11"/>
      <c r="AB1500" s="11"/>
      <c r="AC1500" s="11"/>
    </row>
    <row r="1501" spans="1:29" x14ac:dyDescent="0.3">
      <c r="A1501" s="11"/>
      <c r="B1501" s="11"/>
      <c r="C1501" s="11"/>
      <c r="D1501" s="11"/>
      <c r="E1501" s="11"/>
      <c r="F1501" s="11"/>
      <c r="G1501" s="11"/>
      <c r="H1501" s="11"/>
      <c r="I1501" s="11"/>
      <c r="J1501" s="11"/>
      <c r="K1501" s="11"/>
      <c r="L1501" s="11"/>
      <c r="M1501" s="11"/>
      <c r="N1501" s="11"/>
      <c r="O1501" s="11"/>
      <c r="P1501" s="11"/>
      <c r="Q1501" s="11"/>
      <c r="R1501" s="11"/>
      <c r="S1501" s="11"/>
      <c r="T1501" s="11"/>
      <c r="U1501" s="11"/>
      <c r="V1501" s="11"/>
      <c r="W1501" s="11"/>
      <c r="X1501" s="11"/>
      <c r="Y1501" s="11"/>
      <c r="Z1501" s="11"/>
      <c r="AA1501" s="11"/>
      <c r="AB1501" s="11"/>
      <c r="AC1501" s="11"/>
    </row>
    <row r="1502" spans="1:29" x14ac:dyDescent="0.3">
      <c r="A1502" s="11"/>
      <c r="B1502" s="11"/>
      <c r="C1502" s="11"/>
      <c r="D1502" s="11"/>
      <c r="E1502" s="11"/>
      <c r="F1502" s="11"/>
      <c r="G1502" s="11"/>
      <c r="H1502" s="11"/>
      <c r="I1502" s="11"/>
      <c r="J1502" s="11"/>
      <c r="K1502" s="11"/>
      <c r="L1502" s="11"/>
      <c r="M1502" s="11"/>
      <c r="N1502" s="11"/>
      <c r="O1502" s="11"/>
      <c r="P1502" s="11"/>
      <c r="Q1502" s="11"/>
      <c r="R1502" s="11"/>
      <c r="S1502" s="11"/>
      <c r="T1502" s="11"/>
      <c r="U1502" s="11"/>
      <c r="V1502" s="11"/>
      <c r="W1502" s="11"/>
      <c r="X1502" s="11"/>
      <c r="Y1502" s="11"/>
      <c r="Z1502" s="11"/>
      <c r="AA1502" s="11"/>
      <c r="AB1502" s="11"/>
      <c r="AC1502" s="11"/>
    </row>
    <row r="1503" spans="1:29" x14ac:dyDescent="0.3">
      <c r="A1503" s="11"/>
      <c r="B1503" s="11"/>
      <c r="C1503" s="11"/>
      <c r="D1503" s="11"/>
      <c r="E1503" s="11"/>
      <c r="F1503" s="11"/>
      <c r="G1503" s="11"/>
      <c r="H1503" s="11"/>
      <c r="I1503" s="11"/>
      <c r="J1503" s="11"/>
      <c r="K1503" s="11"/>
      <c r="L1503" s="11"/>
      <c r="M1503" s="11"/>
      <c r="N1503" s="11"/>
      <c r="O1503" s="11"/>
      <c r="P1503" s="11"/>
      <c r="Q1503" s="11"/>
      <c r="R1503" s="11"/>
      <c r="S1503" s="11"/>
      <c r="T1503" s="11"/>
      <c r="U1503" s="11"/>
      <c r="V1503" s="11"/>
      <c r="W1503" s="11"/>
      <c r="X1503" s="11"/>
      <c r="Y1503" s="11"/>
      <c r="Z1503" s="11"/>
      <c r="AA1503" s="11"/>
      <c r="AB1503" s="11"/>
      <c r="AC1503" s="11"/>
    </row>
    <row r="1504" spans="1:29" x14ac:dyDescent="0.3">
      <c r="A1504" s="11"/>
      <c r="B1504" s="11"/>
      <c r="C1504" s="11"/>
      <c r="D1504" s="11"/>
      <c r="E1504" s="11"/>
      <c r="F1504" s="11"/>
      <c r="G1504" s="11"/>
      <c r="H1504" s="11"/>
      <c r="I1504" s="11"/>
      <c r="J1504" s="11"/>
      <c r="K1504" s="11"/>
      <c r="L1504" s="11"/>
      <c r="M1504" s="11"/>
      <c r="N1504" s="11"/>
      <c r="O1504" s="11"/>
      <c r="P1504" s="11"/>
      <c r="Q1504" s="11"/>
      <c r="R1504" s="11"/>
      <c r="S1504" s="11"/>
      <c r="T1504" s="11"/>
      <c r="U1504" s="11"/>
      <c r="V1504" s="11"/>
      <c r="W1504" s="11"/>
      <c r="X1504" s="11"/>
      <c r="Y1504" s="11"/>
      <c r="Z1504" s="11"/>
      <c r="AA1504" s="11"/>
      <c r="AB1504" s="11"/>
      <c r="AC1504" s="11"/>
    </row>
    <row r="1505" spans="1:29" x14ac:dyDescent="0.3">
      <c r="A1505" s="11"/>
      <c r="B1505" s="11"/>
      <c r="C1505" s="11"/>
      <c r="D1505" s="11"/>
      <c r="E1505" s="11"/>
      <c r="F1505" s="11"/>
      <c r="G1505" s="11"/>
      <c r="H1505" s="11"/>
      <c r="I1505" s="11"/>
      <c r="J1505" s="11"/>
      <c r="K1505" s="11"/>
      <c r="L1505" s="11"/>
      <c r="M1505" s="11"/>
      <c r="N1505" s="11"/>
      <c r="O1505" s="11"/>
      <c r="P1505" s="11"/>
      <c r="Q1505" s="11"/>
      <c r="R1505" s="11"/>
      <c r="S1505" s="11"/>
      <c r="T1505" s="11"/>
      <c r="U1505" s="11"/>
      <c r="V1505" s="11"/>
      <c r="W1505" s="11"/>
      <c r="X1505" s="11"/>
      <c r="Y1505" s="11"/>
      <c r="Z1505" s="11"/>
      <c r="AA1505" s="11"/>
      <c r="AB1505" s="11"/>
      <c r="AC1505" s="11"/>
    </row>
    <row r="1506" spans="1:29" x14ac:dyDescent="0.3">
      <c r="A1506" s="11"/>
      <c r="B1506" s="11"/>
      <c r="C1506" s="11"/>
      <c r="D1506" s="11"/>
      <c r="E1506" s="11"/>
      <c r="F1506" s="11"/>
      <c r="G1506" s="11"/>
      <c r="H1506" s="11"/>
      <c r="I1506" s="11"/>
      <c r="J1506" s="11"/>
      <c r="K1506" s="11"/>
      <c r="L1506" s="11"/>
      <c r="M1506" s="11"/>
      <c r="N1506" s="11"/>
      <c r="O1506" s="11"/>
      <c r="P1506" s="11"/>
      <c r="Q1506" s="11"/>
      <c r="R1506" s="11"/>
      <c r="S1506" s="11"/>
      <c r="T1506" s="11"/>
      <c r="U1506" s="11"/>
      <c r="V1506" s="11"/>
      <c r="W1506" s="11"/>
      <c r="X1506" s="11"/>
      <c r="Y1506" s="11"/>
      <c r="Z1506" s="11"/>
      <c r="AA1506" s="11"/>
      <c r="AB1506" s="11"/>
      <c r="AC1506" s="11"/>
    </row>
    <row r="1507" spans="1:29" x14ac:dyDescent="0.3">
      <c r="A1507" s="11"/>
      <c r="B1507" s="11"/>
      <c r="C1507" s="11"/>
      <c r="D1507" s="11"/>
      <c r="E1507" s="11"/>
      <c r="F1507" s="11"/>
      <c r="G1507" s="11"/>
      <c r="H1507" s="11"/>
      <c r="I1507" s="11"/>
      <c r="J1507" s="11"/>
      <c r="K1507" s="11"/>
      <c r="L1507" s="11"/>
      <c r="M1507" s="11"/>
      <c r="N1507" s="11"/>
      <c r="O1507" s="11"/>
      <c r="P1507" s="11"/>
      <c r="Q1507" s="11"/>
      <c r="R1507" s="11"/>
      <c r="S1507" s="11"/>
      <c r="T1507" s="11"/>
      <c r="U1507" s="11"/>
      <c r="V1507" s="11"/>
      <c r="W1507" s="11"/>
      <c r="X1507" s="11"/>
      <c r="Y1507" s="11"/>
      <c r="Z1507" s="11"/>
      <c r="AA1507" s="11"/>
      <c r="AB1507" s="11"/>
      <c r="AC1507" s="11"/>
    </row>
    <row r="1508" spans="1:29" x14ac:dyDescent="0.3">
      <c r="A1508" s="11"/>
      <c r="B1508" s="11"/>
      <c r="C1508" s="11"/>
      <c r="D1508" s="11"/>
      <c r="E1508" s="11"/>
      <c r="F1508" s="11"/>
      <c r="G1508" s="11"/>
      <c r="H1508" s="11"/>
      <c r="I1508" s="11"/>
      <c r="J1508" s="11"/>
      <c r="K1508" s="11"/>
      <c r="L1508" s="11"/>
      <c r="M1508" s="11"/>
      <c r="N1508" s="11"/>
      <c r="O1508" s="11"/>
      <c r="P1508" s="11"/>
      <c r="Q1508" s="11"/>
      <c r="R1508" s="11"/>
      <c r="S1508" s="11"/>
      <c r="T1508" s="11"/>
      <c r="U1508" s="11"/>
      <c r="V1508" s="11"/>
      <c r="W1508" s="11"/>
      <c r="X1508" s="11"/>
      <c r="Y1508" s="11"/>
      <c r="Z1508" s="11"/>
      <c r="AA1508" s="11"/>
      <c r="AB1508" s="11"/>
      <c r="AC1508" s="11"/>
    </row>
    <row r="1509" spans="1:29" x14ac:dyDescent="0.3">
      <c r="A1509" s="11"/>
      <c r="B1509" s="11"/>
      <c r="C1509" s="11"/>
      <c r="D1509" s="11"/>
      <c r="E1509" s="11"/>
      <c r="F1509" s="11"/>
      <c r="G1509" s="11"/>
      <c r="H1509" s="11"/>
      <c r="I1509" s="11"/>
      <c r="J1509" s="11"/>
      <c r="K1509" s="11"/>
      <c r="L1509" s="11"/>
      <c r="M1509" s="11"/>
      <c r="N1509" s="11"/>
      <c r="O1509" s="11"/>
      <c r="P1509" s="11"/>
      <c r="Q1509" s="11"/>
      <c r="R1509" s="11"/>
      <c r="S1509" s="11"/>
      <c r="T1509" s="11"/>
      <c r="U1509" s="11"/>
      <c r="V1509" s="11"/>
      <c r="W1509" s="11"/>
      <c r="X1509" s="11"/>
      <c r="Y1509" s="11"/>
      <c r="Z1509" s="11"/>
      <c r="AA1509" s="11"/>
      <c r="AB1509" s="11"/>
      <c r="AC1509" s="11"/>
    </row>
    <row r="1510" spans="1:29" x14ac:dyDescent="0.3">
      <c r="A1510" s="11"/>
      <c r="B1510" s="11"/>
      <c r="C1510" s="11"/>
      <c r="D1510" s="11"/>
      <c r="E1510" s="11"/>
      <c r="F1510" s="11"/>
      <c r="G1510" s="11"/>
      <c r="H1510" s="11"/>
      <c r="I1510" s="11"/>
      <c r="J1510" s="11"/>
      <c r="K1510" s="11"/>
      <c r="L1510" s="11"/>
      <c r="M1510" s="11"/>
      <c r="N1510" s="11"/>
      <c r="O1510" s="11"/>
      <c r="P1510" s="11"/>
      <c r="Q1510" s="11"/>
      <c r="R1510" s="11"/>
      <c r="S1510" s="11"/>
      <c r="T1510" s="11"/>
      <c r="U1510" s="11"/>
      <c r="V1510" s="11"/>
      <c r="W1510" s="11"/>
      <c r="X1510" s="11"/>
      <c r="Y1510" s="11"/>
      <c r="Z1510" s="11"/>
      <c r="AA1510" s="11"/>
      <c r="AB1510" s="11"/>
      <c r="AC1510" s="11"/>
    </row>
    <row r="1511" spans="1:29" x14ac:dyDescent="0.3">
      <c r="A1511" s="11"/>
      <c r="B1511" s="11"/>
      <c r="C1511" s="11"/>
      <c r="D1511" s="11"/>
      <c r="E1511" s="11"/>
      <c r="F1511" s="11"/>
      <c r="G1511" s="11"/>
      <c r="H1511" s="11"/>
      <c r="I1511" s="11"/>
      <c r="J1511" s="11"/>
      <c r="K1511" s="11"/>
      <c r="L1511" s="11"/>
      <c r="M1511" s="11"/>
      <c r="N1511" s="11"/>
      <c r="O1511" s="11"/>
      <c r="P1511" s="11"/>
      <c r="Q1511" s="11"/>
      <c r="R1511" s="11"/>
      <c r="S1511" s="11"/>
      <c r="T1511" s="11"/>
      <c r="U1511" s="11"/>
      <c r="V1511" s="11"/>
      <c r="W1511" s="11"/>
      <c r="X1511" s="11"/>
      <c r="Y1511" s="11"/>
      <c r="Z1511" s="11"/>
      <c r="AA1511" s="11"/>
      <c r="AB1511" s="11"/>
      <c r="AC1511" s="11"/>
    </row>
    <row r="1512" spans="1:29" x14ac:dyDescent="0.3">
      <c r="A1512" s="11"/>
      <c r="B1512" s="11"/>
      <c r="C1512" s="11"/>
      <c r="D1512" s="11"/>
      <c r="E1512" s="11"/>
      <c r="F1512" s="11"/>
      <c r="G1512" s="11"/>
      <c r="H1512" s="11"/>
      <c r="I1512" s="11"/>
      <c r="J1512" s="11"/>
      <c r="K1512" s="11"/>
      <c r="L1512" s="11"/>
      <c r="M1512" s="11"/>
      <c r="N1512" s="11"/>
      <c r="O1512" s="11"/>
      <c r="P1512" s="11"/>
      <c r="Q1512" s="11"/>
      <c r="R1512" s="11"/>
      <c r="S1512" s="11"/>
      <c r="T1512" s="11"/>
      <c r="U1512" s="11"/>
      <c r="V1512" s="11"/>
      <c r="W1512" s="11"/>
      <c r="X1512" s="11"/>
      <c r="Y1512" s="11"/>
      <c r="Z1512" s="11"/>
      <c r="AA1512" s="11"/>
      <c r="AB1512" s="11"/>
      <c r="AC1512" s="11"/>
    </row>
    <row r="1513" spans="1:29" x14ac:dyDescent="0.3">
      <c r="A1513" s="11"/>
      <c r="B1513" s="11"/>
      <c r="C1513" s="11"/>
      <c r="D1513" s="11"/>
      <c r="E1513" s="11"/>
      <c r="F1513" s="11"/>
      <c r="G1513" s="11"/>
      <c r="H1513" s="11"/>
      <c r="I1513" s="11"/>
      <c r="J1513" s="11"/>
      <c r="K1513" s="11"/>
      <c r="L1513" s="11"/>
      <c r="M1513" s="11"/>
      <c r="N1513" s="11"/>
      <c r="O1513" s="11"/>
      <c r="P1513" s="11"/>
      <c r="Q1513" s="11"/>
      <c r="R1513" s="11"/>
      <c r="S1513" s="11"/>
      <c r="T1513" s="11"/>
      <c r="U1513" s="11"/>
      <c r="V1513" s="11"/>
      <c r="W1513" s="11"/>
      <c r="X1513" s="11"/>
      <c r="Y1513" s="11"/>
      <c r="Z1513" s="11"/>
      <c r="AA1513" s="11"/>
      <c r="AB1513" s="11"/>
      <c r="AC1513" s="11"/>
    </row>
    <row r="1514" spans="1:29" x14ac:dyDescent="0.3">
      <c r="A1514" s="11"/>
      <c r="B1514" s="11"/>
      <c r="C1514" s="11"/>
      <c r="D1514" s="11"/>
      <c r="E1514" s="11"/>
      <c r="F1514" s="11"/>
      <c r="G1514" s="11"/>
      <c r="H1514" s="11"/>
      <c r="I1514" s="11"/>
      <c r="J1514" s="11"/>
      <c r="K1514" s="11"/>
      <c r="L1514" s="11"/>
      <c r="M1514" s="11"/>
      <c r="N1514" s="11"/>
      <c r="O1514" s="11"/>
      <c r="P1514" s="11"/>
      <c r="Q1514" s="11"/>
      <c r="R1514" s="11"/>
      <c r="S1514" s="11"/>
      <c r="T1514" s="11"/>
      <c r="U1514" s="11"/>
      <c r="V1514" s="11"/>
      <c r="W1514" s="11"/>
      <c r="X1514" s="11"/>
      <c r="Y1514" s="11"/>
      <c r="Z1514" s="11"/>
      <c r="AA1514" s="11"/>
      <c r="AB1514" s="11"/>
      <c r="AC1514" s="11"/>
    </row>
    <row r="1515" spans="1:29" x14ac:dyDescent="0.3">
      <c r="A1515" s="11"/>
      <c r="B1515" s="11"/>
      <c r="C1515" s="11"/>
      <c r="D1515" s="11"/>
      <c r="E1515" s="11"/>
      <c r="F1515" s="11"/>
      <c r="G1515" s="11"/>
      <c r="H1515" s="11"/>
      <c r="I1515" s="11"/>
      <c r="J1515" s="11"/>
      <c r="K1515" s="11"/>
      <c r="L1515" s="11"/>
      <c r="M1515" s="11"/>
      <c r="N1515" s="11"/>
      <c r="O1515" s="11"/>
      <c r="P1515" s="11"/>
      <c r="Q1515" s="11"/>
      <c r="R1515" s="11"/>
      <c r="S1515" s="11"/>
      <c r="T1515" s="11"/>
      <c r="U1515" s="11"/>
      <c r="V1515" s="11"/>
      <c r="W1515" s="11"/>
      <c r="X1515" s="11"/>
      <c r="Y1515" s="11"/>
      <c r="Z1515" s="11"/>
      <c r="AA1515" s="11"/>
      <c r="AB1515" s="11"/>
      <c r="AC1515" s="11"/>
    </row>
    <row r="1516" spans="1:29" x14ac:dyDescent="0.3">
      <c r="A1516" s="11"/>
      <c r="B1516" s="11"/>
      <c r="C1516" s="11"/>
      <c r="D1516" s="11"/>
      <c r="E1516" s="11"/>
      <c r="F1516" s="11"/>
      <c r="G1516" s="11"/>
      <c r="H1516" s="11"/>
      <c r="I1516" s="11"/>
      <c r="J1516" s="11"/>
      <c r="K1516" s="11"/>
      <c r="L1516" s="11"/>
      <c r="M1516" s="11"/>
      <c r="N1516" s="11"/>
      <c r="O1516" s="11"/>
      <c r="P1516" s="11"/>
      <c r="Q1516" s="11"/>
      <c r="R1516" s="11"/>
      <c r="S1516" s="11"/>
      <c r="T1516" s="11"/>
      <c r="U1516" s="11"/>
      <c r="V1516" s="11"/>
      <c r="W1516" s="11"/>
      <c r="X1516" s="11"/>
      <c r="Y1516" s="11"/>
      <c r="Z1516" s="11"/>
      <c r="AA1516" s="11"/>
      <c r="AB1516" s="11"/>
      <c r="AC1516" s="11"/>
    </row>
    <row r="1517" spans="1:29" x14ac:dyDescent="0.3">
      <c r="A1517" s="11"/>
      <c r="B1517" s="11"/>
      <c r="C1517" s="11"/>
      <c r="D1517" s="11"/>
      <c r="E1517" s="11"/>
      <c r="F1517" s="11"/>
      <c r="G1517" s="11"/>
      <c r="H1517" s="11"/>
      <c r="I1517" s="11"/>
      <c r="J1517" s="11"/>
      <c r="K1517" s="11"/>
      <c r="L1517" s="11"/>
      <c r="M1517" s="11"/>
      <c r="N1517" s="11"/>
      <c r="O1517" s="11"/>
      <c r="P1517" s="11"/>
      <c r="Q1517" s="11"/>
      <c r="R1517" s="11"/>
      <c r="S1517" s="11"/>
      <c r="T1517" s="11"/>
      <c r="U1517" s="11"/>
      <c r="V1517" s="11"/>
      <c r="W1517" s="11"/>
      <c r="X1517" s="11"/>
      <c r="Y1517" s="11"/>
      <c r="Z1517" s="11"/>
      <c r="AA1517" s="11"/>
      <c r="AB1517" s="11"/>
      <c r="AC1517" s="11"/>
    </row>
    <row r="1518" spans="1:29" x14ac:dyDescent="0.3">
      <c r="A1518" s="11"/>
      <c r="B1518" s="11"/>
      <c r="C1518" s="11"/>
      <c r="D1518" s="11"/>
      <c r="E1518" s="11"/>
      <c r="F1518" s="11"/>
      <c r="G1518" s="11"/>
      <c r="H1518" s="11"/>
      <c r="I1518" s="11"/>
      <c r="J1518" s="11"/>
      <c r="K1518" s="11"/>
      <c r="L1518" s="11"/>
      <c r="M1518" s="11"/>
      <c r="N1518" s="11"/>
      <c r="O1518" s="11"/>
      <c r="P1518" s="11"/>
      <c r="Q1518" s="11"/>
      <c r="R1518" s="11"/>
      <c r="S1518" s="11"/>
      <c r="T1518" s="11"/>
      <c r="U1518" s="11"/>
      <c r="V1518" s="11"/>
      <c r="W1518" s="11"/>
      <c r="X1518" s="11"/>
      <c r="Y1518" s="11"/>
      <c r="Z1518" s="11"/>
      <c r="AA1518" s="11"/>
      <c r="AB1518" s="11"/>
      <c r="AC1518" s="11"/>
    </row>
    <row r="1519" spans="1:29" x14ac:dyDescent="0.3">
      <c r="A1519" s="11"/>
      <c r="B1519" s="11"/>
      <c r="C1519" s="11"/>
      <c r="D1519" s="11"/>
      <c r="E1519" s="11"/>
      <c r="F1519" s="11"/>
      <c r="G1519" s="11"/>
      <c r="H1519" s="11"/>
      <c r="I1519" s="11"/>
      <c r="J1519" s="11"/>
      <c r="K1519" s="11"/>
      <c r="L1519" s="11"/>
      <c r="M1519" s="11"/>
      <c r="N1519" s="11"/>
      <c r="O1519" s="11"/>
      <c r="P1519" s="11"/>
      <c r="Q1519" s="11"/>
      <c r="R1519" s="11"/>
      <c r="S1519" s="11"/>
      <c r="T1519" s="11"/>
      <c r="U1519" s="11"/>
      <c r="V1519" s="11"/>
      <c r="W1519" s="11"/>
      <c r="X1519" s="11"/>
      <c r="Y1519" s="11"/>
      <c r="Z1519" s="11"/>
      <c r="AA1519" s="11"/>
      <c r="AB1519" s="11"/>
      <c r="AC1519" s="11"/>
    </row>
    <row r="1520" spans="1:29" x14ac:dyDescent="0.3">
      <c r="A1520" s="11"/>
      <c r="B1520" s="11"/>
      <c r="C1520" s="11"/>
      <c r="D1520" s="11"/>
      <c r="E1520" s="11"/>
      <c r="F1520" s="11"/>
      <c r="G1520" s="11"/>
      <c r="H1520" s="11"/>
      <c r="I1520" s="11"/>
      <c r="J1520" s="11"/>
      <c r="K1520" s="11"/>
      <c r="L1520" s="11"/>
      <c r="M1520" s="11"/>
      <c r="N1520" s="11"/>
      <c r="O1520" s="11"/>
      <c r="P1520" s="11"/>
      <c r="Q1520" s="11"/>
      <c r="R1520" s="11"/>
      <c r="S1520" s="11"/>
      <c r="T1520" s="11"/>
      <c r="U1520" s="11"/>
      <c r="V1520" s="11"/>
      <c r="W1520" s="11"/>
      <c r="X1520" s="11"/>
      <c r="Y1520" s="11"/>
      <c r="Z1520" s="11"/>
      <c r="AA1520" s="11"/>
      <c r="AB1520" s="11"/>
      <c r="AC1520" s="11"/>
    </row>
    <row r="1521" spans="1:29" x14ac:dyDescent="0.3">
      <c r="A1521" s="11"/>
      <c r="B1521" s="11"/>
      <c r="C1521" s="11"/>
      <c r="D1521" s="11"/>
      <c r="E1521" s="11"/>
      <c r="F1521" s="11"/>
      <c r="G1521" s="11"/>
      <c r="H1521" s="11"/>
      <c r="I1521" s="11"/>
      <c r="J1521" s="11"/>
      <c r="K1521" s="11"/>
      <c r="L1521" s="11"/>
      <c r="M1521" s="11"/>
      <c r="N1521" s="11"/>
      <c r="O1521" s="11"/>
      <c r="P1521" s="11"/>
      <c r="Q1521" s="11"/>
      <c r="R1521" s="11"/>
      <c r="S1521" s="11"/>
      <c r="T1521" s="11"/>
      <c r="U1521" s="11"/>
      <c r="V1521" s="11"/>
      <c r="W1521" s="11"/>
      <c r="X1521" s="11"/>
      <c r="Y1521" s="11"/>
      <c r="Z1521" s="11"/>
      <c r="AA1521" s="11"/>
      <c r="AB1521" s="11"/>
      <c r="AC1521" s="11"/>
    </row>
    <row r="1522" spans="1:29" x14ac:dyDescent="0.3">
      <c r="A1522" s="11"/>
      <c r="B1522" s="11"/>
      <c r="C1522" s="11"/>
      <c r="D1522" s="11"/>
      <c r="E1522" s="11"/>
      <c r="F1522" s="11"/>
      <c r="G1522" s="11"/>
      <c r="H1522" s="11"/>
      <c r="I1522" s="11"/>
      <c r="J1522" s="11"/>
      <c r="K1522" s="11"/>
      <c r="L1522" s="11"/>
      <c r="M1522" s="11"/>
      <c r="N1522" s="11"/>
      <c r="O1522" s="11"/>
      <c r="P1522" s="11"/>
      <c r="Q1522" s="11"/>
      <c r="R1522" s="11"/>
      <c r="S1522" s="11"/>
      <c r="T1522" s="11"/>
      <c r="U1522" s="11"/>
      <c r="V1522" s="11"/>
      <c r="W1522" s="11"/>
      <c r="X1522" s="11"/>
      <c r="Y1522" s="11"/>
      <c r="Z1522" s="11"/>
      <c r="AA1522" s="11"/>
      <c r="AB1522" s="11"/>
      <c r="AC1522" s="11"/>
    </row>
    <row r="1523" spans="1:29" x14ac:dyDescent="0.3">
      <c r="A1523" s="11"/>
      <c r="B1523" s="11"/>
      <c r="C1523" s="11"/>
      <c r="D1523" s="11"/>
      <c r="E1523" s="11"/>
      <c r="F1523" s="11"/>
      <c r="G1523" s="11"/>
      <c r="H1523" s="11"/>
      <c r="I1523" s="11"/>
      <c r="J1523" s="11"/>
      <c r="K1523" s="11"/>
      <c r="L1523" s="11"/>
      <c r="M1523" s="11"/>
      <c r="N1523" s="11"/>
      <c r="O1523" s="11"/>
      <c r="P1523" s="11"/>
      <c r="Q1523" s="11"/>
      <c r="R1523" s="11"/>
      <c r="S1523" s="11"/>
      <c r="T1523" s="11"/>
      <c r="U1523" s="11"/>
      <c r="V1523" s="11"/>
      <c r="W1523" s="11"/>
      <c r="X1523" s="11"/>
      <c r="Y1523" s="11"/>
      <c r="Z1523" s="11"/>
      <c r="AA1523" s="11"/>
      <c r="AB1523" s="11"/>
      <c r="AC1523" s="11"/>
    </row>
    <row r="1524" spans="1:29" x14ac:dyDescent="0.3">
      <c r="A1524" s="11"/>
      <c r="B1524" s="11"/>
      <c r="C1524" s="11"/>
      <c r="D1524" s="11"/>
      <c r="E1524" s="11"/>
      <c r="F1524" s="11"/>
      <c r="G1524" s="11"/>
      <c r="H1524" s="11"/>
      <c r="I1524" s="11"/>
      <c r="J1524" s="11"/>
      <c r="K1524" s="11"/>
      <c r="L1524" s="11"/>
      <c r="M1524" s="11"/>
      <c r="N1524" s="11"/>
      <c r="O1524" s="11"/>
      <c r="P1524" s="11"/>
      <c r="Q1524" s="11"/>
      <c r="R1524" s="11"/>
      <c r="S1524" s="11"/>
      <c r="T1524" s="11"/>
      <c r="U1524" s="11"/>
      <c r="V1524" s="11"/>
      <c r="W1524" s="11"/>
      <c r="X1524" s="11"/>
      <c r="Y1524" s="11"/>
      <c r="Z1524" s="11"/>
      <c r="AA1524" s="11"/>
      <c r="AB1524" s="11"/>
      <c r="AC1524" s="11"/>
    </row>
    <row r="1525" spans="1:29" x14ac:dyDescent="0.3">
      <c r="A1525" s="11"/>
      <c r="B1525" s="11"/>
      <c r="C1525" s="11"/>
      <c r="D1525" s="11"/>
      <c r="E1525" s="11"/>
      <c r="F1525" s="11"/>
      <c r="G1525" s="11"/>
      <c r="H1525" s="11"/>
      <c r="I1525" s="11"/>
      <c r="J1525" s="11"/>
      <c r="K1525" s="11"/>
      <c r="L1525" s="11"/>
      <c r="M1525" s="11"/>
      <c r="N1525" s="11"/>
      <c r="O1525" s="11"/>
      <c r="P1525" s="11"/>
      <c r="Q1525" s="11"/>
      <c r="R1525" s="11"/>
      <c r="S1525" s="11"/>
      <c r="T1525" s="11"/>
      <c r="U1525" s="11"/>
      <c r="V1525" s="11"/>
      <c r="W1525" s="11"/>
      <c r="X1525" s="11"/>
      <c r="Y1525" s="11"/>
      <c r="Z1525" s="11"/>
      <c r="AA1525" s="11"/>
      <c r="AB1525" s="11"/>
      <c r="AC1525" s="11"/>
    </row>
    <row r="1526" spans="1:29" x14ac:dyDescent="0.3">
      <c r="A1526" s="11"/>
      <c r="B1526" s="11"/>
      <c r="C1526" s="11"/>
      <c r="D1526" s="11"/>
      <c r="E1526" s="11"/>
      <c r="F1526" s="11"/>
      <c r="G1526" s="11"/>
      <c r="H1526" s="11"/>
      <c r="I1526" s="11"/>
      <c r="J1526" s="11"/>
      <c r="K1526" s="11"/>
      <c r="L1526" s="11"/>
      <c r="M1526" s="11"/>
      <c r="N1526" s="11"/>
      <c r="O1526" s="11"/>
      <c r="P1526" s="11"/>
      <c r="Q1526" s="11"/>
      <c r="R1526" s="11"/>
      <c r="S1526" s="11"/>
      <c r="T1526" s="11"/>
      <c r="U1526" s="11"/>
      <c r="V1526" s="11"/>
      <c r="W1526" s="11"/>
      <c r="X1526" s="11"/>
      <c r="Y1526" s="11"/>
      <c r="Z1526" s="11"/>
      <c r="AA1526" s="11"/>
      <c r="AB1526" s="11"/>
      <c r="AC1526" s="11"/>
    </row>
    <row r="1527" spans="1:29" x14ac:dyDescent="0.3">
      <c r="A1527" s="11"/>
      <c r="B1527" s="11"/>
      <c r="C1527" s="11"/>
      <c r="D1527" s="11"/>
      <c r="E1527" s="11"/>
      <c r="F1527" s="11"/>
      <c r="G1527" s="11"/>
      <c r="H1527" s="11"/>
      <c r="I1527" s="11"/>
      <c r="J1527" s="11"/>
      <c r="K1527" s="11"/>
      <c r="L1527" s="11"/>
      <c r="M1527" s="11"/>
      <c r="N1527" s="11"/>
      <c r="O1527" s="11"/>
      <c r="P1527" s="11"/>
      <c r="Q1527" s="11"/>
      <c r="R1527" s="11"/>
      <c r="S1527" s="11"/>
      <c r="T1527" s="11"/>
      <c r="U1527" s="11"/>
      <c r="V1527" s="11"/>
      <c r="W1527" s="11"/>
      <c r="X1527" s="11"/>
      <c r="Y1527" s="11"/>
      <c r="Z1527" s="11"/>
      <c r="AA1527" s="11"/>
      <c r="AB1527" s="11"/>
      <c r="AC1527" s="11"/>
    </row>
    <row r="1528" spans="1:29" x14ac:dyDescent="0.3">
      <c r="A1528" s="11"/>
      <c r="B1528" s="11"/>
      <c r="C1528" s="11"/>
      <c r="D1528" s="11"/>
      <c r="E1528" s="11"/>
      <c r="F1528" s="11"/>
      <c r="G1528" s="11"/>
      <c r="H1528" s="11"/>
      <c r="I1528" s="11"/>
      <c r="J1528" s="11"/>
      <c r="K1528" s="11"/>
      <c r="L1528" s="11"/>
      <c r="M1528" s="11"/>
      <c r="N1528" s="11"/>
      <c r="O1528" s="11"/>
      <c r="P1528" s="11"/>
      <c r="Q1528" s="11"/>
      <c r="R1528" s="11"/>
      <c r="S1528" s="11"/>
      <c r="T1528" s="11"/>
      <c r="U1528" s="11"/>
      <c r="V1528" s="11"/>
      <c r="W1528" s="11"/>
      <c r="X1528" s="11"/>
      <c r="Y1528" s="11"/>
      <c r="Z1528" s="11"/>
      <c r="AA1528" s="11"/>
      <c r="AB1528" s="11"/>
      <c r="AC1528" s="11"/>
    </row>
    <row r="1529" spans="1:29" x14ac:dyDescent="0.3">
      <c r="A1529" s="11"/>
      <c r="B1529" s="11"/>
      <c r="C1529" s="11"/>
      <c r="D1529" s="11"/>
      <c r="E1529" s="11"/>
      <c r="F1529" s="11"/>
      <c r="G1529" s="11"/>
      <c r="H1529" s="11"/>
      <c r="I1529" s="11"/>
      <c r="J1529" s="11"/>
      <c r="K1529" s="11"/>
      <c r="L1529" s="11"/>
      <c r="M1529" s="11"/>
      <c r="N1529" s="11"/>
      <c r="O1529" s="11"/>
      <c r="P1529" s="11"/>
      <c r="Q1529" s="11"/>
      <c r="R1529" s="11"/>
      <c r="S1529" s="11"/>
      <c r="T1529" s="11"/>
      <c r="U1529" s="11"/>
      <c r="V1529" s="11"/>
      <c r="W1529" s="11"/>
      <c r="X1529" s="11"/>
      <c r="Y1529" s="11"/>
      <c r="Z1529" s="11"/>
      <c r="AA1529" s="11"/>
      <c r="AB1529" s="11"/>
      <c r="AC1529" s="11"/>
    </row>
    <row r="1530" spans="1:29" x14ac:dyDescent="0.3">
      <c r="A1530" s="11"/>
      <c r="B1530" s="11"/>
      <c r="C1530" s="11"/>
      <c r="D1530" s="11"/>
      <c r="E1530" s="11"/>
      <c r="F1530" s="11"/>
      <c r="G1530" s="11"/>
      <c r="H1530" s="11"/>
      <c r="I1530" s="11"/>
      <c r="J1530" s="11"/>
      <c r="K1530" s="11"/>
      <c r="L1530" s="11"/>
      <c r="M1530" s="11"/>
      <c r="N1530" s="11"/>
      <c r="O1530" s="11"/>
      <c r="P1530" s="11"/>
      <c r="Q1530" s="11"/>
      <c r="R1530" s="11"/>
      <c r="S1530" s="11"/>
      <c r="T1530" s="11"/>
      <c r="U1530" s="11"/>
      <c r="V1530" s="11"/>
      <c r="W1530" s="11"/>
      <c r="X1530" s="11"/>
      <c r="Y1530" s="11"/>
      <c r="Z1530" s="11"/>
      <c r="AA1530" s="11"/>
      <c r="AB1530" s="11"/>
      <c r="AC1530" s="11"/>
    </row>
    <row r="1531" spans="1:29" x14ac:dyDescent="0.3">
      <c r="A1531" s="11"/>
      <c r="B1531" s="11"/>
      <c r="C1531" s="11"/>
      <c r="D1531" s="11"/>
      <c r="E1531" s="11"/>
      <c r="F1531" s="11"/>
      <c r="G1531" s="11"/>
      <c r="H1531" s="11"/>
      <c r="I1531" s="11"/>
      <c r="J1531" s="11"/>
      <c r="K1531" s="11"/>
      <c r="L1531" s="11"/>
      <c r="M1531" s="11"/>
      <c r="N1531" s="11"/>
      <c r="O1531" s="11"/>
      <c r="P1531" s="11"/>
      <c r="Q1531" s="11"/>
      <c r="R1531" s="11"/>
      <c r="S1531" s="11"/>
      <c r="T1531" s="11"/>
      <c r="U1531" s="11"/>
      <c r="V1531" s="11"/>
      <c r="W1531" s="11"/>
      <c r="X1531" s="11"/>
      <c r="Y1531" s="11"/>
      <c r="Z1531" s="11"/>
      <c r="AA1531" s="11"/>
      <c r="AB1531" s="11"/>
      <c r="AC1531" s="11"/>
    </row>
    <row r="1532" spans="1:29" x14ac:dyDescent="0.3">
      <c r="A1532" s="11"/>
      <c r="B1532" s="11"/>
      <c r="C1532" s="11"/>
      <c r="D1532" s="11"/>
      <c r="E1532" s="11"/>
      <c r="F1532" s="11"/>
      <c r="G1532" s="11"/>
      <c r="H1532" s="11"/>
      <c r="I1532" s="11"/>
      <c r="J1532" s="11"/>
      <c r="K1532" s="11"/>
      <c r="L1532" s="11"/>
      <c r="M1532" s="11"/>
      <c r="N1532" s="11"/>
      <c r="O1532" s="11"/>
      <c r="P1532" s="11"/>
      <c r="Q1532" s="11"/>
      <c r="R1532" s="11"/>
      <c r="S1532" s="11"/>
      <c r="T1532" s="11"/>
      <c r="U1532" s="11"/>
      <c r="V1532" s="11"/>
      <c r="W1532" s="11"/>
      <c r="X1532" s="11"/>
      <c r="Y1532" s="11"/>
      <c r="Z1532" s="11"/>
      <c r="AA1532" s="11"/>
      <c r="AB1532" s="11"/>
      <c r="AC1532" s="11"/>
    </row>
    <row r="1533" spans="1:29" x14ac:dyDescent="0.3">
      <c r="A1533" s="11"/>
      <c r="B1533" s="11"/>
      <c r="C1533" s="11"/>
      <c r="D1533" s="11"/>
      <c r="E1533" s="11"/>
      <c r="F1533" s="11"/>
      <c r="G1533" s="11"/>
      <c r="H1533" s="11"/>
      <c r="I1533" s="11"/>
      <c r="J1533" s="11"/>
      <c r="K1533" s="11"/>
      <c r="L1533" s="11"/>
      <c r="M1533" s="11"/>
      <c r="N1533" s="11"/>
      <c r="O1533" s="11"/>
      <c r="P1533" s="11"/>
      <c r="Q1533" s="11"/>
      <c r="R1533" s="11"/>
      <c r="S1533" s="11"/>
      <c r="T1533" s="11"/>
      <c r="U1533" s="11"/>
      <c r="V1533" s="11"/>
      <c r="W1533" s="11"/>
      <c r="X1533" s="11"/>
      <c r="Y1533" s="11"/>
      <c r="Z1533" s="11"/>
      <c r="AA1533" s="11"/>
      <c r="AB1533" s="11"/>
      <c r="AC1533" s="11"/>
    </row>
    <row r="1534" spans="1:29" x14ac:dyDescent="0.3">
      <c r="A1534" s="11"/>
      <c r="B1534" s="11"/>
      <c r="C1534" s="11"/>
      <c r="D1534" s="11"/>
      <c r="E1534" s="11"/>
      <c r="F1534" s="11"/>
      <c r="G1534" s="11"/>
      <c r="H1534" s="11"/>
      <c r="I1534" s="11"/>
      <c r="J1534" s="11"/>
      <c r="K1534" s="11"/>
      <c r="L1534" s="11"/>
      <c r="M1534" s="11"/>
      <c r="N1534" s="11"/>
      <c r="O1534" s="11"/>
      <c r="P1534" s="11"/>
      <c r="Q1534" s="11"/>
      <c r="R1534" s="11"/>
      <c r="S1534" s="11"/>
      <c r="T1534" s="11"/>
      <c r="U1534" s="11"/>
      <c r="V1534" s="11"/>
      <c r="W1534" s="11"/>
      <c r="X1534" s="11"/>
      <c r="Y1534" s="11"/>
      <c r="Z1534" s="11"/>
      <c r="AA1534" s="11"/>
      <c r="AB1534" s="11"/>
      <c r="AC1534" s="11"/>
    </row>
    <row r="1535" spans="1:29" x14ac:dyDescent="0.3">
      <c r="A1535" s="11"/>
      <c r="B1535" s="11"/>
      <c r="C1535" s="11"/>
      <c r="D1535" s="11"/>
      <c r="E1535" s="11"/>
      <c r="F1535" s="11"/>
      <c r="G1535" s="11"/>
      <c r="H1535" s="11"/>
      <c r="I1535" s="11"/>
      <c r="J1535" s="11"/>
      <c r="K1535" s="11"/>
      <c r="L1535" s="11"/>
      <c r="M1535" s="11"/>
      <c r="N1535" s="11"/>
      <c r="O1535" s="11"/>
      <c r="P1535" s="11"/>
      <c r="Q1535" s="11"/>
      <c r="R1535" s="11"/>
      <c r="S1535" s="11"/>
      <c r="T1535" s="11"/>
      <c r="U1535" s="11"/>
      <c r="V1535" s="11"/>
      <c r="W1535" s="11"/>
      <c r="X1535" s="11"/>
      <c r="Y1535" s="11"/>
      <c r="Z1535" s="11"/>
      <c r="AA1535" s="11"/>
      <c r="AB1535" s="11"/>
      <c r="AC1535" s="11"/>
    </row>
    <row r="1536" spans="1:29" x14ac:dyDescent="0.3">
      <c r="A1536" s="11"/>
      <c r="B1536" s="11"/>
      <c r="C1536" s="11"/>
      <c r="D1536" s="11"/>
      <c r="E1536" s="11"/>
      <c r="F1536" s="11"/>
      <c r="G1536" s="11"/>
      <c r="H1536" s="11"/>
      <c r="I1536" s="11"/>
      <c r="J1536" s="11"/>
      <c r="K1536" s="11"/>
      <c r="L1536" s="11"/>
      <c r="M1536" s="11"/>
      <c r="N1536" s="11"/>
      <c r="O1536" s="11"/>
      <c r="P1536" s="11"/>
      <c r="Q1536" s="11"/>
      <c r="R1536" s="11"/>
      <c r="S1536" s="11"/>
      <c r="T1536" s="11"/>
      <c r="U1536" s="11"/>
      <c r="V1536" s="11"/>
      <c r="W1536" s="11"/>
      <c r="X1536" s="11"/>
      <c r="Y1536" s="11"/>
      <c r="Z1536" s="11"/>
      <c r="AA1536" s="11"/>
      <c r="AB1536" s="11"/>
      <c r="AC1536" s="11"/>
    </row>
    <row r="1537" spans="1:29" x14ac:dyDescent="0.3">
      <c r="A1537" s="11"/>
      <c r="B1537" s="11"/>
      <c r="C1537" s="11"/>
      <c r="D1537" s="11"/>
      <c r="E1537" s="11"/>
      <c r="F1537" s="11"/>
      <c r="G1537" s="11"/>
      <c r="H1537" s="11"/>
      <c r="I1537" s="11"/>
      <c r="J1537" s="11"/>
      <c r="K1537" s="11"/>
      <c r="L1537" s="11"/>
      <c r="M1537" s="11"/>
      <c r="N1537" s="11"/>
      <c r="O1537" s="11"/>
      <c r="P1537" s="11"/>
      <c r="Q1537" s="11"/>
      <c r="R1537" s="11"/>
      <c r="S1537" s="11"/>
      <c r="T1537" s="11"/>
      <c r="U1537" s="11"/>
      <c r="V1537" s="11"/>
      <c r="W1537" s="11"/>
      <c r="X1537" s="11"/>
      <c r="Y1537" s="11"/>
      <c r="Z1537" s="11"/>
      <c r="AA1537" s="11"/>
      <c r="AB1537" s="11"/>
      <c r="AC1537" s="11"/>
    </row>
    <row r="1538" spans="1:29" x14ac:dyDescent="0.3">
      <c r="A1538" s="11"/>
      <c r="B1538" s="11"/>
      <c r="C1538" s="11"/>
      <c r="D1538" s="11"/>
      <c r="E1538" s="11"/>
      <c r="F1538" s="11"/>
      <c r="G1538" s="11"/>
      <c r="H1538" s="11"/>
      <c r="I1538" s="11"/>
      <c r="J1538" s="11"/>
      <c r="K1538" s="11"/>
      <c r="L1538" s="11"/>
      <c r="M1538" s="11"/>
      <c r="N1538" s="11"/>
      <c r="O1538" s="11"/>
      <c r="P1538" s="11"/>
      <c r="Q1538" s="11"/>
      <c r="R1538" s="11"/>
      <c r="S1538" s="11"/>
      <c r="T1538" s="11"/>
      <c r="U1538" s="11"/>
      <c r="V1538" s="11"/>
      <c r="W1538" s="11"/>
      <c r="X1538" s="11"/>
      <c r="Y1538" s="11"/>
      <c r="Z1538" s="11"/>
      <c r="AA1538" s="11"/>
      <c r="AB1538" s="11"/>
      <c r="AC1538" s="11"/>
    </row>
    <row r="1539" spans="1:29" x14ac:dyDescent="0.3">
      <c r="A1539" s="11"/>
      <c r="B1539" s="11"/>
      <c r="C1539" s="11"/>
      <c r="D1539" s="11"/>
      <c r="E1539" s="11"/>
      <c r="F1539" s="11"/>
      <c r="G1539" s="11"/>
      <c r="H1539" s="11"/>
      <c r="I1539" s="11"/>
      <c r="J1539" s="11"/>
      <c r="K1539" s="11"/>
      <c r="L1539" s="11"/>
      <c r="M1539" s="11"/>
      <c r="N1539" s="11"/>
      <c r="O1539" s="11"/>
      <c r="P1539" s="11"/>
      <c r="Q1539" s="11"/>
      <c r="R1539" s="11"/>
      <c r="S1539" s="11"/>
      <c r="T1539" s="11"/>
      <c r="U1539" s="11"/>
      <c r="V1539" s="11"/>
      <c r="W1539" s="11"/>
      <c r="X1539" s="11"/>
      <c r="Y1539" s="11"/>
      <c r="Z1539" s="11"/>
      <c r="AA1539" s="11"/>
      <c r="AB1539" s="11"/>
      <c r="AC1539" s="11"/>
    </row>
    <row r="1540" spans="1:29" x14ac:dyDescent="0.3">
      <c r="A1540" s="11"/>
      <c r="B1540" s="11"/>
      <c r="C1540" s="11"/>
      <c r="D1540" s="11"/>
      <c r="E1540" s="11"/>
      <c r="F1540" s="11"/>
      <c r="G1540" s="11"/>
      <c r="H1540" s="11"/>
      <c r="I1540" s="11"/>
      <c r="J1540" s="11"/>
      <c r="K1540" s="11"/>
      <c r="L1540" s="11"/>
      <c r="M1540" s="11"/>
      <c r="N1540" s="11"/>
      <c r="O1540" s="11"/>
      <c r="P1540" s="11"/>
      <c r="Q1540" s="11"/>
      <c r="R1540" s="11"/>
      <c r="S1540" s="11"/>
      <c r="T1540" s="11"/>
      <c r="U1540" s="11"/>
      <c r="V1540" s="11"/>
      <c r="W1540" s="11"/>
      <c r="X1540" s="11"/>
      <c r="Y1540" s="11"/>
      <c r="Z1540" s="11"/>
      <c r="AA1540" s="11"/>
      <c r="AB1540" s="11"/>
      <c r="AC1540" s="11"/>
    </row>
    <row r="1541" spans="1:29" x14ac:dyDescent="0.3">
      <c r="A1541" s="11"/>
      <c r="B1541" s="11"/>
      <c r="C1541" s="11"/>
      <c r="D1541" s="11"/>
      <c r="E1541" s="11"/>
      <c r="F1541" s="11"/>
      <c r="G1541" s="11"/>
      <c r="H1541" s="11"/>
      <c r="I1541" s="11"/>
      <c r="J1541" s="11"/>
      <c r="K1541" s="11"/>
      <c r="L1541" s="11"/>
      <c r="M1541" s="11"/>
      <c r="N1541" s="11"/>
      <c r="O1541" s="11"/>
      <c r="P1541" s="11"/>
      <c r="Q1541" s="11"/>
      <c r="R1541" s="11"/>
      <c r="S1541" s="11"/>
      <c r="T1541" s="11"/>
      <c r="U1541" s="11"/>
      <c r="V1541" s="11"/>
      <c r="W1541" s="11"/>
      <c r="X1541" s="11"/>
      <c r="Y1541" s="11"/>
      <c r="Z1541" s="11"/>
      <c r="AA1541" s="11"/>
      <c r="AB1541" s="11"/>
      <c r="AC1541" s="11"/>
    </row>
    <row r="1542" spans="1:29" x14ac:dyDescent="0.3">
      <c r="A1542" s="11"/>
      <c r="B1542" s="11"/>
      <c r="C1542" s="11"/>
      <c r="D1542" s="11"/>
      <c r="E1542" s="11"/>
      <c r="F1542" s="11"/>
      <c r="G1542" s="11"/>
      <c r="H1542" s="11"/>
      <c r="I1542" s="11"/>
      <c r="J1542" s="11"/>
      <c r="K1542" s="11"/>
      <c r="L1542" s="11"/>
      <c r="M1542" s="11"/>
      <c r="N1542" s="11"/>
      <c r="O1542" s="11"/>
      <c r="P1542" s="11"/>
      <c r="Q1542" s="11"/>
      <c r="R1542" s="11"/>
      <c r="S1542" s="11"/>
      <c r="T1542" s="11"/>
      <c r="U1542" s="11"/>
      <c r="V1542" s="11"/>
      <c r="W1542" s="11"/>
      <c r="X1542" s="11"/>
      <c r="Y1542" s="11"/>
      <c r="Z1542" s="11"/>
      <c r="AA1542" s="11"/>
      <c r="AB1542" s="11"/>
      <c r="AC1542" s="11"/>
    </row>
    <row r="1543" spans="1:29" x14ac:dyDescent="0.3">
      <c r="A1543" s="11"/>
      <c r="B1543" s="11"/>
      <c r="C1543" s="11"/>
      <c r="D1543" s="11"/>
      <c r="E1543" s="11"/>
      <c r="F1543" s="11"/>
      <c r="G1543" s="11"/>
      <c r="H1543" s="11"/>
      <c r="I1543" s="11"/>
      <c r="J1543" s="11"/>
      <c r="K1543" s="11"/>
      <c r="L1543" s="11"/>
      <c r="M1543" s="11"/>
      <c r="N1543" s="11"/>
      <c r="O1543" s="11"/>
      <c r="P1543" s="11"/>
      <c r="Q1543" s="11"/>
      <c r="R1543" s="11"/>
      <c r="S1543" s="11"/>
      <c r="T1543" s="11"/>
      <c r="U1543" s="11"/>
      <c r="V1543" s="11"/>
      <c r="W1543" s="11"/>
      <c r="X1543" s="11"/>
      <c r="Y1543" s="11"/>
      <c r="Z1543" s="11"/>
      <c r="AA1543" s="11"/>
      <c r="AB1543" s="11"/>
      <c r="AC1543" s="11"/>
    </row>
    <row r="1544" spans="1:29" x14ac:dyDescent="0.3">
      <c r="A1544" s="11"/>
      <c r="B1544" s="11"/>
      <c r="C1544" s="11"/>
      <c r="D1544" s="11"/>
      <c r="E1544" s="11"/>
      <c r="F1544" s="11"/>
      <c r="G1544" s="11"/>
      <c r="H1544" s="11"/>
      <c r="I1544" s="11"/>
      <c r="J1544" s="11"/>
      <c r="K1544" s="11"/>
      <c r="L1544" s="11"/>
      <c r="M1544" s="11"/>
      <c r="N1544" s="11"/>
      <c r="O1544" s="11"/>
      <c r="P1544" s="11"/>
      <c r="Q1544" s="11"/>
      <c r="R1544" s="11"/>
      <c r="S1544" s="11"/>
      <c r="T1544" s="11"/>
      <c r="U1544" s="11"/>
      <c r="V1544" s="11"/>
      <c r="W1544" s="11"/>
      <c r="X1544" s="11"/>
      <c r="Y1544" s="11"/>
      <c r="Z1544" s="11"/>
      <c r="AA1544" s="11"/>
      <c r="AB1544" s="11"/>
      <c r="AC1544" s="11"/>
    </row>
    <row r="1545" spans="1:29" x14ac:dyDescent="0.3">
      <c r="A1545" s="11"/>
      <c r="B1545" s="11"/>
      <c r="C1545" s="11"/>
      <c r="D1545" s="11"/>
      <c r="E1545" s="11"/>
      <c r="F1545" s="11"/>
      <c r="G1545" s="11"/>
      <c r="H1545" s="11"/>
      <c r="I1545" s="11"/>
      <c r="J1545" s="11"/>
      <c r="K1545" s="11"/>
      <c r="L1545" s="11"/>
      <c r="M1545" s="11"/>
      <c r="N1545" s="11"/>
      <c r="O1545" s="11"/>
      <c r="P1545" s="11"/>
      <c r="Q1545" s="11"/>
      <c r="R1545" s="11"/>
      <c r="S1545" s="11"/>
      <c r="T1545" s="11"/>
      <c r="U1545" s="11"/>
      <c r="V1545" s="11"/>
      <c r="W1545" s="11"/>
      <c r="X1545" s="11"/>
      <c r="Y1545" s="11"/>
      <c r="Z1545" s="11"/>
      <c r="AA1545" s="11"/>
      <c r="AB1545" s="11"/>
      <c r="AC1545" s="11"/>
    </row>
    <row r="1546" spans="1:29" x14ac:dyDescent="0.3">
      <c r="A1546" s="11"/>
      <c r="B1546" s="11"/>
      <c r="C1546" s="11"/>
      <c r="D1546" s="11"/>
      <c r="E1546" s="11"/>
      <c r="F1546" s="11"/>
      <c r="G1546" s="11"/>
      <c r="H1546" s="11"/>
      <c r="I1546" s="11"/>
      <c r="J1546" s="11"/>
      <c r="K1546" s="11"/>
      <c r="L1546" s="11"/>
      <c r="M1546" s="11"/>
      <c r="N1546" s="11"/>
      <c r="O1546" s="11"/>
      <c r="P1546" s="11"/>
      <c r="Q1546" s="11"/>
      <c r="R1546" s="11"/>
      <c r="S1546" s="11"/>
      <c r="T1546" s="11"/>
      <c r="U1546" s="11"/>
      <c r="V1546" s="11"/>
      <c r="W1546" s="11"/>
      <c r="X1546" s="11"/>
      <c r="Y1546" s="11"/>
      <c r="Z1546" s="11"/>
      <c r="AA1546" s="11"/>
      <c r="AB1546" s="11"/>
      <c r="AC1546" s="11"/>
    </row>
    <row r="1547" spans="1:29" x14ac:dyDescent="0.3">
      <c r="A1547" s="11"/>
      <c r="B1547" s="11"/>
      <c r="C1547" s="11"/>
      <c r="D1547" s="11"/>
      <c r="E1547" s="11"/>
      <c r="F1547" s="11"/>
      <c r="G1547" s="11"/>
      <c r="H1547" s="11"/>
      <c r="I1547" s="11"/>
      <c r="J1547" s="11"/>
      <c r="K1547" s="11"/>
      <c r="L1547" s="11"/>
      <c r="M1547" s="11"/>
      <c r="N1547" s="11"/>
      <c r="O1547" s="11"/>
      <c r="P1547" s="11"/>
      <c r="Q1547" s="11"/>
      <c r="R1547" s="11"/>
      <c r="S1547" s="11"/>
      <c r="T1547" s="11"/>
      <c r="U1547" s="11"/>
      <c r="V1547" s="11"/>
      <c r="W1547" s="11"/>
      <c r="X1547" s="11"/>
      <c r="Y1547" s="11"/>
      <c r="Z1547" s="11"/>
      <c r="AA1547" s="11"/>
      <c r="AB1547" s="11"/>
      <c r="AC1547" s="11"/>
    </row>
    <row r="1548" spans="1:29" x14ac:dyDescent="0.3">
      <c r="A1548" s="11"/>
      <c r="B1548" s="11"/>
      <c r="C1548" s="11"/>
      <c r="D1548" s="11"/>
      <c r="E1548" s="11"/>
      <c r="F1548" s="11"/>
      <c r="G1548" s="11"/>
      <c r="H1548" s="11"/>
      <c r="I1548" s="11"/>
      <c r="J1548" s="11"/>
      <c r="K1548" s="11"/>
      <c r="L1548" s="11"/>
      <c r="M1548" s="11"/>
      <c r="N1548" s="11"/>
      <c r="O1548" s="11"/>
      <c r="P1548" s="11"/>
      <c r="Q1548" s="11"/>
      <c r="R1548" s="11"/>
      <c r="S1548" s="11"/>
      <c r="T1548" s="11"/>
      <c r="U1548" s="11"/>
      <c r="V1548" s="11"/>
      <c r="W1548" s="11"/>
      <c r="X1548" s="11"/>
      <c r="Y1548" s="11"/>
      <c r="Z1548" s="11"/>
      <c r="AA1548" s="11"/>
      <c r="AB1548" s="11"/>
      <c r="AC1548" s="11"/>
    </row>
    <row r="1549" spans="1:29" x14ac:dyDescent="0.3">
      <c r="A1549" s="11"/>
      <c r="B1549" s="11"/>
      <c r="C1549" s="11"/>
      <c r="D1549" s="11"/>
      <c r="E1549" s="11"/>
      <c r="F1549" s="11"/>
      <c r="G1549" s="11"/>
      <c r="H1549" s="11"/>
      <c r="I1549" s="11"/>
      <c r="J1549" s="11"/>
      <c r="K1549" s="11"/>
      <c r="L1549" s="11"/>
      <c r="M1549" s="11"/>
      <c r="N1549" s="11"/>
      <c r="O1549" s="11"/>
      <c r="P1549" s="11"/>
      <c r="Q1549" s="11"/>
      <c r="R1549" s="11"/>
      <c r="S1549" s="11"/>
      <c r="T1549" s="11"/>
      <c r="U1549" s="11"/>
      <c r="V1549" s="11"/>
      <c r="W1549" s="11"/>
      <c r="X1549" s="11"/>
      <c r="Y1549" s="11"/>
      <c r="Z1549" s="11"/>
      <c r="AA1549" s="11"/>
      <c r="AB1549" s="11"/>
      <c r="AC1549" s="11"/>
    </row>
    <row r="1550" spans="1:29" x14ac:dyDescent="0.3">
      <c r="A1550" s="11"/>
      <c r="B1550" s="11"/>
      <c r="C1550" s="11"/>
      <c r="D1550" s="11"/>
      <c r="E1550" s="11"/>
      <c r="F1550" s="11"/>
      <c r="G1550" s="11"/>
      <c r="H1550" s="11"/>
      <c r="I1550" s="11"/>
      <c r="J1550" s="11"/>
      <c r="K1550" s="11"/>
      <c r="L1550" s="11"/>
      <c r="M1550" s="11"/>
      <c r="N1550" s="11"/>
      <c r="O1550" s="11"/>
      <c r="P1550" s="11"/>
      <c r="Q1550" s="11"/>
      <c r="R1550" s="11"/>
      <c r="S1550" s="11"/>
      <c r="T1550" s="11"/>
      <c r="U1550" s="11"/>
      <c r="V1550" s="11"/>
      <c r="W1550" s="11"/>
      <c r="X1550" s="11"/>
      <c r="Y1550" s="11"/>
      <c r="Z1550" s="11"/>
      <c r="AA1550" s="11"/>
      <c r="AB1550" s="11"/>
      <c r="AC1550" s="11"/>
    </row>
    <row r="1551" spans="1:29" x14ac:dyDescent="0.3">
      <c r="A1551" s="11"/>
      <c r="B1551" s="11"/>
      <c r="C1551" s="11"/>
      <c r="D1551" s="11"/>
      <c r="E1551" s="11"/>
      <c r="F1551" s="11"/>
      <c r="G1551" s="11"/>
      <c r="H1551" s="11"/>
      <c r="I1551" s="11"/>
      <c r="J1551" s="11"/>
      <c r="K1551" s="11"/>
      <c r="L1551" s="11"/>
      <c r="M1551" s="11"/>
      <c r="N1551" s="11"/>
      <c r="O1551" s="11"/>
      <c r="P1551" s="11"/>
      <c r="Q1551" s="11"/>
      <c r="R1551" s="11"/>
      <c r="S1551" s="11"/>
      <c r="T1551" s="11"/>
      <c r="U1551" s="11"/>
      <c r="V1551" s="11"/>
      <c r="W1551" s="11"/>
      <c r="X1551" s="11"/>
      <c r="Y1551" s="11"/>
      <c r="Z1551" s="11"/>
      <c r="AA1551" s="11"/>
      <c r="AB1551" s="11"/>
      <c r="AC1551" s="11"/>
    </row>
    <row r="1552" spans="1:29" x14ac:dyDescent="0.3">
      <c r="A1552" s="11"/>
      <c r="B1552" s="11"/>
      <c r="C1552" s="11"/>
      <c r="D1552" s="11"/>
      <c r="E1552" s="11"/>
      <c r="F1552" s="11"/>
      <c r="G1552" s="11"/>
      <c r="H1552" s="11"/>
      <c r="I1552" s="11"/>
      <c r="J1552" s="11"/>
      <c r="K1552" s="11"/>
      <c r="L1552" s="11"/>
      <c r="M1552" s="11"/>
      <c r="N1552" s="11"/>
      <c r="O1552" s="11"/>
      <c r="P1552" s="11"/>
      <c r="Q1552" s="11"/>
      <c r="R1552" s="11"/>
      <c r="S1552" s="11"/>
      <c r="T1552" s="11"/>
      <c r="U1552" s="11"/>
      <c r="V1552" s="11"/>
      <c r="W1552" s="11"/>
      <c r="X1552" s="11"/>
      <c r="Y1552" s="11"/>
      <c r="Z1552" s="11"/>
      <c r="AA1552" s="11"/>
      <c r="AB1552" s="11"/>
      <c r="AC1552" s="11"/>
    </row>
    <row r="1553" spans="1:29" x14ac:dyDescent="0.3">
      <c r="A1553" s="11"/>
      <c r="B1553" s="11"/>
      <c r="C1553" s="11"/>
      <c r="D1553" s="11"/>
      <c r="E1553" s="11"/>
      <c r="F1553" s="11"/>
      <c r="G1553" s="11"/>
      <c r="H1553" s="11"/>
      <c r="I1553" s="11"/>
      <c r="J1553" s="11"/>
      <c r="K1553" s="11"/>
      <c r="L1553" s="11"/>
      <c r="M1553" s="11"/>
      <c r="N1553" s="11"/>
      <c r="O1553" s="11"/>
      <c r="P1553" s="11"/>
      <c r="Q1553" s="11"/>
      <c r="R1553" s="11"/>
      <c r="S1553" s="11"/>
      <c r="T1553" s="11"/>
      <c r="U1553" s="11"/>
      <c r="V1553" s="11"/>
      <c r="W1553" s="11"/>
      <c r="X1553" s="11"/>
      <c r="Y1553" s="11"/>
      <c r="Z1553" s="11"/>
      <c r="AA1553" s="11"/>
      <c r="AB1553" s="11"/>
      <c r="AC1553" s="11"/>
    </row>
    <row r="1554" spans="1:29" x14ac:dyDescent="0.3">
      <c r="A1554" s="11"/>
      <c r="B1554" s="11"/>
      <c r="C1554" s="11"/>
      <c r="D1554" s="11"/>
      <c r="E1554" s="11"/>
      <c r="F1554" s="11"/>
      <c r="G1554" s="11"/>
      <c r="H1554" s="11"/>
      <c r="I1554" s="11"/>
      <c r="J1554" s="11"/>
      <c r="K1554" s="11"/>
      <c r="L1554" s="11"/>
      <c r="M1554" s="11"/>
      <c r="N1554" s="11"/>
      <c r="O1554" s="11"/>
      <c r="P1554" s="11"/>
      <c r="Q1554" s="11"/>
      <c r="R1554" s="11"/>
      <c r="S1554" s="11"/>
      <c r="T1554" s="11"/>
      <c r="U1554" s="11"/>
      <c r="V1554" s="11"/>
      <c r="W1554" s="11"/>
      <c r="X1554" s="11"/>
      <c r="Y1554" s="11"/>
      <c r="Z1554" s="11"/>
      <c r="AA1554" s="11"/>
      <c r="AB1554" s="11"/>
      <c r="AC1554" s="11"/>
    </row>
    <row r="1555" spans="1:29" x14ac:dyDescent="0.3">
      <c r="A1555" s="11"/>
      <c r="B1555" s="11"/>
      <c r="C1555" s="11"/>
      <c r="D1555" s="11"/>
      <c r="E1555" s="11"/>
      <c r="F1555" s="11"/>
      <c r="G1555" s="11"/>
      <c r="H1555" s="11"/>
      <c r="I1555" s="11"/>
      <c r="J1555" s="11"/>
      <c r="K1555" s="11"/>
      <c r="L1555" s="11"/>
      <c r="M1555" s="11"/>
      <c r="N1555" s="11"/>
      <c r="O1555" s="11"/>
      <c r="P1555" s="11"/>
      <c r="Q1555" s="11"/>
      <c r="R1555" s="11"/>
      <c r="S1555" s="11"/>
      <c r="T1555" s="11"/>
      <c r="U1555" s="11"/>
      <c r="V1555" s="11"/>
      <c r="W1555" s="11"/>
      <c r="X1555" s="11"/>
      <c r="Y1555" s="11"/>
      <c r="Z1555" s="11"/>
      <c r="AA1555" s="11"/>
      <c r="AB1555" s="11"/>
      <c r="AC1555" s="11"/>
    </row>
    <row r="1556" spans="1:29" x14ac:dyDescent="0.3">
      <c r="A1556" s="11"/>
      <c r="B1556" s="11"/>
      <c r="C1556" s="11"/>
      <c r="D1556" s="11"/>
      <c r="E1556" s="11"/>
      <c r="F1556" s="11"/>
      <c r="G1556" s="11"/>
      <c r="H1556" s="11"/>
      <c r="I1556" s="11"/>
      <c r="J1556" s="11"/>
      <c r="K1556" s="11"/>
      <c r="L1556" s="11"/>
      <c r="M1556" s="11"/>
      <c r="N1556" s="11"/>
      <c r="O1556" s="11"/>
      <c r="P1556" s="11"/>
      <c r="Q1556" s="11"/>
      <c r="R1556" s="11"/>
      <c r="S1556" s="11"/>
      <c r="T1556" s="11"/>
      <c r="U1556" s="11"/>
      <c r="V1556" s="11"/>
      <c r="W1556" s="11"/>
      <c r="X1556" s="11"/>
      <c r="Y1556" s="11"/>
      <c r="Z1556" s="11"/>
      <c r="AA1556" s="11"/>
      <c r="AB1556" s="11"/>
      <c r="AC1556" s="11"/>
    </row>
    <row r="1557" spans="1:29" x14ac:dyDescent="0.3">
      <c r="A1557" s="11"/>
      <c r="B1557" s="11"/>
      <c r="C1557" s="11"/>
      <c r="D1557" s="11"/>
      <c r="E1557" s="11"/>
      <c r="F1557" s="11"/>
      <c r="G1557" s="11"/>
      <c r="H1557" s="11"/>
      <c r="I1557" s="11"/>
      <c r="J1557" s="11"/>
      <c r="K1557" s="11"/>
      <c r="L1557" s="11"/>
      <c r="M1557" s="11"/>
      <c r="N1557" s="11"/>
      <c r="O1557" s="11"/>
      <c r="P1557" s="11"/>
      <c r="Q1557" s="11"/>
      <c r="R1557" s="11"/>
      <c r="S1557" s="11"/>
      <c r="T1557" s="11"/>
      <c r="U1557" s="11"/>
      <c r="V1557" s="11"/>
      <c r="W1557" s="11"/>
      <c r="X1557" s="11"/>
      <c r="Y1557" s="11"/>
      <c r="Z1557" s="11"/>
      <c r="AA1557" s="11"/>
      <c r="AB1557" s="11"/>
      <c r="AC1557" s="11"/>
    </row>
    <row r="1558" spans="1:29" x14ac:dyDescent="0.3">
      <c r="A1558" s="11"/>
      <c r="B1558" s="11"/>
      <c r="C1558" s="11"/>
      <c r="D1558" s="11"/>
      <c r="E1558" s="11"/>
      <c r="F1558" s="11"/>
      <c r="G1558" s="11"/>
      <c r="H1558" s="11"/>
      <c r="I1558" s="11"/>
      <c r="J1558" s="11"/>
      <c r="K1558" s="11"/>
      <c r="L1558" s="11"/>
      <c r="M1558" s="11"/>
      <c r="N1558" s="11"/>
      <c r="O1558" s="11"/>
      <c r="P1558" s="11"/>
      <c r="Q1558" s="11"/>
      <c r="R1558" s="11"/>
      <c r="S1558" s="11"/>
      <c r="T1558" s="11"/>
      <c r="U1558" s="11"/>
      <c r="V1558" s="11"/>
      <c r="W1558" s="11"/>
      <c r="X1558" s="11"/>
      <c r="Y1558" s="11"/>
      <c r="Z1558" s="11"/>
      <c r="AA1558" s="11"/>
      <c r="AB1558" s="11"/>
      <c r="AC1558" s="11"/>
    </row>
    <row r="1559" spans="1:29" x14ac:dyDescent="0.3">
      <c r="A1559" s="11"/>
      <c r="B1559" s="11"/>
      <c r="C1559" s="11"/>
      <c r="D1559" s="11"/>
      <c r="E1559" s="11"/>
      <c r="F1559" s="11"/>
      <c r="G1559" s="11"/>
      <c r="H1559" s="11"/>
      <c r="I1559" s="11"/>
      <c r="J1559" s="11"/>
      <c r="K1559" s="11"/>
      <c r="L1559" s="11"/>
      <c r="M1559" s="11"/>
      <c r="N1559" s="11"/>
      <c r="O1559" s="11"/>
      <c r="P1559" s="11"/>
      <c r="Q1559" s="11"/>
      <c r="R1559" s="11"/>
      <c r="S1559" s="11"/>
      <c r="T1559" s="11"/>
      <c r="U1559" s="11"/>
      <c r="V1559" s="11"/>
      <c r="W1559" s="11"/>
      <c r="X1559" s="11"/>
      <c r="Y1559" s="11"/>
      <c r="Z1559" s="11"/>
      <c r="AA1559" s="11"/>
      <c r="AB1559" s="11"/>
      <c r="AC1559" s="11"/>
    </row>
    <row r="1560" spans="1:29" x14ac:dyDescent="0.3">
      <c r="A1560" s="11"/>
      <c r="B1560" s="11"/>
      <c r="C1560" s="11"/>
      <c r="D1560" s="11"/>
      <c r="E1560" s="11"/>
      <c r="F1560" s="11"/>
      <c r="G1560" s="11"/>
      <c r="H1560" s="11"/>
      <c r="I1560" s="11"/>
      <c r="J1560" s="11"/>
      <c r="K1560" s="11"/>
      <c r="L1560" s="11"/>
      <c r="M1560" s="11"/>
      <c r="N1560" s="11"/>
      <c r="O1560" s="11"/>
      <c r="P1560" s="11"/>
      <c r="Q1560" s="11"/>
      <c r="R1560" s="11"/>
      <c r="S1560" s="11"/>
      <c r="T1560" s="11"/>
      <c r="U1560" s="11"/>
      <c r="V1560" s="11"/>
      <c r="W1560" s="11"/>
      <c r="X1560" s="11"/>
      <c r="Y1560" s="11"/>
      <c r="Z1560" s="11"/>
      <c r="AA1560" s="11"/>
      <c r="AB1560" s="11"/>
      <c r="AC1560" s="11"/>
    </row>
    <row r="1561" spans="1:29" x14ac:dyDescent="0.3">
      <c r="A1561" s="11"/>
      <c r="B1561" s="11"/>
      <c r="C1561" s="11"/>
      <c r="D1561" s="11"/>
      <c r="E1561" s="11"/>
      <c r="F1561" s="11"/>
      <c r="G1561" s="11"/>
      <c r="H1561" s="11"/>
      <c r="I1561" s="11"/>
      <c r="J1561" s="11"/>
      <c r="K1561" s="11"/>
      <c r="L1561" s="11"/>
      <c r="M1561" s="11"/>
      <c r="N1561" s="11"/>
      <c r="O1561" s="11"/>
      <c r="P1561" s="11"/>
      <c r="Q1561" s="11"/>
      <c r="R1561" s="11"/>
      <c r="S1561" s="11"/>
      <c r="T1561" s="11"/>
      <c r="U1561" s="11"/>
      <c r="V1561" s="11"/>
      <c r="W1561" s="11"/>
      <c r="X1561" s="11"/>
      <c r="Y1561" s="11"/>
      <c r="Z1561" s="11"/>
      <c r="AA1561" s="11"/>
      <c r="AB1561" s="11"/>
      <c r="AC1561" s="11"/>
    </row>
    <row r="1562" spans="1:29" x14ac:dyDescent="0.3">
      <c r="A1562" s="11"/>
      <c r="B1562" s="11"/>
      <c r="C1562" s="11"/>
      <c r="D1562" s="11"/>
      <c r="E1562" s="11"/>
      <c r="F1562" s="11"/>
      <c r="G1562" s="11"/>
      <c r="H1562" s="11"/>
      <c r="I1562" s="11"/>
      <c r="J1562" s="11"/>
      <c r="K1562" s="11"/>
      <c r="L1562" s="11"/>
      <c r="M1562" s="11"/>
      <c r="N1562" s="11"/>
      <c r="O1562" s="11"/>
      <c r="P1562" s="11"/>
      <c r="Q1562" s="11"/>
      <c r="R1562" s="11"/>
      <c r="S1562" s="11"/>
      <c r="T1562" s="11"/>
      <c r="U1562" s="11"/>
      <c r="V1562" s="11"/>
      <c r="W1562" s="11"/>
      <c r="X1562" s="11"/>
      <c r="Y1562" s="11"/>
      <c r="Z1562" s="11"/>
      <c r="AA1562" s="11"/>
      <c r="AB1562" s="11"/>
      <c r="AC1562" s="11"/>
    </row>
    <row r="1563" spans="1:29" x14ac:dyDescent="0.3">
      <c r="A1563" s="11"/>
      <c r="B1563" s="11"/>
      <c r="C1563" s="11"/>
      <c r="D1563" s="11"/>
      <c r="E1563" s="11"/>
      <c r="F1563" s="11"/>
      <c r="G1563" s="11"/>
      <c r="H1563" s="11"/>
      <c r="I1563" s="11"/>
      <c r="J1563" s="11"/>
      <c r="K1563" s="11"/>
      <c r="L1563" s="11"/>
      <c r="M1563" s="11"/>
      <c r="N1563" s="11"/>
      <c r="O1563" s="11"/>
      <c r="P1563" s="11"/>
      <c r="Q1563" s="11"/>
      <c r="R1563" s="11"/>
      <c r="S1563" s="11"/>
      <c r="T1563" s="11"/>
      <c r="U1563" s="11"/>
      <c r="V1563" s="11"/>
      <c r="W1563" s="11"/>
      <c r="X1563" s="11"/>
      <c r="Y1563" s="11"/>
      <c r="Z1563" s="11"/>
      <c r="AA1563" s="11"/>
      <c r="AB1563" s="11"/>
      <c r="AC1563" s="11"/>
    </row>
    <row r="1564" spans="1:29" x14ac:dyDescent="0.3">
      <c r="A1564" s="11"/>
      <c r="B1564" s="11"/>
      <c r="C1564" s="11"/>
      <c r="D1564" s="11"/>
      <c r="E1564" s="11"/>
      <c r="F1564" s="11"/>
      <c r="G1564" s="11"/>
      <c r="H1564" s="11"/>
      <c r="I1564" s="11"/>
      <c r="J1564" s="11"/>
      <c r="K1564" s="11"/>
      <c r="L1564" s="11"/>
      <c r="M1564" s="11"/>
      <c r="N1564" s="11"/>
      <c r="O1564" s="11"/>
      <c r="P1564" s="11"/>
      <c r="Q1564" s="11"/>
      <c r="R1564" s="11"/>
      <c r="S1564" s="11"/>
      <c r="T1564" s="11"/>
      <c r="U1564" s="11"/>
      <c r="V1564" s="11"/>
      <c r="W1564" s="11"/>
      <c r="X1564" s="11"/>
      <c r="Y1564" s="11"/>
      <c r="Z1564" s="11"/>
      <c r="AA1564" s="11"/>
      <c r="AB1564" s="11"/>
      <c r="AC1564" s="11"/>
    </row>
    <row r="1565" spans="1:29" x14ac:dyDescent="0.3">
      <c r="A1565" s="11"/>
      <c r="B1565" s="11"/>
      <c r="C1565" s="11"/>
      <c r="D1565" s="11"/>
      <c r="E1565" s="11"/>
      <c r="F1565" s="11"/>
      <c r="G1565" s="11"/>
      <c r="H1565" s="11"/>
      <c r="I1565" s="11"/>
      <c r="J1565" s="11"/>
      <c r="K1565" s="11"/>
      <c r="L1565" s="11"/>
      <c r="M1565" s="11"/>
      <c r="N1565" s="11"/>
      <c r="O1565" s="11"/>
      <c r="P1565" s="11"/>
      <c r="Q1565" s="11"/>
      <c r="R1565" s="11"/>
      <c r="S1565" s="11"/>
      <c r="T1565" s="11"/>
      <c r="U1565" s="11"/>
      <c r="V1565" s="11"/>
      <c r="W1565" s="11"/>
      <c r="X1565" s="11"/>
      <c r="Y1565" s="11"/>
      <c r="Z1565" s="11"/>
      <c r="AA1565" s="11"/>
      <c r="AB1565" s="11"/>
      <c r="AC1565" s="11"/>
    </row>
    <row r="1566" spans="1:29" x14ac:dyDescent="0.3">
      <c r="A1566" s="11"/>
      <c r="B1566" s="11"/>
      <c r="C1566" s="11"/>
      <c r="D1566" s="11"/>
      <c r="E1566" s="11"/>
      <c r="F1566" s="11"/>
      <c r="G1566" s="11"/>
      <c r="H1566" s="11"/>
      <c r="I1566" s="11"/>
      <c r="J1566" s="11"/>
      <c r="K1566" s="11"/>
      <c r="L1566" s="11"/>
      <c r="M1566" s="11"/>
      <c r="N1566" s="11"/>
      <c r="O1566" s="11"/>
      <c r="P1566" s="11"/>
      <c r="Q1566" s="11"/>
      <c r="R1566" s="11"/>
      <c r="S1566" s="11"/>
      <c r="T1566" s="11"/>
      <c r="U1566" s="11"/>
      <c r="V1566" s="11"/>
      <c r="W1566" s="11"/>
      <c r="X1566" s="11"/>
      <c r="Y1566" s="11"/>
      <c r="Z1566" s="11"/>
      <c r="AA1566" s="11"/>
      <c r="AB1566" s="11"/>
      <c r="AC1566" s="11"/>
    </row>
    <row r="1567" spans="1:29" x14ac:dyDescent="0.3">
      <c r="A1567" s="11"/>
      <c r="B1567" s="11"/>
      <c r="C1567" s="11"/>
      <c r="D1567" s="11"/>
      <c r="E1567" s="11"/>
      <c r="F1567" s="11"/>
      <c r="G1567" s="11"/>
      <c r="H1567" s="11"/>
      <c r="I1567" s="11"/>
      <c r="J1567" s="11"/>
      <c r="K1567" s="11"/>
      <c r="L1567" s="11"/>
      <c r="M1567" s="11"/>
      <c r="N1567" s="11"/>
      <c r="O1567" s="11"/>
      <c r="P1567" s="11"/>
      <c r="Q1567" s="11"/>
      <c r="R1567" s="11"/>
      <c r="S1567" s="11"/>
      <c r="T1567" s="11"/>
      <c r="U1567" s="11"/>
      <c r="V1567" s="11"/>
      <c r="W1567" s="11"/>
      <c r="X1567" s="11"/>
      <c r="Y1567" s="11"/>
      <c r="Z1567" s="11"/>
      <c r="AA1567" s="11"/>
      <c r="AB1567" s="11"/>
      <c r="AC1567" s="11"/>
    </row>
    <row r="1568" spans="1:29" x14ac:dyDescent="0.3">
      <c r="A1568" s="11"/>
      <c r="B1568" s="11"/>
      <c r="C1568" s="11"/>
      <c r="D1568" s="11"/>
      <c r="E1568" s="11"/>
      <c r="F1568" s="11"/>
      <c r="G1568" s="11"/>
      <c r="H1568" s="11"/>
      <c r="I1568" s="11"/>
      <c r="J1568" s="11"/>
      <c r="K1568" s="11"/>
      <c r="L1568" s="11"/>
      <c r="M1568" s="11"/>
      <c r="N1568" s="11"/>
      <c r="O1568" s="11"/>
      <c r="P1568" s="11"/>
      <c r="Q1568" s="11"/>
      <c r="R1568" s="11"/>
      <c r="S1568" s="11"/>
      <c r="T1568" s="11"/>
      <c r="U1568" s="11"/>
      <c r="V1568" s="11"/>
      <c r="W1568" s="11"/>
      <c r="X1568" s="11"/>
      <c r="Y1568" s="11"/>
      <c r="Z1568" s="11"/>
      <c r="AA1568" s="11"/>
      <c r="AB1568" s="11"/>
      <c r="AC1568" s="11"/>
    </row>
    <row r="1569" spans="1:29" x14ac:dyDescent="0.3">
      <c r="A1569" s="11"/>
      <c r="B1569" s="11"/>
      <c r="C1569" s="11"/>
      <c r="D1569" s="11"/>
      <c r="E1569" s="11"/>
      <c r="F1569" s="11"/>
      <c r="G1569" s="11"/>
      <c r="H1569" s="11"/>
      <c r="I1569" s="11"/>
      <c r="J1569" s="11"/>
      <c r="K1569" s="11"/>
      <c r="L1569" s="11"/>
      <c r="M1569" s="11"/>
      <c r="N1569" s="11"/>
      <c r="O1569" s="11"/>
      <c r="P1569" s="11"/>
      <c r="Q1569" s="11"/>
      <c r="R1569" s="11"/>
      <c r="S1569" s="11"/>
      <c r="T1569" s="11"/>
      <c r="U1569" s="11"/>
      <c r="V1569" s="11"/>
      <c r="W1569" s="11"/>
      <c r="X1569" s="11"/>
      <c r="Y1569" s="11"/>
      <c r="Z1569" s="11"/>
      <c r="AA1569" s="11"/>
      <c r="AB1569" s="11"/>
      <c r="AC1569" s="11"/>
    </row>
    <row r="1570" spans="1:29" x14ac:dyDescent="0.3">
      <c r="A1570" s="11"/>
      <c r="B1570" s="11"/>
      <c r="C1570" s="11"/>
      <c r="D1570" s="11"/>
      <c r="E1570" s="11"/>
      <c r="F1570" s="11"/>
      <c r="G1570" s="11"/>
      <c r="H1570" s="11"/>
      <c r="I1570" s="11"/>
      <c r="J1570" s="11"/>
      <c r="K1570" s="11"/>
      <c r="L1570" s="11"/>
      <c r="M1570" s="11"/>
      <c r="N1570" s="11"/>
      <c r="O1570" s="11"/>
      <c r="P1570" s="11"/>
      <c r="Q1570" s="11"/>
      <c r="R1570" s="11"/>
      <c r="S1570" s="11"/>
      <c r="T1570" s="11"/>
      <c r="U1570" s="11"/>
      <c r="V1570" s="11"/>
      <c r="W1570" s="11"/>
      <c r="X1570" s="11"/>
      <c r="Y1570" s="11"/>
      <c r="Z1570" s="11"/>
      <c r="AA1570" s="11"/>
      <c r="AB1570" s="11"/>
      <c r="AC1570" s="11"/>
    </row>
    <row r="1571" spans="1:29" x14ac:dyDescent="0.3">
      <c r="A1571" s="11"/>
      <c r="B1571" s="11"/>
      <c r="C1571" s="11"/>
      <c r="D1571" s="11"/>
      <c r="E1571" s="11"/>
      <c r="F1571" s="11"/>
      <c r="G1571" s="11"/>
      <c r="H1571" s="11"/>
      <c r="I1571" s="11"/>
      <c r="J1571" s="11"/>
      <c r="K1571" s="11"/>
      <c r="L1571" s="11"/>
      <c r="M1571" s="11"/>
      <c r="N1571" s="11"/>
      <c r="O1571" s="11"/>
      <c r="P1571" s="11"/>
      <c r="Q1571" s="11"/>
      <c r="R1571" s="11"/>
      <c r="S1571" s="11"/>
      <c r="T1571" s="11"/>
      <c r="U1571" s="11"/>
      <c r="V1571" s="11"/>
      <c r="W1571" s="11"/>
      <c r="X1571" s="11"/>
      <c r="Y1571" s="11"/>
      <c r="Z1571" s="11"/>
      <c r="AA1571" s="11"/>
      <c r="AB1571" s="11"/>
      <c r="AC1571" s="11"/>
    </row>
    <row r="1572" spans="1:29" x14ac:dyDescent="0.3">
      <c r="A1572" s="11"/>
      <c r="B1572" s="11"/>
      <c r="C1572" s="11"/>
      <c r="D1572" s="11"/>
      <c r="E1572" s="11"/>
      <c r="F1572" s="11"/>
      <c r="G1572" s="11"/>
      <c r="H1572" s="11"/>
      <c r="I1572" s="11"/>
      <c r="J1572" s="11"/>
      <c r="K1572" s="11"/>
      <c r="L1572" s="11"/>
      <c r="M1572" s="11"/>
      <c r="N1572" s="11"/>
      <c r="O1572" s="11"/>
      <c r="P1572" s="11"/>
      <c r="Q1572" s="11"/>
      <c r="R1572" s="11"/>
      <c r="S1572" s="11"/>
      <c r="T1572" s="11"/>
      <c r="U1572" s="11"/>
      <c r="V1572" s="11"/>
      <c r="W1572" s="11"/>
      <c r="X1572" s="11"/>
      <c r="Y1572" s="11"/>
      <c r="Z1572" s="11"/>
      <c r="AA1572" s="11"/>
      <c r="AB1572" s="11"/>
      <c r="AC1572" s="11"/>
    </row>
    <row r="1573" spans="1:29" x14ac:dyDescent="0.3">
      <c r="A1573" s="11"/>
      <c r="B1573" s="11"/>
      <c r="C1573" s="11"/>
      <c r="D1573" s="11"/>
      <c r="E1573" s="11"/>
      <c r="F1573" s="11"/>
      <c r="G1573" s="11"/>
      <c r="H1573" s="11"/>
      <c r="I1573" s="11"/>
      <c r="J1573" s="11"/>
      <c r="K1573" s="11"/>
      <c r="L1573" s="11"/>
      <c r="M1573" s="11"/>
      <c r="N1573" s="11"/>
      <c r="O1573" s="11"/>
      <c r="P1573" s="11"/>
      <c r="Q1573" s="11"/>
      <c r="R1573" s="11"/>
      <c r="S1573" s="11"/>
      <c r="T1573" s="11"/>
      <c r="U1573" s="11"/>
      <c r="V1573" s="11"/>
      <c r="W1573" s="11"/>
      <c r="X1573" s="11"/>
      <c r="Y1573" s="11"/>
      <c r="Z1573" s="11"/>
      <c r="AA1573" s="11"/>
      <c r="AB1573" s="11"/>
      <c r="AC1573" s="11"/>
    </row>
    <row r="1574" spans="1:29" x14ac:dyDescent="0.3">
      <c r="A1574" s="11"/>
      <c r="B1574" s="11"/>
      <c r="C1574" s="11"/>
      <c r="D1574" s="11"/>
      <c r="E1574" s="11"/>
      <c r="F1574" s="11"/>
      <c r="G1574" s="11"/>
      <c r="H1574" s="11"/>
      <c r="I1574" s="11"/>
      <c r="J1574" s="11"/>
      <c r="K1574" s="11"/>
      <c r="L1574" s="11"/>
      <c r="M1574" s="11"/>
      <c r="N1574" s="11"/>
      <c r="O1574" s="11"/>
      <c r="P1574" s="11"/>
      <c r="Q1574" s="11"/>
      <c r="R1574" s="11"/>
      <c r="S1574" s="11"/>
      <c r="T1574" s="11"/>
      <c r="U1574" s="11"/>
      <c r="V1574" s="11"/>
      <c r="W1574" s="11"/>
      <c r="X1574" s="11"/>
      <c r="Y1574" s="11"/>
      <c r="Z1574" s="11"/>
      <c r="AA1574" s="11"/>
      <c r="AB1574" s="11"/>
      <c r="AC1574" s="11"/>
    </row>
    <row r="1575" spans="1:29" x14ac:dyDescent="0.3">
      <c r="A1575" s="11"/>
      <c r="B1575" s="11"/>
      <c r="C1575" s="11"/>
      <c r="D1575" s="11"/>
      <c r="E1575" s="11"/>
      <c r="F1575" s="11"/>
      <c r="G1575" s="11"/>
      <c r="H1575" s="11"/>
      <c r="I1575" s="11"/>
      <c r="J1575" s="11"/>
      <c r="K1575" s="11"/>
      <c r="L1575" s="11"/>
      <c r="M1575" s="11"/>
      <c r="N1575" s="11"/>
      <c r="O1575" s="11"/>
      <c r="P1575" s="11"/>
      <c r="Q1575" s="11"/>
      <c r="R1575" s="11"/>
      <c r="S1575" s="11"/>
      <c r="T1575" s="11"/>
      <c r="U1575" s="11"/>
      <c r="V1575" s="11"/>
      <c r="W1575" s="11"/>
      <c r="X1575" s="11"/>
      <c r="Y1575" s="11"/>
      <c r="Z1575" s="11"/>
      <c r="AA1575" s="11"/>
      <c r="AB1575" s="11"/>
      <c r="AC1575" s="11"/>
    </row>
    <row r="1576" spans="1:29" x14ac:dyDescent="0.3">
      <c r="A1576" s="11"/>
      <c r="B1576" s="11"/>
      <c r="C1576" s="11"/>
      <c r="D1576" s="11"/>
      <c r="E1576" s="11"/>
      <c r="F1576" s="11"/>
      <c r="G1576" s="11"/>
      <c r="H1576" s="11"/>
      <c r="I1576" s="11"/>
      <c r="J1576" s="11"/>
      <c r="K1576" s="11"/>
      <c r="L1576" s="11"/>
      <c r="M1576" s="11"/>
      <c r="N1576" s="11"/>
      <c r="O1576" s="11"/>
      <c r="P1576" s="11"/>
      <c r="Q1576" s="11"/>
      <c r="R1576" s="11"/>
      <c r="S1576" s="11"/>
      <c r="T1576" s="11"/>
      <c r="U1576" s="11"/>
      <c r="V1576" s="11"/>
      <c r="W1576" s="11"/>
      <c r="X1576" s="11"/>
      <c r="Y1576" s="11"/>
      <c r="Z1576" s="11"/>
      <c r="AA1576" s="11"/>
      <c r="AB1576" s="11"/>
      <c r="AC1576" s="11"/>
    </row>
    <row r="1577" spans="1:29" x14ac:dyDescent="0.3">
      <c r="A1577" s="11"/>
      <c r="B1577" s="11"/>
      <c r="C1577" s="11"/>
      <c r="D1577" s="11"/>
      <c r="E1577" s="11"/>
      <c r="F1577" s="11"/>
      <c r="G1577" s="11"/>
      <c r="H1577" s="11"/>
      <c r="I1577" s="11"/>
      <c r="J1577" s="11"/>
      <c r="K1577" s="11"/>
      <c r="L1577" s="11"/>
      <c r="M1577" s="11"/>
      <c r="N1577" s="11"/>
      <c r="O1577" s="11"/>
      <c r="P1577" s="11"/>
      <c r="Q1577" s="11"/>
      <c r="R1577" s="11"/>
      <c r="S1577" s="11"/>
      <c r="T1577" s="11"/>
      <c r="U1577" s="11"/>
      <c r="V1577" s="11"/>
      <c r="W1577" s="11"/>
      <c r="X1577" s="11"/>
      <c r="Y1577" s="11"/>
      <c r="Z1577" s="11"/>
      <c r="AA1577" s="11"/>
      <c r="AB1577" s="11"/>
      <c r="AC1577" s="11"/>
    </row>
    <row r="1578" spans="1:29" x14ac:dyDescent="0.3">
      <c r="A1578" s="11"/>
      <c r="B1578" s="11"/>
      <c r="C1578" s="11"/>
      <c r="D1578" s="11"/>
      <c r="E1578" s="11"/>
      <c r="F1578" s="11"/>
      <c r="G1578" s="11"/>
      <c r="H1578" s="11"/>
      <c r="I1578" s="11"/>
      <c r="J1578" s="11"/>
      <c r="K1578" s="11"/>
      <c r="L1578" s="11"/>
      <c r="M1578" s="11"/>
      <c r="N1578" s="11"/>
      <c r="O1578" s="11"/>
      <c r="P1578" s="11"/>
      <c r="Q1578" s="11"/>
      <c r="R1578" s="11"/>
      <c r="S1578" s="11"/>
      <c r="T1578" s="11"/>
      <c r="U1578" s="11"/>
      <c r="V1578" s="11"/>
      <c r="W1578" s="11"/>
      <c r="X1578" s="11"/>
      <c r="Y1578" s="11"/>
      <c r="Z1578" s="11"/>
      <c r="AA1578" s="11"/>
      <c r="AB1578" s="11"/>
      <c r="AC1578" s="11"/>
    </row>
    <row r="1579" spans="1:29" x14ac:dyDescent="0.3">
      <c r="A1579" s="11"/>
      <c r="B1579" s="11"/>
      <c r="C1579" s="11"/>
      <c r="D1579" s="11"/>
      <c r="E1579" s="11"/>
      <c r="F1579" s="11"/>
      <c r="G1579" s="11"/>
      <c r="H1579" s="11"/>
      <c r="I1579" s="11"/>
      <c r="J1579" s="11"/>
      <c r="K1579" s="11"/>
      <c r="L1579" s="11"/>
      <c r="M1579" s="11"/>
      <c r="N1579" s="11"/>
      <c r="O1579" s="11"/>
      <c r="P1579" s="11"/>
      <c r="Q1579" s="11"/>
      <c r="R1579" s="11"/>
      <c r="S1579" s="11"/>
      <c r="T1579" s="11"/>
      <c r="U1579" s="11"/>
      <c r="V1579" s="11"/>
      <c r="W1579" s="11"/>
      <c r="X1579" s="11"/>
      <c r="Y1579" s="11"/>
      <c r="Z1579" s="11"/>
      <c r="AA1579" s="11"/>
      <c r="AB1579" s="11"/>
      <c r="AC1579" s="11"/>
    </row>
    <row r="1580" spans="1:29" x14ac:dyDescent="0.3">
      <c r="A1580" s="11"/>
      <c r="B1580" s="11"/>
      <c r="C1580" s="11"/>
      <c r="D1580" s="11"/>
      <c r="E1580" s="11"/>
      <c r="F1580" s="11"/>
      <c r="G1580" s="11"/>
      <c r="H1580" s="11"/>
      <c r="I1580" s="11"/>
      <c r="J1580" s="11"/>
      <c r="K1580" s="11"/>
      <c r="L1580" s="11"/>
      <c r="M1580" s="11"/>
      <c r="N1580" s="11"/>
      <c r="O1580" s="11"/>
      <c r="P1580" s="11"/>
      <c r="Q1580" s="11"/>
      <c r="R1580" s="11"/>
      <c r="S1580" s="11"/>
      <c r="T1580" s="11"/>
      <c r="U1580" s="11"/>
      <c r="V1580" s="11"/>
      <c r="W1580" s="11"/>
      <c r="X1580" s="11"/>
      <c r="Y1580" s="11"/>
      <c r="Z1580" s="11"/>
      <c r="AA1580" s="11"/>
      <c r="AB1580" s="11"/>
      <c r="AC1580" s="11"/>
    </row>
    <row r="1581" spans="1:29" x14ac:dyDescent="0.3">
      <c r="A1581" s="11"/>
      <c r="B1581" s="11"/>
      <c r="C1581" s="11"/>
      <c r="D1581" s="11"/>
      <c r="E1581" s="11"/>
      <c r="F1581" s="11"/>
      <c r="G1581" s="11"/>
      <c r="H1581" s="11"/>
      <c r="I1581" s="11"/>
      <c r="J1581" s="11"/>
      <c r="K1581" s="11"/>
      <c r="L1581" s="11"/>
      <c r="M1581" s="11"/>
      <c r="N1581" s="11"/>
      <c r="O1581" s="11"/>
      <c r="P1581" s="11"/>
      <c r="Q1581" s="11"/>
      <c r="R1581" s="11"/>
      <c r="S1581" s="11"/>
      <c r="T1581" s="11"/>
      <c r="U1581" s="11"/>
      <c r="V1581" s="11"/>
      <c r="W1581" s="11"/>
      <c r="X1581" s="11"/>
      <c r="Y1581" s="11"/>
      <c r="Z1581" s="11"/>
      <c r="AA1581" s="11"/>
      <c r="AB1581" s="11"/>
      <c r="AC1581" s="11"/>
    </row>
    <row r="1582" spans="1:29" x14ac:dyDescent="0.3">
      <c r="A1582" s="11"/>
      <c r="B1582" s="11"/>
      <c r="C1582" s="11"/>
      <c r="D1582" s="11"/>
      <c r="E1582" s="11"/>
      <c r="F1582" s="11"/>
      <c r="G1582" s="11"/>
      <c r="H1582" s="11"/>
      <c r="I1582" s="11"/>
      <c r="J1582" s="11"/>
      <c r="K1582" s="11"/>
      <c r="L1582" s="11"/>
      <c r="M1582" s="11"/>
      <c r="N1582" s="11"/>
      <c r="O1582" s="11"/>
      <c r="P1582" s="11"/>
      <c r="Q1582" s="11"/>
      <c r="R1582" s="11"/>
      <c r="S1582" s="11"/>
      <c r="T1582" s="11"/>
      <c r="U1582" s="11"/>
      <c r="V1582" s="11"/>
      <c r="W1582" s="11"/>
      <c r="X1582" s="11"/>
      <c r="Y1582" s="11"/>
      <c r="Z1582" s="11"/>
      <c r="AA1582" s="11"/>
      <c r="AB1582" s="11"/>
      <c r="AC1582" s="11"/>
    </row>
    <row r="1583" spans="1:29" x14ac:dyDescent="0.3">
      <c r="A1583" s="11"/>
      <c r="B1583" s="11"/>
      <c r="C1583" s="11"/>
      <c r="D1583" s="11"/>
      <c r="E1583" s="11"/>
      <c r="F1583" s="11"/>
      <c r="G1583" s="11"/>
      <c r="H1583" s="11"/>
      <c r="I1583" s="11"/>
      <c r="J1583" s="11"/>
      <c r="K1583" s="11"/>
      <c r="L1583" s="11"/>
      <c r="M1583" s="11"/>
      <c r="N1583" s="11"/>
      <c r="O1583" s="11"/>
      <c r="P1583" s="11"/>
      <c r="Q1583" s="11"/>
      <c r="R1583" s="11"/>
      <c r="S1583" s="11"/>
      <c r="T1583" s="11"/>
      <c r="U1583" s="11"/>
      <c r="V1583" s="11"/>
      <c r="W1583" s="11"/>
      <c r="X1583" s="11"/>
      <c r="Y1583" s="11"/>
      <c r="Z1583" s="11"/>
      <c r="AA1583" s="11"/>
      <c r="AB1583" s="11"/>
      <c r="AC1583" s="11"/>
    </row>
    <row r="1584" spans="1:29" x14ac:dyDescent="0.3">
      <c r="A1584" s="11"/>
      <c r="B1584" s="11"/>
      <c r="C1584" s="11"/>
      <c r="D1584" s="11"/>
      <c r="E1584" s="11"/>
      <c r="F1584" s="11"/>
      <c r="G1584" s="11"/>
      <c r="H1584" s="11"/>
      <c r="I1584" s="11"/>
      <c r="J1584" s="11"/>
      <c r="K1584" s="11"/>
      <c r="L1584" s="11"/>
      <c r="M1584" s="11"/>
      <c r="N1584" s="11"/>
      <c r="O1584" s="11"/>
      <c r="P1584" s="11"/>
      <c r="Q1584" s="11"/>
      <c r="R1584" s="11"/>
      <c r="S1584" s="11"/>
      <c r="T1584" s="11"/>
      <c r="U1584" s="11"/>
      <c r="V1584" s="11"/>
      <c r="W1584" s="11"/>
      <c r="X1584" s="11"/>
      <c r="Y1584" s="11"/>
      <c r="Z1584" s="11"/>
      <c r="AA1584" s="11"/>
      <c r="AB1584" s="11"/>
      <c r="AC1584" s="11"/>
    </row>
    <row r="1585" spans="1:29" x14ac:dyDescent="0.3">
      <c r="A1585" s="11"/>
      <c r="B1585" s="11"/>
      <c r="C1585" s="11"/>
      <c r="D1585" s="11"/>
      <c r="E1585" s="11"/>
      <c r="F1585" s="11"/>
      <c r="G1585" s="11"/>
      <c r="H1585" s="11"/>
      <c r="I1585" s="11"/>
      <c r="J1585" s="11"/>
      <c r="K1585" s="11"/>
      <c r="L1585" s="11"/>
      <c r="M1585" s="11"/>
      <c r="N1585" s="11"/>
      <c r="O1585" s="11"/>
      <c r="P1585" s="11"/>
      <c r="Q1585" s="11"/>
      <c r="R1585" s="11"/>
      <c r="S1585" s="11"/>
      <c r="T1585" s="11"/>
      <c r="U1585" s="11"/>
      <c r="V1585" s="11"/>
      <c r="W1585" s="11"/>
      <c r="X1585" s="11"/>
      <c r="Y1585" s="11"/>
      <c r="Z1585" s="11"/>
      <c r="AA1585" s="11"/>
      <c r="AB1585" s="11"/>
      <c r="AC1585" s="11"/>
    </row>
    <row r="1586" spans="1:29" x14ac:dyDescent="0.3">
      <c r="A1586" s="11"/>
      <c r="B1586" s="11"/>
      <c r="C1586" s="11"/>
      <c r="D1586" s="11"/>
      <c r="E1586" s="11"/>
      <c r="F1586" s="11"/>
      <c r="G1586" s="11"/>
      <c r="H1586" s="11"/>
      <c r="I1586" s="11"/>
      <c r="J1586" s="11"/>
      <c r="K1586" s="11"/>
      <c r="L1586" s="11"/>
      <c r="M1586" s="11"/>
      <c r="N1586" s="11"/>
      <c r="O1586" s="11"/>
      <c r="P1586" s="11"/>
      <c r="Q1586" s="11"/>
      <c r="R1586" s="11"/>
      <c r="S1586" s="11"/>
      <c r="T1586" s="11"/>
      <c r="U1586" s="11"/>
      <c r="V1586" s="11"/>
      <c r="W1586" s="11"/>
      <c r="X1586" s="11"/>
      <c r="Y1586" s="11"/>
      <c r="Z1586" s="11"/>
      <c r="AA1586" s="11"/>
      <c r="AB1586" s="11"/>
      <c r="AC1586" s="11"/>
    </row>
    <row r="1587" spans="1:29" x14ac:dyDescent="0.3">
      <c r="A1587" s="11"/>
      <c r="B1587" s="11"/>
      <c r="C1587" s="11"/>
      <c r="D1587" s="11"/>
      <c r="E1587" s="11"/>
      <c r="F1587" s="11"/>
      <c r="G1587" s="11"/>
      <c r="H1587" s="11"/>
      <c r="I1587" s="11"/>
      <c r="J1587" s="11"/>
      <c r="K1587" s="11"/>
      <c r="L1587" s="11"/>
      <c r="M1587" s="11"/>
      <c r="N1587" s="11"/>
      <c r="O1587" s="11"/>
      <c r="P1587" s="11"/>
      <c r="Q1587" s="11"/>
      <c r="R1587" s="11"/>
      <c r="S1587" s="11"/>
      <c r="T1587" s="11"/>
      <c r="U1587" s="11"/>
      <c r="V1587" s="11"/>
      <c r="W1587" s="11"/>
      <c r="X1587" s="11"/>
      <c r="Y1587" s="11"/>
      <c r="Z1587" s="11"/>
      <c r="AA1587" s="11"/>
      <c r="AB1587" s="11"/>
      <c r="AC1587" s="11"/>
    </row>
    <row r="1588" spans="1:29" x14ac:dyDescent="0.3">
      <c r="A1588" s="11"/>
      <c r="B1588" s="11"/>
      <c r="C1588" s="11"/>
      <c r="D1588" s="11"/>
      <c r="E1588" s="11"/>
      <c r="F1588" s="11"/>
      <c r="G1588" s="11"/>
      <c r="H1588" s="11"/>
      <c r="I1588" s="11"/>
      <c r="J1588" s="11"/>
      <c r="K1588" s="11"/>
      <c r="L1588" s="11"/>
      <c r="M1588" s="11"/>
      <c r="N1588" s="11"/>
      <c r="O1588" s="11"/>
      <c r="P1588" s="11"/>
      <c r="Q1588" s="11"/>
      <c r="R1588" s="11"/>
      <c r="S1588" s="11"/>
      <c r="T1588" s="11"/>
      <c r="U1588" s="11"/>
      <c r="V1588" s="11"/>
      <c r="W1588" s="11"/>
      <c r="X1588" s="11"/>
      <c r="Y1588" s="11"/>
      <c r="Z1588" s="11"/>
      <c r="AA1588" s="11"/>
      <c r="AB1588" s="11"/>
      <c r="AC1588" s="11"/>
    </row>
    <row r="1589" spans="1:29" x14ac:dyDescent="0.3">
      <c r="A1589" s="11"/>
      <c r="B1589" s="11"/>
      <c r="C1589" s="11"/>
      <c r="D1589" s="11"/>
      <c r="E1589" s="11"/>
      <c r="F1589" s="11"/>
      <c r="G1589" s="11"/>
      <c r="H1589" s="11"/>
      <c r="I1589" s="11"/>
      <c r="J1589" s="11"/>
      <c r="K1589" s="11"/>
      <c r="L1589" s="11"/>
      <c r="M1589" s="11"/>
      <c r="N1589" s="11"/>
      <c r="O1589" s="11"/>
      <c r="P1589" s="11"/>
      <c r="Q1589" s="11"/>
      <c r="R1589" s="11"/>
      <c r="S1589" s="11"/>
      <c r="T1589" s="11"/>
      <c r="U1589" s="11"/>
      <c r="V1589" s="11"/>
      <c r="W1589" s="11"/>
      <c r="X1589" s="11"/>
      <c r="Y1589" s="11"/>
      <c r="Z1589" s="11"/>
      <c r="AA1589" s="11"/>
      <c r="AB1589" s="11"/>
      <c r="AC1589" s="11"/>
    </row>
    <row r="1590" spans="1:29" x14ac:dyDescent="0.3">
      <c r="A1590" s="11"/>
      <c r="B1590" s="11"/>
      <c r="C1590" s="11"/>
      <c r="D1590" s="11"/>
      <c r="E1590" s="11"/>
      <c r="F1590" s="11"/>
      <c r="G1590" s="11"/>
      <c r="H1590" s="11"/>
      <c r="I1590" s="11"/>
      <c r="J1590" s="11"/>
      <c r="K1590" s="11"/>
      <c r="L1590" s="11"/>
      <c r="M1590" s="11"/>
      <c r="N1590" s="11"/>
      <c r="O1590" s="11"/>
      <c r="P1590" s="11"/>
      <c r="Q1590" s="11"/>
      <c r="R1590" s="11"/>
      <c r="S1590" s="11"/>
      <c r="T1590" s="11"/>
      <c r="U1590" s="11"/>
      <c r="V1590" s="11"/>
      <c r="W1590" s="11"/>
      <c r="X1590" s="11"/>
      <c r="Y1590" s="11"/>
      <c r="Z1590" s="11"/>
      <c r="AA1590" s="11"/>
      <c r="AB1590" s="11"/>
      <c r="AC1590" s="11"/>
    </row>
    <row r="1591" spans="1:29" x14ac:dyDescent="0.3">
      <c r="A1591" s="11"/>
      <c r="B1591" s="11"/>
      <c r="C1591" s="11"/>
      <c r="D1591" s="11"/>
      <c r="E1591" s="11"/>
      <c r="F1591" s="11"/>
      <c r="G1591" s="11"/>
      <c r="H1591" s="11"/>
      <c r="I1591" s="11"/>
      <c r="J1591" s="11"/>
      <c r="K1591" s="11"/>
      <c r="L1591" s="11"/>
      <c r="M1591" s="11"/>
      <c r="N1591" s="11"/>
      <c r="O1591" s="11"/>
      <c r="P1591" s="11"/>
      <c r="Q1591" s="11"/>
      <c r="R1591" s="11"/>
      <c r="S1591" s="11"/>
      <c r="T1591" s="11"/>
      <c r="U1591" s="11"/>
      <c r="V1591" s="11"/>
      <c r="W1591" s="11"/>
      <c r="X1591" s="11"/>
      <c r="Y1591" s="11"/>
      <c r="Z1591" s="11"/>
      <c r="AA1591" s="11"/>
      <c r="AB1591" s="11"/>
      <c r="AC1591" s="11"/>
    </row>
    <row r="1592" spans="1:29" x14ac:dyDescent="0.3">
      <c r="A1592" s="11"/>
      <c r="B1592" s="11"/>
      <c r="C1592" s="11"/>
      <c r="D1592" s="11"/>
      <c r="E1592" s="11"/>
      <c r="F1592" s="11"/>
      <c r="G1592" s="11"/>
      <c r="H1592" s="11"/>
      <c r="I1592" s="11"/>
      <c r="J1592" s="11"/>
      <c r="K1592" s="11"/>
      <c r="L1592" s="11"/>
      <c r="M1592" s="11"/>
      <c r="N1592" s="11"/>
      <c r="O1592" s="11"/>
      <c r="P1592" s="11"/>
      <c r="Q1592" s="11"/>
      <c r="R1592" s="11"/>
      <c r="S1592" s="11"/>
      <c r="T1592" s="11"/>
      <c r="U1592" s="11"/>
      <c r="V1592" s="11"/>
      <c r="W1592" s="11"/>
      <c r="X1592" s="11"/>
      <c r="Y1592" s="11"/>
      <c r="Z1592" s="11"/>
      <c r="AA1592" s="11"/>
      <c r="AB1592" s="11"/>
      <c r="AC1592" s="11"/>
    </row>
    <row r="1593" spans="1:29" x14ac:dyDescent="0.3">
      <c r="A1593" s="11"/>
      <c r="B1593" s="11"/>
      <c r="C1593" s="11"/>
      <c r="D1593" s="11"/>
      <c r="E1593" s="11"/>
      <c r="F1593" s="11"/>
      <c r="G1593" s="11"/>
      <c r="H1593" s="11"/>
      <c r="I1593" s="11"/>
      <c r="J1593" s="11"/>
      <c r="K1593" s="11"/>
      <c r="L1593" s="11"/>
      <c r="M1593" s="11"/>
      <c r="N1593" s="11"/>
      <c r="O1593" s="11"/>
      <c r="P1593" s="11"/>
      <c r="Q1593" s="11"/>
      <c r="R1593" s="11"/>
      <c r="S1593" s="11"/>
      <c r="T1593" s="11"/>
      <c r="U1593" s="11"/>
      <c r="V1593" s="11"/>
      <c r="W1593" s="11"/>
      <c r="X1593" s="11"/>
      <c r="Y1593" s="11"/>
      <c r="Z1593" s="11"/>
      <c r="AA1593" s="11"/>
      <c r="AB1593" s="11"/>
      <c r="AC1593" s="11"/>
    </row>
    <row r="1594" spans="1:29" x14ac:dyDescent="0.3">
      <c r="A1594" s="11"/>
      <c r="B1594" s="11"/>
      <c r="C1594" s="11"/>
      <c r="D1594" s="11"/>
      <c r="E1594" s="11"/>
      <c r="F1594" s="11"/>
      <c r="G1594" s="11"/>
      <c r="H1594" s="11"/>
      <c r="I1594" s="11"/>
      <c r="J1594" s="11"/>
      <c r="K1594" s="11"/>
      <c r="L1594" s="11"/>
      <c r="M1594" s="11"/>
      <c r="N1594" s="11"/>
      <c r="O1594" s="11"/>
      <c r="P1594" s="11"/>
      <c r="Q1594" s="11"/>
      <c r="R1594" s="11"/>
      <c r="S1594" s="11"/>
      <c r="T1594" s="11"/>
      <c r="U1594" s="11"/>
      <c r="V1594" s="11"/>
      <c r="W1594" s="11"/>
      <c r="X1594" s="11"/>
      <c r="Y1594" s="11"/>
      <c r="Z1594" s="11"/>
      <c r="AA1594" s="11"/>
      <c r="AB1594" s="11"/>
      <c r="AC1594" s="11"/>
    </row>
    <row r="1595" spans="1:29" x14ac:dyDescent="0.3">
      <c r="A1595" s="11"/>
      <c r="B1595" s="11"/>
      <c r="C1595" s="11"/>
      <c r="D1595" s="11"/>
      <c r="E1595" s="11"/>
      <c r="F1595" s="11"/>
      <c r="G1595" s="11"/>
      <c r="H1595" s="11"/>
      <c r="I1595" s="11"/>
      <c r="J1595" s="11"/>
      <c r="K1595" s="11"/>
      <c r="L1595" s="11"/>
      <c r="M1595" s="11"/>
      <c r="N1595" s="11"/>
      <c r="O1595" s="11"/>
      <c r="P1595" s="11"/>
      <c r="Q1595" s="11"/>
      <c r="R1595" s="11"/>
      <c r="S1595" s="11"/>
      <c r="T1595" s="11"/>
      <c r="U1595" s="11"/>
      <c r="V1595" s="11"/>
      <c r="W1595" s="11"/>
      <c r="X1595" s="11"/>
      <c r="Y1595" s="11"/>
      <c r="Z1595" s="11"/>
      <c r="AA1595" s="11"/>
      <c r="AB1595" s="11"/>
      <c r="AC1595" s="11"/>
    </row>
    <row r="1596" spans="1:29" x14ac:dyDescent="0.3">
      <c r="A1596" s="11"/>
      <c r="B1596" s="11"/>
      <c r="C1596" s="11"/>
      <c r="D1596" s="11"/>
      <c r="E1596" s="11"/>
      <c r="F1596" s="11"/>
      <c r="G1596" s="11"/>
      <c r="H1596" s="11"/>
      <c r="I1596" s="11"/>
      <c r="J1596" s="11"/>
      <c r="K1596" s="11"/>
      <c r="L1596" s="11"/>
      <c r="M1596" s="11"/>
      <c r="N1596" s="11"/>
      <c r="O1596" s="11"/>
      <c r="P1596" s="11"/>
      <c r="Q1596" s="11"/>
      <c r="R1596" s="11"/>
      <c r="S1596" s="11"/>
      <c r="T1596" s="11"/>
      <c r="U1596" s="11"/>
      <c r="V1596" s="11"/>
      <c r="W1596" s="11"/>
      <c r="X1596" s="11"/>
      <c r="Y1596" s="11"/>
      <c r="Z1596" s="11"/>
      <c r="AA1596" s="11"/>
      <c r="AB1596" s="11"/>
      <c r="AC1596" s="11"/>
    </row>
    <row r="1597" spans="1:29" x14ac:dyDescent="0.3">
      <c r="A1597" s="11"/>
      <c r="B1597" s="11"/>
      <c r="C1597" s="11"/>
      <c r="D1597" s="11"/>
      <c r="E1597" s="11"/>
      <c r="F1597" s="11"/>
      <c r="G1597" s="11"/>
      <c r="H1597" s="11"/>
      <c r="I1597" s="11"/>
      <c r="J1597" s="11"/>
      <c r="K1597" s="11"/>
      <c r="L1597" s="11"/>
      <c r="M1597" s="11"/>
      <c r="N1597" s="11"/>
      <c r="O1597" s="11"/>
      <c r="P1597" s="11"/>
      <c r="Q1597" s="11"/>
      <c r="R1597" s="11"/>
      <c r="S1597" s="11"/>
      <c r="T1597" s="11"/>
      <c r="U1597" s="11"/>
      <c r="V1597" s="11"/>
      <c r="W1597" s="11"/>
      <c r="X1597" s="11"/>
      <c r="Y1597" s="11"/>
      <c r="Z1597" s="11"/>
      <c r="AA1597" s="11"/>
      <c r="AB1597" s="11"/>
      <c r="AC1597" s="11"/>
    </row>
    <row r="1598" spans="1:29" x14ac:dyDescent="0.3">
      <c r="A1598" s="11"/>
      <c r="B1598" s="11"/>
      <c r="C1598" s="11"/>
      <c r="D1598" s="11"/>
      <c r="E1598" s="11"/>
      <c r="F1598" s="11"/>
      <c r="G1598" s="11"/>
      <c r="H1598" s="11"/>
      <c r="I1598" s="11"/>
      <c r="J1598" s="11"/>
      <c r="K1598" s="11"/>
      <c r="L1598" s="11"/>
      <c r="M1598" s="11"/>
      <c r="N1598" s="11"/>
      <c r="O1598" s="11"/>
      <c r="P1598" s="11"/>
      <c r="Q1598" s="11"/>
      <c r="R1598" s="11"/>
      <c r="S1598" s="11"/>
      <c r="T1598" s="11"/>
      <c r="U1598" s="11"/>
      <c r="V1598" s="11"/>
      <c r="W1598" s="11"/>
      <c r="X1598" s="11"/>
      <c r="Y1598" s="11"/>
      <c r="Z1598" s="11"/>
      <c r="AA1598" s="11"/>
      <c r="AB1598" s="11"/>
      <c r="AC1598" s="11"/>
    </row>
    <row r="1599" spans="1:29" x14ac:dyDescent="0.3">
      <c r="A1599" s="11"/>
      <c r="B1599" s="11"/>
      <c r="C1599" s="11"/>
      <c r="D1599" s="11"/>
      <c r="E1599" s="11"/>
      <c r="F1599" s="11"/>
      <c r="G1599" s="11"/>
      <c r="H1599" s="11"/>
      <c r="I1599" s="11"/>
      <c r="J1599" s="11"/>
      <c r="K1599" s="11"/>
      <c r="L1599" s="11"/>
      <c r="M1599" s="11"/>
      <c r="N1599" s="11"/>
      <c r="O1599" s="11"/>
      <c r="P1599" s="11"/>
      <c r="Q1599" s="11"/>
      <c r="R1599" s="11"/>
      <c r="S1599" s="11"/>
      <c r="T1599" s="11"/>
      <c r="U1599" s="11"/>
      <c r="V1599" s="11"/>
      <c r="W1599" s="11"/>
      <c r="X1599" s="11"/>
      <c r="Y1599" s="11"/>
      <c r="Z1599" s="11"/>
      <c r="AA1599" s="11"/>
      <c r="AB1599" s="11"/>
      <c r="AC1599" s="11"/>
    </row>
    <row r="1600" spans="1:29" x14ac:dyDescent="0.3">
      <c r="A1600" s="11"/>
      <c r="B1600" s="11"/>
      <c r="C1600" s="11"/>
      <c r="D1600" s="11"/>
      <c r="E1600" s="11"/>
      <c r="F1600" s="11"/>
      <c r="G1600" s="11"/>
      <c r="H1600" s="11"/>
      <c r="I1600" s="11"/>
      <c r="J1600" s="11"/>
      <c r="K1600" s="11"/>
      <c r="L1600" s="11"/>
      <c r="M1600" s="11"/>
      <c r="N1600" s="11"/>
      <c r="O1600" s="11"/>
      <c r="P1600" s="11"/>
      <c r="Q1600" s="11"/>
      <c r="R1600" s="11"/>
      <c r="S1600" s="11"/>
      <c r="T1600" s="11"/>
      <c r="U1600" s="11"/>
      <c r="V1600" s="11"/>
      <c r="W1600" s="11"/>
      <c r="X1600" s="11"/>
      <c r="Y1600" s="11"/>
      <c r="Z1600" s="11"/>
      <c r="AA1600" s="11"/>
      <c r="AB1600" s="11"/>
      <c r="AC1600" s="11"/>
    </row>
    <row r="1601" spans="1:29" x14ac:dyDescent="0.3">
      <c r="A1601" s="11"/>
      <c r="B1601" s="11"/>
      <c r="C1601" s="11"/>
      <c r="D1601" s="11"/>
      <c r="E1601" s="11"/>
      <c r="F1601" s="11"/>
      <c r="G1601" s="11"/>
      <c r="H1601" s="11"/>
      <c r="I1601" s="11"/>
      <c r="J1601" s="11"/>
      <c r="K1601" s="11"/>
      <c r="L1601" s="11"/>
      <c r="M1601" s="11"/>
      <c r="N1601" s="11"/>
      <c r="O1601" s="11"/>
      <c r="P1601" s="11"/>
      <c r="Q1601" s="11"/>
      <c r="R1601" s="11"/>
      <c r="S1601" s="11"/>
      <c r="T1601" s="11"/>
      <c r="U1601" s="11"/>
      <c r="V1601" s="11"/>
      <c r="W1601" s="11"/>
      <c r="X1601" s="11"/>
      <c r="Y1601" s="11"/>
      <c r="Z1601" s="11"/>
      <c r="AA1601" s="11"/>
      <c r="AB1601" s="11"/>
      <c r="AC1601" s="11"/>
    </row>
    <row r="1602" spans="1:29" x14ac:dyDescent="0.3">
      <c r="A1602" s="11"/>
      <c r="B1602" s="11"/>
      <c r="C1602" s="11"/>
      <c r="D1602" s="11"/>
      <c r="E1602" s="11"/>
      <c r="F1602" s="11"/>
      <c r="G1602" s="11"/>
      <c r="H1602" s="11"/>
      <c r="I1602" s="11"/>
      <c r="J1602" s="11"/>
      <c r="K1602" s="11"/>
      <c r="L1602" s="11"/>
      <c r="M1602" s="11"/>
      <c r="N1602" s="11"/>
      <c r="O1602" s="11"/>
      <c r="P1602" s="11"/>
      <c r="Q1602" s="11"/>
      <c r="R1602" s="11"/>
      <c r="S1602" s="11"/>
      <c r="T1602" s="11"/>
      <c r="U1602" s="11"/>
      <c r="V1602" s="11"/>
      <c r="W1602" s="11"/>
      <c r="X1602" s="11"/>
      <c r="Y1602" s="11"/>
      <c r="Z1602" s="11"/>
      <c r="AA1602" s="11"/>
      <c r="AB1602" s="11"/>
      <c r="AC1602" s="11"/>
    </row>
    <row r="1603" spans="1:29" x14ac:dyDescent="0.3">
      <c r="A1603" s="11"/>
      <c r="B1603" s="11"/>
      <c r="C1603" s="11"/>
      <c r="D1603" s="11"/>
      <c r="E1603" s="11"/>
      <c r="F1603" s="11"/>
      <c r="G1603" s="11"/>
      <c r="H1603" s="11"/>
      <c r="I1603" s="11"/>
      <c r="J1603" s="11"/>
      <c r="K1603" s="11"/>
      <c r="L1603" s="11"/>
      <c r="M1603" s="11"/>
      <c r="N1603" s="11"/>
      <c r="O1603" s="11"/>
      <c r="P1603" s="11"/>
      <c r="Q1603" s="11"/>
      <c r="R1603" s="11"/>
      <c r="S1603" s="11"/>
      <c r="T1603" s="11"/>
      <c r="U1603" s="11"/>
      <c r="V1603" s="11"/>
      <c r="W1603" s="11"/>
      <c r="X1603" s="11"/>
      <c r="Y1603" s="11"/>
      <c r="Z1603" s="11"/>
      <c r="AA1603" s="11"/>
      <c r="AB1603" s="11"/>
      <c r="AC1603" s="11"/>
    </row>
    <row r="1604" spans="1:29" x14ac:dyDescent="0.3">
      <c r="A1604" s="11"/>
      <c r="B1604" s="11"/>
      <c r="C1604" s="11"/>
      <c r="D1604" s="11"/>
      <c r="E1604" s="11"/>
      <c r="F1604" s="11"/>
      <c r="G1604" s="11"/>
      <c r="H1604" s="11"/>
      <c r="I1604" s="11"/>
      <c r="J1604" s="11"/>
      <c r="K1604" s="11"/>
      <c r="L1604" s="11"/>
      <c r="M1604" s="11"/>
      <c r="N1604" s="11"/>
      <c r="O1604" s="11"/>
      <c r="P1604" s="11"/>
      <c r="Q1604" s="11"/>
      <c r="R1604" s="11"/>
      <c r="S1604" s="11"/>
      <c r="T1604" s="11"/>
      <c r="U1604" s="11"/>
      <c r="V1604" s="11"/>
      <c r="W1604" s="11"/>
      <c r="X1604" s="11"/>
      <c r="Y1604" s="11"/>
      <c r="Z1604" s="11"/>
      <c r="AA1604" s="11"/>
      <c r="AB1604" s="11"/>
      <c r="AC1604" s="11"/>
    </row>
    <row r="1605" spans="1:29" x14ac:dyDescent="0.3">
      <c r="A1605" s="11"/>
      <c r="B1605" s="11"/>
      <c r="C1605" s="11"/>
      <c r="D1605" s="11"/>
      <c r="E1605" s="11"/>
      <c r="F1605" s="11"/>
      <c r="G1605" s="11"/>
      <c r="H1605" s="11"/>
      <c r="I1605" s="11"/>
      <c r="J1605" s="11"/>
      <c r="K1605" s="11"/>
      <c r="L1605" s="11"/>
      <c r="M1605" s="11"/>
      <c r="N1605" s="11"/>
      <c r="O1605" s="11"/>
      <c r="P1605" s="11"/>
      <c r="Q1605" s="11"/>
      <c r="R1605" s="11"/>
      <c r="S1605" s="11"/>
      <c r="T1605" s="11"/>
      <c r="U1605" s="11"/>
      <c r="V1605" s="11"/>
      <c r="W1605" s="11"/>
      <c r="X1605" s="11"/>
      <c r="Y1605" s="11"/>
      <c r="Z1605" s="11"/>
      <c r="AA1605" s="11"/>
      <c r="AB1605" s="11"/>
      <c r="AC1605" s="11"/>
    </row>
    <row r="1606" spans="1:29" x14ac:dyDescent="0.3">
      <c r="A1606" s="11"/>
      <c r="B1606" s="11"/>
      <c r="C1606" s="11"/>
      <c r="D1606" s="11"/>
      <c r="E1606" s="11"/>
      <c r="F1606" s="11"/>
      <c r="G1606" s="11"/>
      <c r="H1606" s="11"/>
      <c r="I1606" s="11"/>
      <c r="J1606" s="11"/>
      <c r="K1606" s="11"/>
      <c r="L1606" s="11"/>
      <c r="M1606" s="11"/>
      <c r="N1606" s="11"/>
      <c r="O1606" s="11"/>
      <c r="P1606" s="11"/>
      <c r="Q1606" s="11"/>
      <c r="R1606" s="11"/>
      <c r="S1606" s="11"/>
      <c r="T1606" s="11"/>
      <c r="U1606" s="11"/>
      <c r="V1606" s="11"/>
      <c r="W1606" s="11"/>
      <c r="X1606" s="11"/>
      <c r="Y1606" s="11"/>
      <c r="Z1606" s="11"/>
      <c r="AA1606" s="11"/>
      <c r="AB1606" s="11"/>
      <c r="AC1606" s="11"/>
    </row>
    <row r="1607" spans="1:29" x14ac:dyDescent="0.3">
      <c r="A1607" s="11"/>
      <c r="B1607" s="11"/>
      <c r="C1607" s="11"/>
      <c r="D1607" s="11"/>
      <c r="E1607" s="11"/>
      <c r="F1607" s="11"/>
      <c r="G1607" s="11"/>
      <c r="H1607" s="11"/>
      <c r="I1607" s="11"/>
      <c r="J1607" s="11"/>
      <c r="K1607" s="11"/>
      <c r="L1607" s="11"/>
      <c r="M1607" s="11"/>
      <c r="N1607" s="11"/>
      <c r="O1607" s="11"/>
      <c r="P1607" s="11"/>
      <c r="Q1607" s="11"/>
      <c r="R1607" s="11"/>
      <c r="S1607" s="11"/>
      <c r="T1607" s="11"/>
      <c r="U1607" s="11"/>
      <c r="V1607" s="11"/>
      <c r="W1607" s="11"/>
      <c r="X1607" s="11"/>
      <c r="Y1607" s="11"/>
      <c r="Z1607" s="11"/>
      <c r="AA1607" s="11"/>
      <c r="AB1607" s="11"/>
      <c r="AC1607" s="11"/>
    </row>
    <row r="1608" spans="1:29" x14ac:dyDescent="0.3">
      <c r="A1608" s="11"/>
      <c r="B1608" s="11"/>
      <c r="C1608" s="11"/>
      <c r="D1608" s="11"/>
      <c r="E1608" s="11"/>
      <c r="F1608" s="11"/>
      <c r="G1608" s="11"/>
      <c r="H1608" s="11"/>
      <c r="I1608" s="11"/>
      <c r="J1608" s="11"/>
      <c r="K1608" s="11"/>
      <c r="L1608" s="11"/>
      <c r="M1608" s="11"/>
      <c r="N1608" s="11"/>
      <c r="O1608" s="11"/>
      <c r="P1608" s="11"/>
      <c r="Q1608" s="11"/>
      <c r="R1608" s="11"/>
      <c r="S1608" s="11"/>
      <c r="T1608" s="11"/>
      <c r="U1608" s="11"/>
      <c r="V1608" s="11"/>
      <c r="W1608" s="11"/>
      <c r="X1608" s="11"/>
      <c r="Y1608" s="11"/>
      <c r="Z1608" s="11"/>
      <c r="AA1608" s="11"/>
      <c r="AB1608" s="11"/>
      <c r="AC1608" s="11"/>
    </row>
    <row r="1609" spans="1:29" x14ac:dyDescent="0.3">
      <c r="A1609" s="11"/>
      <c r="B1609" s="11"/>
      <c r="C1609" s="11"/>
      <c r="D1609" s="11"/>
      <c r="E1609" s="11"/>
      <c r="F1609" s="11"/>
      <c r="G1609" s="11"/>
      <c r="H1609" s="11"/>
      <c r="I1609" s="11"/>
      <c r="J1609" s="11"/>
      <c r="K1609" s="11"/>
      <c r="L1609" s="11"/>
      <c r="M1609" s="11"/>
      <c r="N1609" s="11"/>
      <c r="O1609" s="11"/>
      <c r="P1609" s="11"/>
      <c r="Q1609" s="11"/>
      <c r="R1609" s="11"/>
      <c r="S1609" s="11"/>
      <c r="T1609" s="11"/>
      <c r="U1609" s="11"/>
      <c r="V1609" s="11"/>
      <c r="W1609" s="11"/>
      <c r="X1609" s="11"/>
      <c r="Y1609" s="11"/>
      <c r="Z1609" s="11"/>
      <c r="AA1609" s="11"/>
      <c r="AB1609" s="11"/>
      <c r="AC1609" s="11"/>
    </row>
    <row r="1610" spans="1:29" x14ac:dyDescent="0.3">
      <c r="A1610" s="11"/>
      <c r="B1610" s="11"/>
      <c r="C1610" s="11"/>
      <c r="D1610" s="11"/>
      <c r="E1610" s="11"/>
      <c r="F1610" s="11"/>
      <c r="G1610" s="11"/>
      <c r="H1610" s="11"/>
      <c r="I1610" s="11"/>
      <c r="J1610" s="11"/>
      <c r="K1610" s="11"/>
      <c r="L1610" s="11"/>
      <c r="M1610" s="11"/>
      <c r="N1610" s="11"/>
      <c r="O1610" s="11"/>
      <c r="P1610" s="11"/>
      <c r="Q1610" s="11"/>
      <c r="R1610" s="11"/>
      <c r="S1610" s="11"/>
      <c r="T1610" s="11"/>
      <c r="U1610" s="11"/>
      <c r="V1610" s="11"/>
      <c r="W1610" s="11"/>
      <c r="X1610" s="11"/>
      <c r="Y1610" s="11"/>
      <c r="Z1610" s="11"/>
      <c r="AA1610" s="11"/>
      <c r="AB1610" s="11"/>
      <c r="AC1610" s="11"/>
    </row>
    <row r="1611" spans="1:29" x14ac:dyDescent="0.3">
      <c r="A1611" s="11"/>
      <c r="B1611" s="11"/>
      <c r="C1611" s="11"/>
      <c r="D1611" s="11"/>
      <c r="E1611" s="11"/>
      <c r="F1611" s="11"/>
      <c r="G1611" s="11"/>
      <c r="H1611" s="11"/>
      <c r="I1611" s="11"/>
      <c r="J1611" s="11"/>
      <c r="K1611" s="11"/>
      <c r="L1611" s="11"/>
      <c r="M1611" s="11"/>
      <c r="N1611" s="11"/>
      <c r="O1611" s="11"/>
      <c r="P1611" s="11"/>
      <c r="Q1611" s="11"/>
      <c r="R1611" s="11"/>
      <c r="S1611" s="11"/>
      <c r="T1611" s="11"/>
      <c r="U1611" s="11"/>
      <c r="V1611" s="11"/>
      <c r="W1611" s="11"/>
      <c r="X1611" s="11"/>
      <c r="Y1611" s="11"/>
      <c r="Z1611" s="11"/>
      <c r="AA1611" s="11"/>
      <c r="AB1611" s="11"/>
      <c r="AC1611" s="11"/>
    </row>
    <row r="1612" spans="1:29" x14ac:dyDescent="0.3">
      <c r="A1612" s="11"/>
      <c r="B1612" s="11"/>
      <c r="C1612" s="11"/>
      <c r="D1612" s="11"/>
      <c r="E1612" s="11"/>
      <c r="F1612" s="11"/>
      <c r="G1612" s="11"/>
      <c r="H1612" s="11"/>
      <c r="I1612" s="11"/>
      <c r="J1612" s="11"/>
      <c r="K1612" s="11"/>
      <c r="L1612" s="11"/>
      <c r="M1612" s="11"/>
      <c r="N1612" s="11"/>
      <c r="O1612" s="11"/>
      <c r="P1612" s="11"/>
      <c r="Q1612" s="11"/>
      <c r="R1612" s="11"/>
      <c r="S1612" s="11"/>
      <c r="T1612" s="11"/>
      <c r="U1612" s="11"/>
      <c r="V1612" s="11"/>
      <c r="W1612" s="11"/>
      <c r="X1612" s="11"/>
      <c r="Y1612" s="11"/>
      <c r="Z1612" s="11"/>
      <c r="AA1612" s="11"/>
      <c r="AB1612" s="11"/>
      <c r="AC1612" s="11"/>
    </row>
    <row r="1613" spans="1:29" x14ac:dyDescent="0.3">
      <c r="A1613" s="11"/>
      <c r="B1613" s="11"/>
      <c r="C1613" s="11"/>
      <c r="D1613" s="11"/>
      <c r="E1613" s="11"/>
      <c r="F1613" s="11"/>
      <c r="G1613" s="11"/>
      <c r="H1613" s="11"/>
      <c r="I1613" s="11"/>
      <c r="J1613" s="11"/>
      <c r="K1613" s="11"/>
      <c r="L1613" s="11"/>
      <c r="M1613" s="11"/>
      <c r="N1613" s="11"/>
      <c r="O1613" s="11"/>
      <c r="P1613" s="11"/>
      <c r="Q1613" s="11"/>
      <c r="R1613" s="11"/>
      <c r="S1613" s="11"/>
      <c r="T1613" s="11"/>
      <c r="U1613" s="11"/>
      <c r="V1613" s="11"/>
      <c r="W1613" s="11"/>
      <c r="X1613" s="11"/>
      <c r="Y1613" s="11"/>
      <c r="Z1613" s="11"/>
      <c r="AA1613" s="11"/>
      <c r="AB1613" s="11"/>
      <c r="AC1613" s="11"/>
    </row>
    <row r="1614" spans="1:29" x14ac:dyDescent="0.3">
      <c r="A1614" s="11"/>
      <c r="B1614" s="11"/>
      <c r="C1614" s="11"/>
      <c r="D1614" s="11"/>
      <c r="E1614" s="11"/>
      <c r="F1614" s="11"/>
      <c r="G1614" s="11"/>
      <c r="H1614" s="11"/>
      <c r="I1614" s="11"/>
      <c r="J1614" s="11"/>
      <c r="K1614" s="11"/>
      <c r="L1614" s="11"/>
      <c r="M1614" s="11"/>
      <c r="N1614" s="11"/>
      <c r="O1614" s="11"/>
      <c r="P1614" s="11"/>
      <c r="Q1614" s="11"/>
      <c r="R1614" s="11"/>
      <c r="S1614" s="11"/>
      <c r="T1614" s="11"/>
      <c r="U1614" s="11"/>
      <c r="V1614" s="11"/>
      <c r="W1614" s="11"/>
      <c r="X1614" s="11"/>
      <c r="Y1614" s="11"/>
      <c r="Z1614" s="11"/>
      <c r="AA1614" s="11"/>
      <c r="AB1614" s="11"/>
      <c r="AC1614" s="11"/>
    </row>
    <row r="1615" spans="1:29" x14ac:dyDescent="0.3">
      <c r="A1615" s="11"/>
      <c r="B1615" s="11"/>
      <c r="C1615" s="11"/>
      <c r="D1615" s="11"/>
      <c r="E1615" s="11"/>
      <c r="F1615" s="11"/>
      <c r="G1615" s="11"/>
      <c r="H1615" s="11"/>
      <c r="I1615" s="11"/>
      <c r="J1615" s="11"/>
      <c r="K1615" s="11"/>
      <c r="L1615" s="11"/>
      <c r="M1615" s="11"/>
      <c r="N1615" s="11"/>
      <c r="O1615" s="11"/>
      <c r="P1615" s="11"/>
      <c r="Q1615" s="11"/>
      <c r="R1615" s="11"/>
      <c r="S1615" s="11"/>
      <c r="T1615" s="11"/>
      <c r="U1615" s="11"/>
      <c r="V1615" s="11"/>
      <c r="W1615" s="11"/>
      <c r="X1615" s="11"/>
      <c r="Y1615" s="11"/>
      <c r="Z1615" s="11"/>
      <c r="AA1615" s="11"/>
      <c r="AB1615" s="11"/>
      <c r="AC1615" s="11"/>
    </row>
    <row r="1616" spans="1:29" x14ac:dyDescent="0.3">
      <c r="A1616" s="11"/>
      <c r="B1616" s="11"/>
      <c r="C1616" s="11"/>
      <c r="D1616" s="11"/>
      <c r="E1616" s="11"/>
      <c r="F1616" s="11"/>
      <c r="G1616" s="11"/>
      <c r="H1616" s="11"/>
      <c r="I1616" s="11"/>
      <c r="J1616" s="11"/>
      <c r="K1616" s="11"/>
      <c r="L1616" s="11"/>
      <c r="M1616" s="11"/>
      <c r="N1616" s="11"/>
      <c r="O1616" s="11"/>
      <c r="P1616" s="11"/>
      <c r="Q1616" s="11"/>
      <c r="R1616" s="11"/>
      <c r="S1616" s="11"/>
      <c r="T1616" s="11"/>
      <c r="U1616" s="11"/>
      <c r="V1616" s="11"/>
      <c r="W1616" s="11"/>
      <c r="X1616" s="11"/>
      <c r="Y1616" s="11"/>
      <c r="Z1616" s="11"/>
      <c r="AA1616" s="11"/>
      <c r="AB1616" s="11"/>
      <c r="AC1616" s="11"/>
    </row>
    <row r="1617" spans="1:29" x14ac:dyDescent="0.3">
      <c r="A1617" s="11"/>
      <c r="B1617" s="11"/>
      <c r="C1617" s="11"/>
      <c r="D1617" s="11"/>
      <c r="E1617" s="11"/>
      <c r="F1617" s="11"/>
      <c r="G1617" s="11"/>
      <c r="H1617" s="11"/>
      <c r="I1617" s="11"/>
      <c r="J1617" s="11"/>
      <c r="K1617" s="11"/>
      <c r="L1617" s="11"/>
      <c r="M1617" s="11"/>
      <c r="N1617" s="11"/>
      <c r="O1617" s="11"/>
      <c r="P1617" s="11"/>
      <c r="Q1617" s="11"/>
      <c r="R1617" s="11"/>
      <c r="S1617" s="11"/>
      <c r="T1617" s="11"/>
      <c r="U1617" s="11"/>
      <c r="V1617" s="11"/>
      <c r="W1617" s="11"/>
      <c r="X1617" s="11"/>
      <c r="Y1617" s="11"/>
      <c r="Z1617" s="11"/>
      <c r="AA1617" s="11"/>
      <c r="AB1617" s="11"/>
      <c r="AC1617" s="11"/>
    </row>
    <row r="1618" spans="1:29" x14ac:dyDescent="0.3">
      <c r="A1618" s="11"/>
      <c r="B1618" s="11"/>
      <c r="C1618" s="11"/>
      <c r="D1618" s="11"/>
      <c r="E1618" s="11"/>
      <c r="F1618" s="11"/>
      <c r="G1618" s="11"/>
      <c r="H1618" s="11"/>
      <c r="I1618" s="11"/>
      <c r="J1618" s="11"/>
      <c r="K1618" s="11"/>
      <c r="L1618" s="11"/>
      <c r="M1618" s="11"/>
      <c r="N1618" s="11"/>
      <c r="O1618" s="11"/>
      <c r="P1618" s="11"/>
      <c r="Q1618" s="11"/>
      <c r="R1618" s="11"/>
      <c r="S1618" s="11"/>
      <c r="T1618" s="11"/>
      <c r="U1618" s="11"/>
      <c r="V1618" s="11"/>
      <c r="W1618" s="11"/>
      <c r="X1618" s="11"/>
      <c r="Y1618" s="11"/>
      <c r="Z1618" s="11"/>
      <c r="AA1618" s="11"/>
      <c r="AB1618" s="11"/>
      <c r="AC1618" s="11"/>
    </row>
    <row r="1619" spans="1:29" x14ac:dyDescent="0.3">
      <c r="A1619" s="11"/>
      <c r="B1619" s="11"/>
      <c r="C1619" s="11"/>
      <c r="D1619" s="11"/>
      <c r="E1619" s="11"/>
      <c r="F1619" s="11"/>
      <c r="G1619" s="11"/>
      <c r="H1619" s="11"/>
      <c r="I1619" s="11"/>
      <c r="J1619" s="11"/>
      <c r="K1619" s="11"/>
      <c r="L1619" s="11"/>
      <c r="M1619" s="11"/>
      <c r="N1619" s="11"/>
      <c r="O1619" s="11"/>
      <c r="P1619" s="11"/>
      <c r="Q1619" s="11"/>
      <c r="R1619" s="11"/>
      <c r="S1619" s="11"/>
      <c r="T1619" s="11"/>
      <c r="U1619" s="11"/>
      <c r="V1619" s="11"/>
      <c r="W1619" s="11"/>
      <c r="X1619" s="11"/>
      <c r="Y1619" s="11"/>
      <c r="Z1619" s="11"/>
      <c r="AA1619" s="11"/>
      <c r="AB1619" s="11"/>
      <c r="AC1619" s="11"/>
    </row>
    <row r="1620" spans="1:29" x14ac:dyDescent="0.3">
      <c r="A1620" s="11"/>
      <c r="B1620" s="11"/>
      <c r="C1620" s="11"/>
      <c r="D1620" s="11"/>
      <c r="E1620" s="11"/>
      <c r="F1620" s="11"/>
      <c r="G1620" s="11"/>
      <c r="H1620" s="11"/>
      <c r="I1620" s="11"/>
      <c r="J1620" s="11"/>
      <c r="K1620" s="11"/>
      <c r="L1620" s="11"/>
      <c r="M1620" s="11"/>
      <c r="N1620" s="11"/>
      <c r="O1620" s="11"/>
      <c r="P1620" s="11"/>
      <c r="Q1620" s="11"/>
      <c r="R1620" s="11"/>
      <c r="S1620" s="11"/>
      <c r="T1620" s="11"/>
      <c r="U1620" s="11"/>
      <c r="V1620" s="11"/>
      <c r="W1620" s="11"/>
      <c r="X1620" s="11"/>
      <c r="Y1620" s="11"/>
      <c r="Z1620" s="11"/>
      <c r="AA1620" s="11"/>
      <c r="AB1620" s="11"/>
      <c r="AC1620" s="11"/>
    </row>
    <row r="1621" spans="1:29" x14ac:dyDescent="0.3">
      <c r="A1621" s="11"/>
      <c r="B1621" s="11"/>
      <c r="C1621" s="11"/>
      <c r="D1621" s="11"/>
      <c r="E1621" s="11"/>
      <c r="F1621" s="11"/>
      <c r="G1621" s="11"/>
      <c r="H1621" s="11"/>
      <c r="I1621" s="11"/>
      <c r="J1621" s="11"/>
      <c r="K1621" s="11"/>
      <c r="L1621" s="11"/>
      <c r="M1621" s="11"/>
      <c r="N1621" s="11"/>
      <c r="O1621" s="11"/>
      <c r="P1621" s="11"/>
      <c r="Q1621" s="11"/>
      <c r="R1621" s="11"/>
      <c r="S1621" s="11"/>
      <c r="T1621" s="11"/>
      <c r="U1621" s="11"/>
      <c r="V1621" s="11"/>
      <c r="W1621" s="11"/>
      <c r="X1621" s="11"/>
      <c r="Y1621" s="11"/>
      <c r="Z1621" s="11"/>
      <c r="AA1621" s="11"/>
      <c r="AB1621" s="11"/>
      <c r="AC1621" s="11"/>
    </row>
    <row r="1622" spans="1:29" x14ac:dyDescent="0.3">
      <c r="A1622" s="11"/>
      <c r="B1622" s="11"/>
      <c r="C1622" s="11"/>
      <c r="D1622" s="11"/>
      <c r="E1622" s="11"/>
      <c r="F1622" s="11"/>
      <c r="G1622" s="11"/>
      <c r="H1622" s="11"/>
      <c r="I1622" s="11"/>
      <c r="J1622" s="11"/>
      <c r="K1622" s="11"/>
      <c r="L1622" s="11"/>
      <c r="M1622" s="11"/>
      <c r="N1622" s="11"/>
      <c r="O1622" s="11"/>
      <c r="P1622" s="11"/>
      <c r="Q1622" s="11"/>
      <c r="R1622" s="11"/>
      <c r="S1622" s="11"/>
      <c r="T1622" s="11"/>
      <c r="U1622" s="11"/>
      <c r="V1622" s="11"/>
      <c r="W1622" s="11"/>
      <c r="X1622" s="11"/>
      <c r="Y1622" s="11"/>
      <c r="Z1622" s="11"/>
      <c r="AA1622" s="11"/>
      <c r="AB1622" s="11"/>
      <c r="AC1622" s="11"/>
    </row>
    <row r="1623" spans="1:29" x14ac:dyDescent="0.3">
      <c r="A1623" s="11"/>
      <c r="B1623" s="11"/>
      <c r="C1623" s="11"/>
      <c r="D1623" s="11"/>
      <c r="E1623" s="11"/>
      <c r="F1623" s="11"/>
      <c r="G1623" s="11"/>
      <c r="H1623" s="11"/>
      <c r="I1623" s="11"/>
      <c r="J1623" s="11"/>
      <c r="K1623" s="11"/>
      <c r="L1623" s="11"/>
      <c r="M1623" s="11"/>
      <c r="N1623" s="11"/>
      <c r="O1623" s="11"/>
      <c r="P1623" s="11"/>
      <c r="Q1623" s="11"/>
      <c r="R1623" s="11"/>
      <c r="S1623" s="11"/>
      <c r="T1623" s="11"/>
      <c r="U1623" s="11"/>
      <c r="V1623" s="11"/>
      <c r="W1623" s="11"/>
      <c r="X1623" s="11"/>
      <c r="Y1623" s="11"/>
      <c r="Z1623" s="11"/>
      <c r="AA1623" s="11"/>
      <c r="AB1623" s="11"/>
      <c r="AC1623" s="11"/>
    </row>
    <row r="1624" spans="1:29" x14ac:dyDescent="0.3">
      <c r="A1624" s="11"/>
      <c r="B1624" s="11"/>
      <c r="C1624" s="11"/>
      <c r="D1624" s="11"/>
      <c r="E1624" s="11"/>
      <c r="F1624" s="11"/>
      <c r="G1624" s="11"/>
      <c r="H1624" s="11"/>
      <c r="I1624" s="11"/>
      <c r="J1624" s="11"/>
      <c r="K1624" s="11"/>
      <c r="L1624" s="11"/>
      <c r="M1624" s="11"/>
      <c r="N1624" s="11"/>
      <c r="O1624" s="11"/>
      <c r="P1624" s="11"/>
      <c r="Q1624" s="11"/>
      <c r="R1624" s="11"/>
      <c r="S1624" s="11"/>
      <c r="T1624" s="11"/>
      <c r="U1624" s="11"/>
      <c r="V1624" s="11"/>
      <c r="W1624" s="11"/>
      <c r="X1624" s="11"/>
      <c r="Y1624" s="11"/>
      <c r="Z1624" s="11"/>
      <c r="AA1624" s="11"/>
      <c r="AB1624" s="11"/>
      <c r="AC1624" s="11"/>
    </row>
    <row r="1625" spans="1:29" x14ac:dyDescent="0.3">
      <c r="A1625" s="11"/>
      <c r="B1625" s="11"/>
      <c r="C1625" s="11"/>
      <c r="D1625" s="11"/>
      <c r="E1625" s="11"/>
      <c r="F1625" s="11"/>
      <c r="G1625" s="11"/>
      <c r="H1625" s="11"/>
      <c r="I1625" s="11"/>
      <c r="J1625" s="11"/>
      <c r="K1625" s="11"/>
      <c r="L1625" s="11"/>
      <c r="M1625" s="11"/>
      <c r="N1625" s="11"/>
      <c r="O1625" s="11"/>
      <c r="P1625" s="11"/>
      <c r="Q1625" s="11"/>
      <c r="R1625" s="11"/>
      <c r="S1625" s="11"/>
      <c r="T1625" s="11"/>
      <c r="U1625" s="11"/>
      <c r="V1625" s="11"/>
      <c r="W1625" s="11"/>
      <c r="X1625" s="11"/>
      <c r="Y1625" s="11"/>
      <c r="Z1625" s="11"/>
      <c r="AA1625" s="11"/>
      <c r="AB1625" s="11"/>
      <c r="AC1625" s="11"/>
    </row>
    <row r="1626" spans="1:29" x14ac:dyDescent="0.3">
      <c r="A1626" s="11"/>
      <c r="B1626" s="11"/>
      <c r="C1626" s="11"/>
      <c r="D1626" s="11"/>
      <c r="E1626" s="11"/>
      <c r="F1626" s="11"/>
      <c r="G1626" s="11"/>
      <c r="H1626" s="11"/>
      <c r="I1626" s="11"/>
      <c r="J1626" s="11"/>
      <c r="K1626" s="11"/>
      <c r="L1626" s="11"/>
      <c r="M1626" s="11"/>
      <c r="N1626" s="11"/>
      <c r="O1626" s="11"/>
      <c r="P1626" s="11"/>
      <c r="Q1626" s="11"/>
      <c r="R1626" s="11"/>
      <c r="S1626" s="11"/>
      <c r="T1626" s="11"/>
      <c r="U1626" s="11"/>
      <c r="V1626" s="11"/>
      <c r="W1626" s="11"/>
      <c r="X1626" s="11"/>
      <c r="Y1626" s="11"/>
      <c r="Z1626" s="11"/>
      <c r="AA1626" s="11"/>
      <c r="AB1626" s="11"/>
      <c r="AC1626" s="11"/>
    </row>
    <row r="1627" spans="1:29" x14ac:dyDescent="0.3">
      <c r="A1627" s="11"/>
      <c r="B1627" s="11"/>
      <c r="C1627" s="11"/>
      <c r="D1627" s="11"/>
      <c r="E1627" s="11"/>
      <c r="F1627" s="11"/>
      <c r="G1627" s="11"/>
      <c r="H1627" s="11"/>
      <c r="I1627" s="11"/>
      <c r="J1627" s="11"/>
      <c r="K1627" s="11"/>
      <c r="L1627" s="11"/>
      <c r="M1627" s="11"/>
      <c r="N1627" s="11"/>
      <c r="O1627" s="11"/>
      <c r="P1627" s="11"/>
      <c r="Q1627" s="11"/>
      <c r="R1627" s="11"/>
      <c r="S1627" s="11"/>
      <c r="T1627" s="11"/>
      <c r="U1627" s="11"/>
      <c r="V1627" s="11"/>
      <c r="W1627" s="11"/>
      <c r="X1627" s="11"/>
      <c r="Y1627" s="11"/>
      <c r="Z1627" s="11"/>
      <c r="AA1627" s="11"/>
      <c r="AB1627" s="11"/>
      <c r="AC1627" s="11"/>
    </row>
    <row r="1628" spans="1:29" x14ac:dyDescent="0.3">
      <c r="A1628" s="11"/>
      <c r="B1628" s="11"/>
      <c r="C1628" s="11"/>
      <c r="D1628" s="11"/>
      <c r="E1628" s="11"/>
      <c r="F1628" s="11"/>
      <c r="G1628" s="11"/>
      <c r="H1628" s="11"/>
      <c r="I1628" s="11"/>
      <c r="J1628" s="11"/>
      <c r="K1628" s="11"/>
      <c r="L1628" s="11"/>
      <c r="M1628" s="11"/>
      <c r="N1628" s="11"/>
      <c r="O1628" s="11"/>
      <c r="P1628" s="11"/>
      <c r="Q1628" s="11"/>
      <c r="R1628" s="11"/>
      <c r="S1628" s="11"/>
      <c r="T1628" s="11"/>
      <c r="U1628" s="11"/>
      <c r="V1628" s="11"/>
      <c r="W1628" s="11"/>
      <c r="X1628" s="11"/>
      <c r="Y1628" s="11"/>
      <c r="Z1628" s="11"/>
      <c r="AA1628" s="11"/>
      <c r="AB1628" s="11"/>
      <c r="AC1628" s="11"/>
    </row>
    <row r="1629" spans="1:29" x14ac:dyDescent="0.3">
      <c r="A1629" s="11"/>
      <c r="B1629" s="11"/>
      <c r="C1629" s="11"/>
      <c r="D1629" s="11"/>
      <c r="E1629" s="11"/>
      <c r="F1629" s="11"/>
      <c r="G1629" s="11"/>
      <c r="H1629" s="11"/>
      <c r="I1629" s="11"/>
      <c r="J1629" s="11"/>
      <c r="K1629" s="11"/>
      <c r="L1629" s="11"/>
      <c r="M1629" s="11"/>
      <c r="N1629" s="11"/>
      <c r="O1629" s="11"/>
      <c r="P1629" s="11"/>
      <c r="Q1629" s="11"/>
      <c r="R1629" s="11"/>
      <c r="S1629" s="11"/>
      <c r="T1629" s="11"/>
      <c r="U1629" s="11"/>
      <c r="V1629" s="11"/>
      <c r="W1629" s="11"/>
      <c r="X1629" s="11"/>
      <c r="Y1629" s="11"/>
      <c r="Z1629" s="11"/>
      <c r="AA1629" s="11"/>
      <c r="AB1629" s="11"/>
      <c r="AC1629" s="11"/>
    </row>
    <row r="1630" spans="1:29" x14ac:dyDescent="0.3">
      <c r="A1630" s="11"/>
      <c r="B1630" s="11"/>
      <c r="C1630" s="11"/>
      <c r="D1630" s="11"/>
      <c r="E1630" s="11"/>
      <c r="F1630" s="11"/>
      <c r="G1630" s="11"/>
      <c r="H1630" s="11"/>
      <c r="I1630" s="11"/>
      <c r="J1630" s="11"/>
      <c r="K1630" s="11"/>
      <c r="L1630" s="11"/>
      <c r="M1630" s="11"/>
      <c r="N1630" s="11"/>
      <c r="O1630" s="11"/>
      <c r="P1630" s="11"/>
      <c r="Q1630" s="11"/>
      <c r="R1630" s="11"/>
      <c r="S1630" s="11"/>
      <c r="T1630" s="11"/>
      <c r="U1630" s="11"/>
      <c r="V1630" s="11"/>
      <c r="W1630" s="11"/>
      <c r="X1630" s="11"/>
      <c r="Y1630" s="11"/>
      <c r="Z1630" s="11"/>
      <c r="AA1630" s="11"/>
      <c r="AB1630" s="11"/>
      <c r="AC1630" s="11"/>
    </row>
    <row r="1631" spans="1:29" x14ac:dyDescent="0.3">
      <c r="A1631" s="11"/>
      <c r="B1631" s="11"/>
      <c r="C1631" s="11"/>
      <c r="D1631" s="11"/>
      <c r="E1631" s="11"/>
      <c r="F1631" s="11"/>
      <c r="G1631" s="11"/>
      <c r="H1631" s="11"/>
      <c r="I1631" s="11"/>
      <c r="J1631" s="11"/>
      <c r="K1631" s="11"/>
      <c r="L1631" s="11"/>
      <c r="M1631" s="11"/>
      <c r="N1631" s="11"/>
      <c r="O1631" s="11"/>
      <c r="P1631" s="11"/>
      <c r="Q1631" s="11"/>
      <c r="R1631" s="11"/>
      <c r="S1631" s="11"/>
      <c r="T1631" s="11"/>
      <c r="U1631" s="11"/>
      <c r="V1631" s="11"/>
      <c r="W1631" s="11"/>
      <c r="X1631" s="11"/>
      <c r="Y1631" s="11"/>
      <c r="Z1631" s="11"/>
      <c r="AA1631" s="11"/>
      <c r="AB1631" s="11"/>
      <c r="AC1631" s="11"/>
    </row>
    <row r="1632" spans="1:29" x14ac:dyDescent="0.3">
      <c r="A1632" s="11"/>
      <c r="B1632" s="11"/>
      <c r="C1632" s="11"/>
      <c r="D1632" s="11"/>
      <c r="E1632" s="11"/>
      <c r="F1632" s="11"/>
      <c r="G1632" s="11"/>
      <c r="H1632" s="11"/>
      <c r="I1632" s="11"/>
      <c r="J1632" s="11"/>
      <c r="K1632" s="11"/>
      <c r="L1632" s="11"/>
      <c r="M1632" s="11"/>
      <c r="N1632" s="11"/>
      <c r="O1632" s="11"/>
      <c r="P1632" s="11"/>
      <c r="Q1632" s="11"/>
      <c r="R1632" s="11"/>
      <c r="S1632" s="11"/>
      <c r="T1632" s="11"/>
      <c r="U1632" s="11"/>
      <c r="V1632" s="11"/>
      <c r="W1632" s="11"/>
      <c r="X1632" s="11"/>
      <c r="Y1632" s="11"/>
      <c r="Z1632" s="11"/>
      <c r="AA1632" s="11"/>
      <c r="AB1632" s="11"/>
      <c r="AC1632" s="11"/>
    </row>
    <row r="1633" spans="1:29" x14ac:dyDescent="0.3">
      <c r="A1633" s="11"/>
      <c r="B1633" s="11"/>
      <c r="C1633" s="11"/>
      <c r="D1633" s="11"/>
      <c r="E1633" s="11"/>
      <c r="F1633" s="11"/>
      <c r="G1633" s="11"/>
      <c r="H1633" s="11"/>
      <c r="I1633" s="11"/>
      <c r="J1633" s="11"/>
      <c r="K1633" s="11"/>
      <c r="L1633" s="11"/>
      <c r="M1633" s="11"/>
      <c r="N1633" s="11"/>
      <c r="O1633" s="11"/>
      <c r="P1633" s="11"/>
      <c r="Q1633" s="11"/>
      <c r="R1633" s="11"/>
      <c r="S1633" s="11"/>
      <c r="T1633" s="11"/>
      <c r="U1633" s="11"/>
      <c r="V1633" s="11"/>
      <c r="W1633" s="11"/>
      <c r="X1633" s="11"/>
      <c r="Y1633" s="11"/>
      <c r="Z1633" s="11"/>
      <c r="AA1633" s="11"/>
      <c r="AB1633" s="11"/>
      <c r="AC1633" s="11"/>
    </row>
    <row r="1634" spans="1:29" x14ac:dyDescent="0.3">
      <c r="A1634" s="11"/>
      <c r="B1634" s="11"/>
      <c r="C1634" s="11"/>
      <c r="D1634" s="11"/>
      <c r="E1634" s="11"/>
      <c r="F1634" s="11"/>
      <c r="G1634" s="11"/>
      <c r="H1634" s="11"/>
      <c r="I1634" s="11"/>
      <c r="J1634" s="11"/>
      <c r="K1634" s="11"/>
      <c r="L1634" s="11"/>
      <c r="M1634" s="11"/>
      <c r="N1634" s="11"/>
      <c r="O1634" s="11"/>
      <c r="P1634" s="11"/>
      <c r="Q1634" s="11"/>
      <c r="R1634" s="11"/>
      <c r="S1634" s="11"/>
      <c r="T1634" s="11"/>
      <c r="U1634" s="11"/>
      <c r="V1634" s="11"/>
      <c r="W1634" s="11"/>
      <c r="X1634" s="11"/>
      <c r="Y1634" s="11"/>
      <c r="Z1634" s="11"/>
      <c r="AA1634" s="11"/>
      <c r="AB1634" s="11"/>
      <c r="AC1634" s="11"/>
    </row>
    <row r="1635" spans="1:29" x14ac:dyDescent="0.3">
      <c r="A1635" s="11"/>
      <c r="B1635" s="11"/>
      <c r="C1635" s="11"/>
      <c r="D1635" s="11"/>
      <c r="E1635" s="11"/>
      <c r="F1635" s="11"/>
      <c r="G1635" s="11"/>
      <c r="H1635" s="11"/>
      <c r="I1635" s="11"/>
      <c r="J1635" s="11"/>
      <c r="K1635" s="11"/>
      <c r="L1635" s="11"/>
      <c r="M1635" s="11"/>
      <c r="N1635" s="11"/>
      <c r="O1635" s="11"/>
      <c r="P1635" s="11"/>
      <c r="Q1635" s="11"/>
      <c r="R1635" s="11"/>
      <c r="S1635" s="11"/>
      <c r="T1635" s="11"/>
      <c r="U1635" s="11"/>
      <c r="V1635" s="11"/>
      <c r="W1635" s="11"/>
      <c r="X1635" s="11"/>
      <c r="Y1635" s="11"/>
      <c r="Z1635" s="11"/>
      <c r="AA1635" s="11"/>
      <c r="AB1635" s="11"/>
      <c r="AC1635" s="11"/>
    </row>
    <row r="1636" spans="1:29" x14ac:dyDescent="0.3">
      <c r="A1636" s="11"/>
      <c r="B1636" s="11"/>
      <c r="C1636" s="11"/>
      <c r="D1636" s="11"/>
      <c r="E1636" s="11"/>
      <c r="F1636" s="11"/>
      <c r="G1636" s="11"/>
      <c r="H1636" s="11"/>
      <c r="I1636" s="11"/>
      <c r="J1636" s="11"/>
      <c r="K1636" s="11"/>
      <c r="L1636" s="11"/>
      <c r="M1636" s="11"/>
      <c r="N1636" s="11"/>
      <c r="O1636" s="11"/>
      <c r="P1636" s="11"/>
      <c r="Q1636" s="11"/>
      <c r="R1636" s="11"/>
      <c r="S1636" s="11"/>
      <c r="T1636" s="11"/>
      <c r="U1636" s="11"/>
      <c r="V1636" s="11"/>
      <c r="W1636" s="11"/>
      <c r="X1636" s="11"/>
      <c r="Y1636" s="11"/>
      <c r="Z1636" s="11"/>
      <c r="AA1636" s="11"/>
      <c r="AB1636" s="11"/>
      <c r="AC1636" s="11"/>
    </row>
    <row r="1637" spans="1:29" x14ac:dyDescent="0.3">
      <c r="A1637" s="11"/>
      <c r="B1637" s="11"/>
      <c r="C1637" s="11"/>
      <c r="D1637" s="11"/>
      <c r="E1637" s="11"/>
      <c r="F1637" s="11"/>
      <c r="G1637" s="11"/>
      <c r="H1637" s="11"/>
      <c r="I1637" s="11"/>
      <c r="J1637" s="11"/>
      <c r="K1637" s="11"/>
      <c r="L1637" s="11"/>
      <c r="M1637" s="11"/>
      <c r="N1637" s="11"/>
      <c r="O1637" s="11"/>
      <c r="P1637" s="11"/>
      <c r="Q1637" s="11"/>
      <c r="R1637" s="11"/>
      <c r="S1637" s="11"/>
      <c r="T1637" s="11"/>
      <c r="U1637" s="11"/>
      <c r="V1637" s="11"/>
      <c r="W1637" s="11"/>
      <c r="X1637" s="11"/>
      <c r="Y1637" s="11"/>
      <c r="Z1637" s="11"/>
      <c r="AA1637" s="11"/>
      <c r="AB1637" s="11"/>
      <c r="AC1637" s="11"/>
    </row>
    <row r="1638" spans="1:29" x14ac:dyDescent="0.3">
      <c r="A1638" s="11"/>
      <c r="B1638" s="11"/>
      <c r="C1638" s="11"/>
      <c r="D1638" s="11"/>
      <c r="E1638" s="11"/>
      <c r="F1638" s="11"/>
      <c r="G1638" s="11"/>
      <c r="H1638" s="11"/>
      <c r="I1638" s="11"/>
      <c r="J1638" s="11"/>
      <c r="K1638" s="11"/>
      <c r="L1638" s="11"/>
      <c r="M1638" s="11"/>
      <c r="N1638" s="11"/>
      <c r="O1638" s="11"/>
      <c r="P1638" s="11"/>
      <c r="Q1638" s="11"/>
      <c r="R1638" s="11"/>
      <c r="S1638" s="11"/>
      <c r="T1638" s="11"/>
      <c r="U1638" s="11"/>
      <c r="V1638" s="11"/>
      <c r="W1638" s="11"/>
      <c r="X1638" s="11"/>
      <c r="Y1638" s="11"/>
      <c r="Z1638" s="11"/>
      <c r="AA1638" s="11"/>
      <c r="AB1638" s="11"/>
      <c r="AC1638" s="11"/>
    </row>
    <row r="1639" spans="1:29" x14ac:dyDescent="0.3">
      <c r="A1639" s="11"/>
      <c r="B1639" s="11"/>
      <c r="C1639" s="11"/>
      <c r="D1639" s="11"/>
      <c r="E1639" s="11"/>
      <c r="F1639" s="11"/>
      <c r="G1639" s="11"/>
      <c r="H1639" s="11"/>
      <c r="I1639" s="11"/>
      <c r="J1639" s="11"/>
      <c r="K1639" s="11"/>
      <c r="L1639" s="11"/>
      <c r="M1639" s="11"/>
      <c r="N1639" s="11"/>
      <c r="O1639" s="11"/>
      <c r="P1639" s="11"/>
      <c r="Q1639" s="11"/>
      <c r="R1639" s="11"/>
      <c r="S1639" s="11"/>
      <c r="T1639" s="11"/>
      <c r="U1639" s="11"/>
      <c r="V1639" s="11"/>
      <c r="W1639" s="11"/>
      <c r="X1639" s="11"/>
      <c r="Y1639" s="11"/>
      <c r="Z1639" s="11"/>
      <c r="AA1639" s="11"/>
      <c r="AB1639" s="11"/>
      <c r="AC1639" s="11"/>
    </row>
    <row r="1640" spans="1:29" x14ac:dyDescent="0.3">
      <c r="A1640" s="11"/>
      <c r="B1640" s="11"/>
      <c r="C1640" s="11"/>
      <c r="D1640" s="11"/>
      <c r="E1640" s="11"/>
      <c r="F1640" s="11"/>
      <c r="G1640" s="11"/>
      <c r="H1640" s="11"/>
      <c r="I1640" s="11"/>
      <c r="J1640" s="11"/>
      <c r="K1640" s="11"/>
      <c r="L1640" s="11"/>
      <c r="M1640" s="11"/>
      <c r="N1640" s="11"/>
      <c r="O1640" s="11"/>
      <c r="P1640" s="11"/>
      <c r="Q1640" s="11"/>
      <c r="R1640" s="11"/>
      <c r="S1640" s="11"/>
      <c r="T1640" s="11"/>
      <c r="U1640" s="11"/>
      <c r="V1640" s="11"/>
      <c r="W1640" s="11"/>
      <c r="X1640" s="11"/>
      <c r="Y1640" s="11"/>
      <c r="Z1640" s="11"/>
      <c r="AA1640" s="11"/>
      <c r="AB1640" s="11"/>
      <c r="AC1640" s="11"/>
    </row>
    <row r="1641" spans="1:29" x14ac:dyDescent="0.3">
      <c r="A1641" s="11"/>
      <c r="B1641" s="11"/>
      <c r="C1641" s="11"/>
      <c r="D1641" s="11"/>
      <c r="E1641" s="11"/>
      <c r="F1641" s="11"/>
      <c r="G1641" s="11"/>
      <c r="H1641" s="11"/>
      <c r="I1641" s="11"/>
      <c r="J1641" s="11"/>
      <c r="K1641" s="11"/>
      <c r="L1641" s="11"/>
      <c r="M1641" s="11"/>
      <c r="N1641" s="11"/>
      <c r="O1641" s="11"/>
      <c r="P1641" s="11"/>
      <c r="Q1641" s="11"/>
      <c r="R1641" s="11"/>
      <c r="S1641" s="11"/>
      <c r="T1641" s="11"/>
      <c r="U1641" s="11"/>
      <c r="V1641" s="11"/>
      <c r="W1641" s="11"/>
      <c r="X1641" s="11"/>
      <c r="Y1641" s="11"/>
      <c r="Z1641" s="11"/>
      <c r="AA1641" s="11"/>
      <c r="AB1641" s="11"/>
      <c r="AC1641" s="11"/>
    </row>
    <row r="1642" spans="1:29" x14ac:dyDescent="0.3">
      <c r="A1642" s="11"/>
      <c r="B1642" s="11"/>
      <c r="C1642" s="11"/>
      <c r="D1642" s="11"/>
      <c r="E1642" s="11"/>
      <c r="F1642" s="11"/>
      <c r="G1642" s="11"/>
      <c r="H1642" s="11"/>
      <c r="I1642" s="11"/>
      <c r="J1642" s="11"/>
      <c r="K1642" s="11"/>
      <c r="L1642" s="11"/>
      <c r="M1642" s="11"/>
      <c r="N1642" s="11"/>
      <c r="O1642" s="11"/>
      <c r="P1642" s="11"/>
      <c r="Q1642" s="11"/>
      <c r="R1642" s="11"/>
      <c r="S1642" s="11"/>
      <c r="T1642" s="11"/>
      <c r="U1642" s="11"/>
      <c r="V1642" s="11"/>
      <c r="W1642" s="11"/>
      <c r="X1642" s="11"/>
      <c r="Y1642" s="11"/>
      <c r="Z1642" s="11"/>
      <c r="AA1642" s="11"/>
      <c r="AB1642" s="11"/>
      <c r="AC1642" s="11"/>
    </row>
    <row r="1643" spans="1:29" x14ac:dyDescent="0.3">
      <c r="A1643" s="11"/>
      <c r="B1643" s="11"/>
      <c r="C1643" s="11"/>
      <c r="D1643" s="11"/>
      <c r="E1643" s="11"/>
      <c r="F1643" s="11"/>
      <c r="G1643" s="11"/>
      <c r="H1643" s="11"/>
      <c r="I1643" s="11"/>
      <c r="J1643" s="11"/>
      <c r="K1643" s="11"/>
      <c r="L1643" s="11"/>
      <c r="M1643" s="11"/>
      <c r="N1643" s="11"/>
      <c r="O1643" s="11"/>
      <c r="P1643" s="11"/>
      <c r="Q1643" s="11"/>
      <c r="R1643" s="11"/>
      <c r="S1643" s="11"/>
      <c r="T1643" s="11"/>
      <c r="U1643" s="11"/>
      <c r="V1643" s="11"/>
      <c r="W1643" s="11"/>
      <c r="X1643" s="11"/>
      <c r="Y1643" s="11"/>
      <c r="Z1643" s="11"/>
      <c r="AA1643" s="11"/>
      <c r="AB1643" s="11"/>
      <c r="AC1643" s="11"/>
    </row>
    <row r="1644" spans="1:29" x14ac:dyDescent="0.3">
      <c r="A1644" s="11"/>
      <c r="B1644" s="11"/>
      <c r="C1644" s="11"/>
      <c r="D1644" s="11"/>
      <c r="E1644" s="11"/>
      <c r="F1644" s="11"/>
      <c r="G1644" s="11"/>
      <c r="H1644" s="11"/>
      <c r="I1644" s="11"/>
      <c r="J1644" s="11"/>
      <c r="K1644" s="11"/>
      <c r="L1644" s="11"/>
      <c r="M1644" s="11"/>
      <c r="N1644" s="11"/>
      <c r="O1644" s="11"/>
      <c r="P1644" s="11"/>
      <c r="Q1644" s="11"/>
      <c r="R1644" s="11"/>
      <c r="S1644" s="11"/>
      <c r="T1644" s="11"/>
      <c r="U1644" s="11"/>
      <c r="V1644" s="11"/>
      <c r="W1644" s="11"/>
      <c r="X1644" s="11"/>
      <c r="Y1644" s="11"/>
      <c r="Z1644" s="11"/>
      <c r="AA1644" s="11"/>
      <c r="AB1644" s="11"/>
      <c r="AC1644" s="11"/>
    </row>
    <row r="1645" spans="1:29" x14ac:dyDescent="0.3">
      <c r="A1645" s="11"/>
      <c r="B1645" s="11"/>
      <c r="C1645" s="11"/>
      <c r="D1645" s="11"/>
      <c r="E1645" s="11"/>
      <c r="F1645" s="11"/>
      <c r="G1645" s="11"/>
      <c r="H1645" s="11"/>
      <c r="I1645" s="11"/>
      <c r="J1645" s="11"/>
      <c r="K1645" s="11"/>
      <c r="L1645" s="11"/>
      <c r="M1645" s="11"/>
      <c r="N1645" s="11"/>
      <c r="O1645" s="11"/>
      <c r="P1645" s="11"/>
      <c r="Q1645" s="11"/>
      <c r="R1645" s="11"/>
      <c r="S1645" s="11"/>
      <c r="T1645" s="11"/>
      <c r="U1645" s="11"/>
      <c r="V1645" s="11"/>
      <c r="W1645" s="11"/>
      <c r="X1645" s="11"/>
      <c r="Y1645" s="11"/>
      <c r="Z1645" s="11"/>
      <c r="AA1645" s="11"/>
      <c r="AB1645" s="11"/>
      <c r="AC1645" s="11"/>
    </row>
    <row r="1646" spans="1:29" x14ac:dyDescent="0.3">
      <c r="A1646" s="11"/>
      <c r="B1646" s="11"/>
      <c r="C1646" s="11"/>
      <c r="D1646" s="11"/>
      <c r="E1646" s="11"/>
      <c r="F1646" s="11"/>
      <c r="G1646" s="11"/>
      <c r="H1646" s="11"/>
      <c r="I1646" s="11"/>
      <c r="J1646" s="11"/>
      <c r="K1646" s="11"/>
      <c r="L1646" s="11"/>
      <c r="M1646" s="11"/>
      <c r="N1646" s="11"/>
      <c r="O1646" s="11"/>
      <c r="P1646" s="11"/>
      <c r="Q1646" s="11"/>
      <c r="R1646" s="11"/>
      <c r="S1646" s="11"/>
      <c r="T1646" s="11"/>
      <c r="U1646" s="11"/>
      <c r="V1646" s="11"/>
      <c r="W1646" s="11"/>
      <c r="X1646" s="11"/>
      <c r="Y1646" s="11"/>
      <c r="Z1646" s="11"/>
      <c r="AA1646" s="11"/>
      <c r="AB1646" s="11"/>
      <c r="AC1646" s="11"/>
    </row>
    <row r="1647" spans="1:29" x14ac:dyDescent="0.3">
      <c r="A1647" s="11"/>
      <c r="B1647" s="11"/>
      <c r="C1647" s="11"/>
      <c r="D1647" s="11"/>
      <c r="E1647" s="11"/>
      <c r="F1647" s="11"/>
      <c r="G1647" s="11"/>
      <c r="H1647" s="11"/>
      <c r="I1647" s="11"/>
      <c r="J1647" s="11"/>
      <c r="K1647" s="11"/>
      <c r="L1647" s="11"/>
      <c r="M1647" s="11"/>
      <c r="N1647" s="11"/>
      <c r="O1647" s="11"/>
      <c r="P1647" s="11"/>
      <c r="Q1647" s="11"/>
      <c r="R1647" s="11"/>
      <c r="S1647" s="11"/>
      <c r="T1647" s="11"/>
      <c r="U1647" s="11"/>
      <c r="V1647" s="11"/>
      <c r="W1647" s="11"/>
      <c r="X1647" s="11"/>
      <c r="Y1647" s="11"/>
      <c r="Z1647" s="11"/>
      <c r="AA1647" s="11"/>
      <c r="AB1647" s="11"/>
      <c r="AC1647" s="11"/>
    </row>
    <row r="1648" spans="1:29" x14ac:dyDescent="0.3">
      <c r="A1648" s="11"/>
      <c r="B1648" s="11"/>
      <c r="C1648" s="11"/>
      <c r="D1648" s="11"/>
      <c r="E1648" s="11"/>
      <c r="F1648" s="11"/>
      <c r="G1648" s="11"/>
      <c r="H1648" s="11"/>
      <c r="I1648" s="11"/>
      <c r="J1648" s="11"/>
      <c r="K1648" s="11"/>
      <c r="L1648" s="11"/>
      <c r="M1648" s="11"/>
      <c r="N1648" s="11"/>
      <c r="O1648" s="11"/>
      <c r="P1648" s="11"/>
      <c r="Q1648" s="11"/>
      <c r="R1648" s="11"/>
      <c r="S1648" s="11"/>
      <c r="T1648" s="11"/>
      <c r="U1648" s="11"/>
      <c r="V1648" s="11"/>
      <c r="W1648" s="11"/>
      <c r="X1648" s="11"/>
      <c r="Y1648" s="11"/>
      <c r="Z1648" s="11"/>
      <c r="AA1648" s="11"/>
      <c r="AB1648" s="11"/>
      <c r="AC1648" s="11"/>
    </row>
    <row r="1649" spans="1:29" x14ac:dyDescent="0.3">
      <c r="A1649" s="11"/>
      <c r="B1649" s="11"/>
      <c r="C1649" s="11"/>
      <c r="D1649" s="11"/>
      <c r="E1649" s="11"/>
      <c r="F1649" s="11"/>
      <c r="G1649" s="11"/>
      <c r="H1649" s="11"/>
      <c r="I1649" s="11"/>
      <c r="J1649" s="11"/>
      <c r="K1649" s="11"/>
      <c r="L1649" s="11"/>
      <c r="M1649" s="11"/>
      <c r="N1649" s="11"/>
      <c r="O1649" s="11"/>
      <c r="P1649" s="11"/>
      <c r="Q1649" s="11"/>
      <c r="R1649" s="11"/>
      <c r="S1649" s="11"/>
      <c r="T1649" s="11"/>
      <c r="U1649" s="11"/>
      <c r="V1649" s="11"/>
      <c r="W1649" s="11"/>
      <c r="X1649" s="11"/>
      <c r="Y1649" s="11"/>
      <c r="Z1649" s="11"/>
      <c r="AA1649" s="11"/>
      <c r="AB1649" s="11"/>
      <c r="AC1649" s="11"/>
    </row>
    <row r="1650" spans="1:29" x14ac:dyDescent="0.3">
      <c r="A1650" s="11"/>
      <c r="B1650" s="11"/>
      <c r="C1650" s="11"/>
      <c r="D1650" s="11"/>
      <c r="E1650" s="11"/>
      <c r="F1650" s="11"/>
      <c r="G1650" s="11"/>
      <c r="H1650" s="11"/>
      <c r="I1650" s="11"/>
      <c r="J1650" s="11"/>
      <c r="K1650" s="11"/>
      <c r="L1650" s="11"/>
      <c r="M1650" s="11"/>
      <c r="N1650" s="11"/>
      <c r="O1650" s="11"/>
      <c r="P1650" s="11"/>
      <c r="Q1650" s="11"/>
      <c r="R1650" s="11"/>
      <c r="S1650" s="11"/>
      <c r="T1650" s="11"/>
      <c r="U1650" s="11"/>
      <c r="V1650" s="11"/>
      <c r="W1650" s="11"/>
      <c r="X1650" s="11"/>
      <c r="Y1650" s="11"/>
      <c r="Z1650" s="11"/>
      <c r="AA1650" s="11"/>
      <c r="AB1650" s="11"/>
      <c r="AC1650" s="11"/>
    </row>
    <row r="1651" spans="1:29" x14ac:dyDescent="0.3">
      <c r="A1651" s="11"/>
      <c r="B1651" s="11"/>
      <c r="C1651" s="11"/>
      <c r="D1651" s="11"/>
      <c r="E1651" s="11"/>
      <c r="F1651" s="11"/>
      <c r="G1651" s="11"/>
      <c r="H1651" s="11"/>
      <c r="I1651" s="11"/>
      <c r="J1651" s="11"/>
      <c r="K1651" s="11"/>
      <c r="L1651" s="11"/>
      <c r="M1651" s="11"/>
      <c r="N1651" s="11"/>
      <c r="O1651" s="11"/>
      <c r="P1651" s="11"/>
      <c r="Q1651" s="11"/>
      <c r="R1651" s="11"/>
      <c r="S1651" s="11"/>
      <c r="T1651" s="11"/>
      <c r="U1651" s="11"/>
      <c r="V1651" s="11"/>
      <c r="W1651" s="11"/>
      <c r="X1651" s="11"/>
      <c r="Y1651" s="11"/>
      <c r="Z1651" s="11"/>
      <c r="AA1651" s="11"/>
      <c r="AB1651" s="11"/>
      <c r="AC1651" s="11"/>
    </row>
    <row r="1652" spans="1:29" x14ac:dyDescent="0.3">
      <c r="A1652" s="11"/>
      <c r="B1652" s="11"/>
      <c r="C1652" s="11"/>
      <c r="D1652" s="11"/>
      <c r="E1652" s="11"/>
      <c r="F1652" s="11"/>
      <c r="G1652" s="11"/>
      <c r="H1652" s="11"/>
      <c r="I1652" s="11"/>
      <c r="J1652" s="11"/>
      <c r="K1652" s="11"/>
      <c r="L1652" s="11"/>
      <c r="M1652" s="11"/>
      <c r="N1652" s="11"/>
      <c r="O1652" s="11"/>
      <c r="P1652" s="11"/>
      <c r="Q1652" s="11"/>
      <c r="R1652" s="11"/>
      <c r="S1652" s="11"/>
      <c r="T1652" s="11"/>
      <c r="U1652" s="11"/>
      <c r="V1652" s="11"/>
      <c r="W1652" s="11"/>
      <c r="X1652" s="11"/>
      <c r="Y1652" s="11"/>
      <c r="Z1652" s="11"/>
      <c r="AA1652" s="11"/>
      <c r="AB1652" s="11"/>
      <c r="AC1652" s="11"/>
    </row>
    <row r="1653" spans="1:29" x14ac:dyDescent="0.3">
      <c r="A1653" s="11"/>
      <c r="B1653" s="11"/>
      <c r="C1653" s="11"/>
      <c r="D1653" s="11"/>
      <c r="E1653" s="11"/>
      <c r="F1653" s="11"/>
      <c r="G1653" s="11"/>
      <c r="H1653" s="11"/>
      <c r="I1653" s="11"/>
      <c r="J1653" s="11"/>
      <c r="K1653" s="11"/>
      <c r="L1653" s="11"/>
      <c r="M1653" s="11"/>
      <c r="N1653" s="11"/>
      <c r="O1653" s="11"/>
      <c r="P1653" s="11"/>
      <c r="Q1653" s="11"/>
      <c r="R1653" s="11"/>
      <c r="S1653" s="11"/>
      <c r="T1653" s="11"/>
      <c r="U1653" s="11"/>
      <c r="V1653" s="11"/>
      <c r="W1653" s="11"/>
      <c r="X1653" s="11"/>
      <c r="Y1653" s="11"/>
      <c r="Z1653" s="11"/>
      <c r="AA1653" s="11"/>
      <c r="AB1653" s="11"/>
      <c r="AC1653" s="11"/>
    </row>
    <row r="1654" spans="1:29" x14ac:dyDescent="0.3">
      <c r="A1654" s="11"/>
      <c r="B1654" s="11"/>
      <c r="C1654" s="11"/>
      <c r="D1654" s="11"/>
      <c r="E1654" s="11"/>
      <c r="F1654" s="11"/>
      <c r="G1654" s="11"/>
      <c r="H1654" s="11"/>
      <c r="I1654" s="11"/>
      <c r="J1654" s="11"/>
      <c r="K1654" s="11"/>
      <c r="L1654" s="11"/>
      <c r="M1654" s="11"/>
      <c r="N1654" s="11"/>
      <c r="O1654" s="11"/>
      <c r="P1654" s="11"/>
      <c r="Q1654" s="11"/>
      <c r="R1654" s="11"/>
      <c r="S1654" s="11"/>
      <c r="T1654" s="11"/>
      <c r="U1654" s="11"/>
      <c r="V1654" s="11"/>
      <c r="W1654" s="11"/>
      <c r="X1654" s="11"/>
      <c r="Y1654" s="11"/>
      <c r="Z1654" s="11"/>
      <c r="AA1654" s="11"/>
      <c r="AB1654" s="11"/>
      <c r="AC1654" s="11"/>
    </row>
    <row r="1655" spans="1:29" x14ac:dyDescent="0.3">
      <c r="A1655" s="11"/>
      <c r="B1655" s="11"/>
      <c r="C1655" s="11"/>
      <c r="D1655" s="11"/>
      <c r="E1655" s="11"/>
      <c r="F1655" s="11"/>
      <c r="G1655" s="11"/>
      <c r="H1655" s="11"/>
      <c r="I1655" s="11"/>
      <c r="J1655" s="11"/>
      <c r="K1655" s="11"/>
      <c r="L1655" s="11"/>
      <c r="M1655" s="11"/>
      <c r="N1655" s="11"/>
      <c r="O1655" s="11"/>
      <c r="P1655" s="11"/>
      <c r="Q1655" s="11"/>
      <c r="R1655" s="11"/>
      <c r="S1655" s="11"/>
      <c r="T1655" s="11"/>
      <c r="U1655" s="11"/>
      <c r="V1655" s="11"/>
      <c r="W1655" s="11"/>
      <c r="X1655" s="11"/>
      <c r="Y1655" s="11"/>
      <c r="Z1655" s="11"/>
      <c r="AA1655" s="11"/>
      <c r="AB1655" s="11"/>
      <c r="AC1655" s="11"/>
    </row>
    <row r="1656" spans="1:29" x14ac:dyDescent="0.3">
      <c r="A1656" s="11"/>
      <c r="B1656" s="11"/>
      <c r="C1656" s="11"/>
      <c r="D1656" s="11"/>
      <c r="E1656" s="11"/>
      <c r="F1656" s="11"/>
      <c r="G1656" s="11"/>
      <c r="H1656" s="11"/>
      <c r="I1656" s="11"/>
      <c r="J1656" s="11"/>
      <c r="K1656" s="11"/>
      <c r="L1656" s="11"/>
      <c r="M1656" s="11"/>
      <c r="N1656" s="11"/>
      <c r="O1656" s="11"/>
      <c r="P1656" s="11"/>
      <c r="Q1656" s="11"/>
      <c r="R1656" s="11"/>
      <c r="S1656" s="11"/>
      <c r="T1656" s="11"/>
      <c r="U1656" s="11"/>
      <c r="V1656" s="11"/>
      <c r="W1656" s="11"/>
      <c r="X1656" s="11"/>
      <c r="Y1656" s="11"/>
      <c r="Z1656" s="11"/>
      <c r="AA1656" s="11"/>
      <c r="AB1656" s="11"/>
      <c r="AC1656" s="11"/>
    </row>
    <row r="1657" spans="1:29" x14ac:dyDescent="0.3">
      <c r="A1657" s="11"/>
      <c r="B1657" s="11"/>
      <c r="C1657" s="11"/>
      <c r="D1657" s="11"/>
      <c r="E1657" s="11"/>
      <c r="F1657" s="11"/>
      <c r="G1657" s="11"/>
      <c r="H1657" s="11"/>
      <c r="I1657" s="11"/>
      <c r="J1657" s="11"/>
      <c r="K1657" s="11"/>
      <c r="L1657" s="11"/>
      <c r="M1657" s="11"/>
      <c r="N1657" s="11"/>
      <c r="O1657" s="11"/>
      <c r="P1657" s="11"/>
      <c r="Q1657" s="11"/>
      <c r="R1657" s="11"/>
      <c r="S1657" s="11"/>
      <c r="T1657" s="11"/>
      <c r="U1657" s="11"/>
      <c r="V1657" s="11"/>
      <c r="W1657" s="11"/>
      <c r="X1657" s="11"/>
      <c r="Y1657" s="11"/>
      <c r="Z1657" s="11"/>
      <c r="AA1657" s="11"/>
      <c r="AB1657" s="11"/>
      <c r="AC1657" s="11"/>
    </row>
    <row r="1658" spans="1:29" x14ac:dyDescent="0.3">
      <c r="A1658" s="11"/>
      <c r="B1658" s="11"/>
      <c r="C1658" s="11"/>
      <c r="D1658" s="11"/>
      <c r="E1658" s="11"/>
      <c r="F1658" s="11"/>
      <c r="G1658" s="11"/>
      <c r="H1658" s="11"/>
      <c r="I1658" s="11"/>
      <c r="J1658" s="11"/>
      <c r="K1658" s="11"/>
      <c r="L1658" s="11"/>
      <c r="M1658" s="11"/>
      <c r="N1658" s="11"/>
      <c r="O1658" s="11"/>
      <c r="P1658" s="11"/>
      <c r="Q1658" s="11"/>
      <c r="R1658" s="11"/>
      <c r="S1658" s="11"/>
      <c r="T1658" s="11"/>
      <c r="U1658" s="11"/>
      <c r="V1658" s="11"/>
      <c r="W1658" s="11"/>
      <c r="X1658" s="11"/>
      <c r="Y1658" s="11"/>
      <c r="Z1658" s="11"/>
      <c r="AA1658" s="11"/>
      <c r="AB1658" s="11"/>
      <c r="AC1658" s="11"/>
    </row>
    <row r="1659" spans="1:29" x14ac:dyDescent="0.3">
      <c r="A1659" s="11"/>
      <c r="B1659" s="11"/>
      <c r="C1659" s="11"/>
      <c r="D1659" s="11"/>
      <c r="E1659" s="11"/>
      <c r="F1659" s="11"/>
      <c r="G1659" s="11"/>
      <c r="H1659" s="11"/>
      <c r="I1659" s="11"/>
      <c r="J1659" s="11"/>
      <c r="K1659" s="11"/>
      <c r="L1659" s="11"/>
      <c r="M1659" s="11"/>
      <c r="N1659" s="11"/>
      <c r="O1659" s="11"/>
      <c r="P1659" s="11"/>
      <c r="Q1659" s="11"/>
      <c r="R1659" s="11"/>
      <c r="S1659" s="11"/>
      <c r="T1659" s="11"/>
      <c r="U1659" s="11"/>
      <c r="V1659" s="11"/>
      <c r="W1659" s="11"/>
      <c r="X1659" s="11"/>
      <c r="Y1659" s="11"/>
      <c r="Z1659" s="11"/>
      <c r="AA1659" s="11"/>
      <c r="AB1659" s="11"/>
      <c r="AC1659" s="11"/>
    </row>
    <row r="1660" spans="1:29" x14ac:dyDescent="0.3">
      <c r="A1660" s="11"/>
      <c r="B1660" s="11"/>
      <c r="C1660" s="11"/>
      <c r="D1660" s="11"/>
      <c r="E1660" s="11"/>
      <c r="F1660" s="11"/>
      <c r="G1660" s="11"/>
      <c r="H1660" s="11"/>
      <c r="I1660" s="11"/>
      <c r="J1660" s="11"/>
      <c r="K1660" s="11"/>
      <c r="L1660" s="11"/>
      <c r="M1660" s="11"/>
      <c r="N1660" s="11"/>
      <c r="O1660" s="11"/>
      <c r="P1660" s="11"/>
      <c r="Q1660" s="11"/>
      <c r="R1660" s="11"/>
      <c r="S1660" s="11"/>
      <c r="T1660" s="11"/>
      <c r="U1660" s="11"/>
      <c r="V1660" s="11"/>
      <c r="W1660" s="11"/>
      <c r="X1660" s="11"/>
      <c r="Y1660" s="11"/>
      <c r="Z1660" s="11"/>
      <c r="AA1660" s="11"/>
      <c r="AB1660" s="11"/>
      <c r="AC1660" s="11"/>
    </row>
    <row r="1661" spans="1:29" x14ac:dyDescent="0.3">
      <c r="A1661" s="11"/>
      <c r="B1661" s="11"/>
      <c r="C1661" s="11"/>
      <c r="D1661" s="11"/>
      <c r="E1661" s="11"/>
      <c r="F1661" s="11"/>
      <c r="G1661" s="11"/>
      <c r="H1661" s="11"/>
      <c r="I1661" s="11"/>
      <c r="J1661" s="11"/>
      <c r="K1661" s="11"/>
      <c r="L1661" s="11"/>
      <c r="M1661" s="11"/>
      <c r="N1661" s="11"/>
      <c r="O1661" s="11"/>
      <c r="P1661" s="11"/>
      <c r="Q1661" s="11"/>
      <c r="R1661" s="11"/>
      <c r="S1661" s="11"/>
      <c r="T1661" s="11"/>
      <c r="U1661" s="11"/>
      <c r="V1661" s="11"/>
      <c r="W1661" s="11"/>
      <c r="X1661" s="11"/>
      <c r="Y1661" s="11"/>
      <c r="Z1661" s="11"/>
      <c r="AA1661" s="11"/>
      <c r="AB1661" s="11"/>
      <c r="AC1661" s="11"/>
    </row>
    <row r="1662" spans="1:29" x14ac:dyDescent="0.3">
      <c r="A1662" s="11"/>
      <c r="B1662" s="11"/>
      <c r="C1662" s="11"/>
      <c r="D1662" s="11"/>
      <c r="E1662" s="11"/>
      <c r="F1662" s="11"/>
      <c r="G1662" s="11"/>
      <c r="H1662" s="11"/>
      <c r="I1662" s="11"/>
      <c r="J1662" s="11"/>
      <c r="K1662" s="11"/>
      <c r="L1662" s="11"/>
      <c r="M1662" s="11"/>
      <c r="N1662" s="11"/>
      <c r="O1662" s="11"/>
      <c r="P1662" s="11"/>
      <c r="Q1662" s="11"/>
      <c r="R1662" s="11"/>
      <c r="S1662" s="11"/>
      <c r="T1662" s="11"/>
      <c r="U1662" s="11"/>
      <c r="V1662" s="11"/>
      <c r="W1662" s="11"/>
      <c r="X1662" s="11"/>
      <c r="Y1662" s="11"/>
      <c r="Z1662" s="11"/>
      <c r="AA1662" s="11"/>
      <c r="AB1662" s="11"/>
      <c r="AC1662" s="11"/>
    </row>
    <row r="1663" spans="1:29" x14ac:dyDescent="0.3">
      <c r="A1663" s="11"/>
      <c r="B1663" s="11"/>
      <c r="C1663" s="11"/>
      <c r="D1663" s="11"/>
      <c r="E1663" s="11"/>
      <c r="F1663" s="11"/>
      <c r="G1663" s="11"/>
      <c r="H1663" s="11"/>
      <c r="I1663" s="11"/>
      <c r="J1663" s="11"/>
      <c r="K1663" s="11"/>
      <c r="L1663" s="11"/>
      <c r="M1663" s="11"/>
      <c r="N1663" s="11"/>
      <c r="O1663" s="11"/>
      <c r="P1663" s="11"/>
      <c r="Q1663" s="11"/>
      <c r="R1663" s="11"/>
      <c r="S1663" s="11"/>
      <c r="T1663" s="11"/>
      <c r="U1663" s="11"/>
      <c r="V1663" s="11"/>
      <c r="W1663" s="11"/>
      <c r="X1663" s="11"/>
      <c r="Y1663" s="11"/>
      <c r="Z1663" s="11"/>
      <c r="AA1663" s="11"/>
      <c r="AB1663" s="11"/>
      <c r="AC1663" s="11"/>
    </row>
    <row r="1664" spans="1:29" x14ac:dyDescent="0.3">
      <c r="A1664" s="11"/>
      <c r="B1664" s="11"/>
      <c r="C1664" s="11"/>
      <c r="D1664" s="11"/>
      <c r="E1664" s="11"/>
      <c r="F1664" s="11"/>
      <c r="G1664" s="11"/>
      <c r="H1664" s="11"/>
      <c r="I1664" s="11"/>
      <c r="J1664" s="11"/>
      <c r="K1664" s="11"/>
      <c r="L1664" s="11"/>
      <c r="M1664" s="11"/>
      <c r="N1664" s="11"/>
      <c r="O1664" s="11"/>
      <c r="P1664" s="11"/>
      <c r="Q1664" s="11"/>
      <c r="R1664" s="11"/>
      <c r="S1664" s="11"/>
      <c r="T1664" s="11"/>
      <c r="U1664" s="11"/>
      <c r="V1664" s="11"/>
      <c r="W1664" s="11"/>
      <c r="X1664" s="11"/>
      <c r="Y1664" s="11"/>
      <c r="Z1664" s="11"/>
      <c r="AA1664" s="11"/>
      <c r="AB1664" s="11"/>
      <c r="AC1664" s="11"/>
    </row>
    <row r="1665" spans="1:29" x14ac:dyDescent="0.3">
      <c r="A1665" s="11"/>
      <c r="B1665" s="11"/>
      <c r="C1665" s="11"/>
      <c r="D1665" s="11"/>
      <c r="E1665" s="11"/>
      <c r="F1665" s="11"/>
      <c r="G1665" s="11"/>
      <c r="H1665" s="11"/>
      <c r="I1665" s="11"/>
      <c r="J1665" s="11"/>
      <c r="K1665" s="11"/>
      <c r="L1665" s="11"/>
      <c r="M1665" s="11"/>
      <c r="N1665" s="11"/>
      <c r="O1665" s="11"/>
      <c r="P1665" s="11"/>
      <c r="Q1665" s="11"/>
      <c r="R1665" s="11"/>
      <c r="S1665" s="11"/>
      <c r="T1665" s="11"/>
      <c r="U1665" s="11"/>
      <c r="V1665" s="11"/>
      <c r="W1665" s="11"/>
      <c r="X1665" s="11"/>
      <c r="Y1665" s="11"/>
      <c r="Z1665" s="11"/>
      <c r="AA1665" s="11"/>
      <c r="AB1665" s="11"/>
      <c r="AC1665" s="11"/>
    </row>
    <row r="1666" spans="1:29" x14ac:dyDescent="0.3">
      <c r="A1666" s="11"/>
      <c r="B1666" s="11"/>
      <c r="C1666" s="11"/>
      <c r="D1666" s="11"/>
      <c r="E1666" s="11"/>
      <c r="F1666" s="11"/>
      <c r="G1666" s="11"/>
      <c r="H1666" s="11"/>
      <c r="I1666" s="11"/>
      <c r="J1666" s="11"/>
      <c r="K1666" s="11"/>
      <c r="L1666" s="11"/>
      <c r="M1666" s="11"/>
      <c r="N1666" s="11"/>
      <c r="O1666" s="11"/>
      <c r="P1666" s="11"/>
      <c r="Q1666" s="11"/>
      <c r="R1666" s="11"/>
      <c r="S1666" s="11"/>
      <c r="T1666" s="11"/>
      <c r="U1666" s="11"/>
      <c r="V1666" s="11"/>
      <c r="W1666" s="11"/>
      <c r="X1666" s="11"/>
      <c r="Y1666" s="11"/>
      <c r="Z1666" s="11"/>
      <c r="AA1666" s="11"/>
      <c r="AB1666" s="11"/>
      <c r="AC1666" s="11"/>
    </row>
    <row r="1667" spans="1:29" x14ac:dyDescent="0.3">
      <c r="A1667" s="11"/>
      <c r="B1667" s="11"/>
      <c r="C1667" s="11"/>
      <c r="D1667" s="11"/>
      <c r="E1667" s="11"/>
      <c r="F1667" s="11"/>
      <c r="G1667" s="11"/>
      <c r="H1667" s="11"/>
      <c r="I1667" s="11"/>
      <c r="J1667" s="11"/>
      <c r="K1667" s="11"/>
      <c r="L1667" s="11"/>
      <c r="M1667" s="11"/>
      <c r="N1667" s="11"/>
      <c r="O1667" s="11"/>
      <c r="P1667" s="11"/>
      <c r="Q1667" s="11"/>
      <c r="R1667" s="11"/>
      <c r="S1667" s="11"/>
      <c r="T1667" s="11"/>
      <c r="U1667" s="11"/>
      <c r="V1667" s="11"/>
      <c r="W1667" s="11"/>
      <c r="X1667" s="11"/>
      <c r="Y1667" s="11"/>
      <c r="Z1667" s="11"/>
      <c r="AA1667" s="11"/>
      <c r="AB1667" s="11"/>
      <c r="AC1667" s="11"/>
    </row>
    <row r="1668" spans="1:29" x14ac:dyDescent="0.3">
      <c r="A1668" s="11"/>
      <c r="B1668" s="11"/>
      <c r="C1668" s="11"/>
      <c r="D1668" s="11"/>
      <c r="E1668" s="11"/>
      <c r="F1668" s="11"/>
      <c r="G1668" s="11"/>
      <c r="H1668" s="11"/>
      <c r="I1668" s="11"/>
      <c r="J1668" s="11"/>
      <c r="K1668" s="11"/>
      <c r="L1668" s="11"/>
      <c r="M1668" s="11"/>
      <c r="N1668" s="11"/>
      <c r="O1668" s="11"/>
      <c r="P1668" s="11"/>
      <c r="Q1668" s="11"/>
      <c r="R1668" s="11"/>
      <c r="S1668" s="11"/>
      <c r="T1668" s="11"/>
      <c r="U1668" s="11"/>
      <c r="V1668" s="11"/>
      <c r="W1668" s="11"/>
      <c r="X1668" s="11"/>
      <c r="Y1668" s="11"/>
      <c r="Z1668" s="11"/>
      <c r="AA1668" s="11"/>
      <c r="AB1668" s="11"/>
      <c r="AC1668" s="11"/>
    </row>
    <row r="1669" spans="1:29" x14ac:dyDescent="0.3">
      <c r="A1669" s="11"/>
      <c r="B1669" s="11"/>
      <c r="C1669" s="11"/>
      <c r="D1669" s="11"/>
      <c r="E1669" s="11"/>
      <c r="F1669" s="11"/>
      <c r="G1669" s="11"/>
      <c r="H1669" s="11"/>
      <c r="I1669" s="11"/>
      <c r="J1669" s="11"/>
      <c r="K1669" s="11"/>
      <c r="L1669" s="11"/>
      <c r="M1669" s="11"/>
      <c r="N1669" s="11"/>
      <c r="O1669" s="11"/>
      <c r="P1669" s="11"/>
      <c r="Q1669" s="11"/>
      <c r="R1669" s="11"/>
      <c r="S1669" s="11"/>
      <c r="T1669" s="11"/>
      <c r="U1669" s="11"/>
      <c r="V1669" s="11"/>
      <c r="W1669" s="11"/>
      <c r="X1669" s="11"/>
      <c r="Y1669" s="11"/>
      <c r="Z1669" s="11"/>
      <c r="AA1669" s="11"/>
      <c r="AB1669" s="11"/>
      <c r="AC1669" s="11"/>
    </row>
    <row r="1670" spans="1:29" x14ac:dyDescent="0.3">
      <c r="A1670" s="11"/>
      <c r="B1670" s="11"/>
      <c r="C1670" s="11"/>
      <c r="D1670" s="11"/>
      <c r="E1670" s="11"/>
      <c r="F1670" s="11"/>
      <c r="G1670" s="11"/>
      <c r="H1670" s="11"/>
      <c r="I1670" s="11"/>
      <c r="J1670" s="11"/>
      <c r="K1670" s="11"/>
      <c r="L1670" s="11"/>
      <c r="M1670" s="11"/>
      <c r="N1670" s="11"/>
      <c r="O1670" s="11"/>
      <c r="P1670" s="11"/>
      <c r="Q1670" s="11"/>
      <c r="R1670" s="11"/>
      <c r="S1670" s="11"/>
      <c r="T1670" s="11"/>
      <c r="U1670" s="11"/>
      <c r="V1670" s="11"/>
      <c r="W1670" s="11"/>
      <c r="X1670" s="11"/>
      <c r="Y1670" s="11"/>
      <c r="Z1670" s="11"/>
      <c r="AA1670" s="11"/>
      <c r="AB1670" s="11"/>
      <c r="AC1670" s="11"/>
    </row>
    <row r="1671" spans="1:29" x14ac:dyDescent="0.3">
      <c r="A1671" s="11"/>
      <c r="B1671" s="11"/>
      <c r="C1671" s="11"/>
      <c r="D1671" s="11"/>
      <c r="E1671" s="11"/>
      <c r="F1671" s="11"/>
      <c r="G1671" s="11"/>
      <c r="H1671" s="11"/>
      <c r="I1671" s="11"/>
      <c r="J1671" s="11"/>
      <c r="K1671" s="11"/>
      <c r="L1671" s="11"/>
      <c r="M1671" s="11"/>
      <c r="N1671" s="11"/>
      <c r="O1671" s="11"/>
      <c r="P1671" s="11"/>
      <c r="Q1671" s="11"/>
      <c r="R1671" s="11"/>
      <c r="S1671" s="11"/>
      <c r="T1671" s="11"/>
      <c r="U1671" s="11"/>
      <c r="V1671" s="11"/>
      <c r="W1671" s="11"/>
      <c r="X1671" s="11"/>
      <c r="Y1671" s="11"/>
      <c r="Z1671" s="11"/>
      <c r="AA1671" s="11"/>
      <c r="AB1671" s="11"/>
      <c r="AC1671" s="11"/>
    </row>
    <row r="1672" spans="1:29" x14ac:dyDescent="0.3">
      <c r="A1672" s="11"/>
      <c r="B1672" s="11"/>
      <c r="C1672" s="11"/>
      <c r="D1672" s="11"/>
      <c r="E1672" s="11"/>
      <c r="F1672" s="11"/>
      <c r="G1672" s="11"/>
      <c r="H1672" s="11"/>
      <c r="I1672" s="11"/>
      <c r="J1672" s="11"/>
      <c r="K1672" s="11"/>
      <c r="L1672" s="11"/>
      <c r="M1672" s="11"/>
      <c r="N1672" s="11"/>
      <c r="O1672" s="11"/>
      <c r="P1672" s="11"/>
      <c r="Q1672" s="11"/>
      <c r="R1672" s="11"/>
      <c r="S1672" s="11"/>
      <c r="T1672" s="11"/>
      <c r="U1672" s="11"/>
      <c r="V1672" s="11"/>
      <c r="W1672" s="11"/>
      <c r="X1672" s="11"/>
      <c r="Y1672" s="11"/>
      <c r="Z1672" s="11"/>
      <c r="AA1672" s="11"/>
      <c r="AB1672" s="11"/>
      <c r="AC1672" s="11"/>
    </row>
    <row r="1673" spans="1:29" x14ac:dyDescent="0.3">
      <c r="A1673" s="11"/>
      <c r="B1673" s="11"/>
      <c r="C1673" s="11"/>
      <c r="D1673" s="11"/>
      <c r="E1673" s="11"/>
      <c r="F1673" s="11"/>
      <c r="G1673" s="11"/>
      <c r="H1673" s="11"/>
      <c r="I1673" s="11"/>
      <c r="J1673" s="11"/>
      <c r="K1673" s="11"/>
      <c r="L1673" s="11"/>
      <c r="M1673" s="11"/>
      <c r="N1673" s="11"/>
      <c r="O1673" s="11"/>
      <c r="P1673" s="11"/>
      <c r="Q1673" s="11"/>
      <c r="R1673" s="11"/>
      <c r="S1673" s="11"/>
      <c r="T1673" s="11"/>
      <c r="U1673" s="11"/>
      <c r="V1673" s="11"/>
      <c r="W1673" s="11"/>
      <c r="X1673" s="11"/>
      <c r="Y1673" s="11"/>
      <c r="Z1673" s="11"/>
      <c r="AA1673" s="11"/>
      <c r="AB1673" s="11"/>
      <c r="AC1673" s="11"/>
    </row>
    <row r="1674" spans="1:29" x14ac:dyDescent="0.3">
      <c r="A1674" s="11"/>
      <c r="B1674" s="11"/>
      <c r="C1674" s="11"/>
      <c r="D1674" s="11"/>
      <c r="E1674" s="11"/>
      <c r="F1674" s="11"/>
      <c r="G1674" s="11"/>
      <c r="H1674" s="11"/>
      <c r="I1674" s="11"/>
      <c r="J1674" s="11"/>
      <c r="K1674" s="11"/>
      <c r="L1674" s="11"/>
      <c r="M1674" s="11"/>
      <c r="N1674" s="11"/>
      <c r="O1674" s="11"/>
      <c r="P1674" s="11"/>
      <c r="Q1674" s="11"/>
      <c r="R1674" s="11"/>
      <c r="S1674" s="11"/>
      <c r="T1674" s="11"/>
      <c r="U1674" s="11"/>
      <c r="V1674" s="11"/>
      <c r="W1674" s="11"/>
      <c r="X1674" s="11"/>
      <c r="Y1674" s="11"/>
      <c r="Z1674" s="11"/>
      <c r="AA1674" s="11"/>
      <c r="AB1674" s="11"/>
      <c r="AC1674" s="11"/>
    </row>
    <row r="1675" spans="1:29" x14ac:dyDescent="0.3">
      <c r="A1675" s="11"/>
      <c r="B1675" s="11"/>
      <c r="C1675" s="11"/>
      <c r="D1675" s="11"/>
      <c r="E1675" s="11"/>
      <c r="F1675" s="11"/>
      <c r="G1675" s="11"/>
      <c r="H1675" s="11"/>
      <c r="I1675" s="11"/>
      <c r="J1675" s="11"/>
      <c r="K1675" s="11"/>
      <c r="L1675" s="11"/>
      <c r="M1675" s="11"/>
      <c r="N1675" s="11"/>
      <c r="O1675" s="11"/>
      <c r="P1675" s="11"/>
      <c r="Q1675" s="11"/>
      <c r="R1675" s="11"/>
      <c r="S1675" s="11"/>
      <c r="T1675" s="11"/>
      <c r="U1675" s="11"/>
      <c r="V1675" s="11"/>
      <c r="W1675" s="11"/>
      <c r="X1675" s="11"/>
      <c r="Y1675" s="11"/>
      <c r="Z1675" s="11"/>
      <c r="AA1675" s="11"/>
      <c r="AB1675" s="11"/>
      <c r="AC1675" s="11"/>
    </row>
    <row r="1676" spans="1:29" x14ac:dyDescent="0.3">
      <c r="A1676" s="11"/>
      <c r="B1676" s="11"/>
      <c r="C1676" s="11"/>
      <c r="D1676" s="11"/>
      <c r="E1676" s="11"/>
      <c r="F1676" s="11"/>
      <c r="G1676" s="11"/>
      <c r="H1676" s="11"/>
      <c r="I1676" s="11"/>
      <c r="J1676" s="11"/>
      <c r="K1676" s="11"/>
      <c r="L1676" s="11"/>
      <c r="M1676" s="11"/>
      <c r="N1676" s="11"/>
      <c r="O1676" s="11"/>
      <c r="P1676" s="11"/>
      <c r="Q1676" s="11"/>
      <c r="R1676" s="11"/>
      <c r="S1676" s="11"/>
      <c r="T1676" s="11"/>
      <c r="U1676" s="11"/>
      <c r="V1676" s="11"/>
      <c r="W1676" s="11"/>
      <c r="X1676" s="11"/>
      <c r="Y1676" s="11"/>
      <c r="Z1676" s="11"/>
      <c r="AA1676" s="11"/>
      <c r="AB1676" s="11"/>
      <c r="AC1676" s="11"/>
    </row>
    <row r="1677" spans="1:29" x14ac:dyDescent="0.3">
      <c r="A1677" s="11"/>
      <c r="B1677" s="11"/>
      <c r="C1677" s="11"/>
      <c r="D1677" s="11"/>
      <c r="E1677" s="11"/>
      <c r="F1677" s="11"/>
      <c r="G1677" s="11"/>
      <c r="H1677" s="11"/>
      <c r="I1677" s="11"/>
      <c r="J1677" s="11"/>
      <c r="K1677" s="11"/>
      <c r="L1677" s="11"/>
      <c r="M1677" s="11"/>
      <c r="N1677" s="11"/>
      <c r="O1677" s="11"/>
      <c r="P1677" s="11"/>
      <c r="Q1677" s="11"/>
      <c r="R1677" s="11"/>
      <c r="S1677" s="11"/>
      <c r="T1677" s="11"/>
      <c r="U1677" s="11"/>
      <c r="V1677" s="11"/>
      <c r="W1677" s="11"/>
      <c r="X1677" s="11"/>
      <c r="Y1677" s="11"/>
      <c r="Z1677" s="11"/>
      <c r="AA1677" s="11"/>
      <c r="AB1677" s="11"/>
      <c r="AC1677" s="11"/>
    </row>
    <row r="1678" spans="1:29" x14ac:dyDescent="0.3">
      <c r="A1678" s="11"/>
      <c r="B1678" s="11"/>
      <c r="C1678" s="11"/>
      <c r="D1678" s="11"/>
      <c r="E1678" s="11"/>
      <c r="F1678" s="11"/>
      <c r="G1678" s="11"/>
      <c r="H1678" s="11"/>
      <c r="I1678" s="11"/>
      <c r="J1678" s="11"/>
      <c r="K1678" s="11"/>
      <c r="L1678" s="11"/>
      <c r="M1678" s="11"/>
      <c r="N1678" s="11"/>
      <c r="O1678" s="11"/>
      <c r="P1678" s="11"/>
      <c r="Q1678" s="11"/>
      <c r="R1678" s="11"/>
      <c r="S1678" s="11"/>
      <c r="T1678" s="11"/>
      <c r="U1678" s="11"/>
      <c r="V1678" s="11"/>
      <c r="W1678" s="11"/>
      <c r="X1678" s="11"/>
      <c r="Y1678" s="11"/>
      <c r="Z1678" s="11"/>
      <c r="AA1678" s="11"/>
      <c r="AB1678" s="11"/>
      <c r="AC1678" s="11"/>
    </row>
    <row r="1679" spans="1:29" x14ac:dyDescent="0.3">
      <c r="A1679" s="11"/>
      <c r="B1679" s="11"/>
      <c r="C1679" s="11"/>
      <c r="D1679" s="11"/>
      <c r="E1679" s="11"/>
      <c r="F1679" s="11"/>
      <c r="G1679" s="11"/>
      <c r="H1679" s="11"/>
      <c r="I1679" s="11"/>
      <c r="J1679" s="11"/>
      <c r="K1679" s="11"/>
      <c r="L1679" s="11"/>
      <c r="M1679" s="11"/>
      <c r="N1679" s="11"/>
      <c r="O1679" s="11"/>
      <c r="P1679" s="11"/>
      <c r="Q1679" s="11"/>
      <c r="R1679" s="11"/>
      <c r="S1679" s="11"/>
      <c r="T1679" s="11"/>
      <c r="U1679" s="11"/>
      <c r="V1679" s="11"/>
      <c r="W1679" s="11"/>
      <c r="X1679" s="11"/>
      <c r="Y1679" s="11"/>
      <c r="Z1679" s="11"/>
      <c r="AA1679" s="11"/>
      <c r="AB1679" s="11"/>
      <c r="AC1679" s="11"/>
    </row>
    <row r="1680" spans="1:29" x14ac:dyDescent="0.3">
      <c r="A1680" s="11"/>
      <c r="B1680" s="11"/>
      <c r="C1680" s="11"/>
      <c r="D1680" s="11"/>
      <c r="E1680" s="11"/>
      <c r="F1680" s="11"/>
      <c r="G1680" s="11"/>
      <c r="H1680" s="11"/>
      <c r="I1680" s="11"/>
      <c r="J1680" s="11"/>
      <c r="K1680" s="11"/>
      <c r="L1680" s="11"/>
      <c r="M1680" s="11"/>
      <c r="N1680" s="11"/>
      <c r="O1680" s="11"/>
      <c r="P1680" s="11"/>
      <c r="Q1680" s="11"/>
      <c r="R1680" s="11"/>
      <c r="S1680" s="11"/>
      <c r="T1680" s="11"/>
      <c r="U1680" s="11"/>
      <c r="V1680" s="11"/>
      <c r="W1680" s="11"/>
      <c r="X1680" s="11"/>
      <c r="Y1680" s="11"/>
      <c r="Z1680" s="11"/>
      <c r="AA1680" s="11"/>
      <c r="AB1680" s="11"/>
      <c r="AC1680" s="11"/>
    </row>
    <row r="1681" spans="1:29" x14ac:dyDescent="0.3">
      <c r="A1681" s="11"/>
      <c r="B1681" s="11"/>
      <c r="C1681" s="11"/>
      <c r="D1681" s="11"/>
      <c r="E1681" s="11"/>
      <c r="F1681" s="11"/>
      <c r="G1681" s="11"/>
      <c r="H1681" s="11"/>
      <c r="I1681" s="11"/>
      <c r="J1681" s="11"/>
      <c r="K1681" s="11"/>
      <c r="L1681" s="11"/>
      <c r="M1681" s="11"/>
      <c r="N1681" s="11"/>
      <c r="O1681" s="11"/>
      <c r="P1681" s="11"/>
      <c r="Q1681" s="11"/>
      <c r="R1681" s="11"/>
      <c r="S1681" s="11"/>
      <c r="T1681" s="11"/>
      <c r="U1681" s="11"/>
      <c r="V1681" s="11"/>
      <c r="W1681" s="11"/>
      <c r="X1681" s="11"/>
      <c r="Y1681" s="11"/>
      <c r="Z1681" s="11"/>
      <c r="AA1681" s="11"/>
      <c r="AB1681" s="11"/>
      <c r="AC1681" s="11"/>
    </row>
    <row r="1682" spans="1:29" x14ac:dyDescent="0.3">
      <c r="A1682" s="11"/>
      <c r="B1682" s="11"/>
      <c r="C1682" s="11"/>
      <c r="D1682" s="11"/>
      <c r="E1682" s="11"/>
      <c r="F1682" s="11"/>
      <c r="G1682" s="11"/>
      <c r="H1682" s="11"/>
      <c r="I1682" s="11"/>
      <c r="J1682" s="11"/>
      <c r="K1682" s="11"/>
      <c r="L1682" s="11"/>
      <c r="M1682" s="11"/>
      <c r="N1682" s="11"/>
      <c r="O1682" s="11"/>
      <c r="P1682" s="11"/>
      <c r="Q1682" s="11"/>
      <c r="R1682" s="11"/>
      <c r="S1682" s="11"/>
      <c r="T1682" s="11"/>
      <c r="U1682" s="11"/>
      <c r="V1682" s="11"/>
      <c r="W1682" s="11"/>
      <c r="X1682" s="11"/>
      <c r="Y1682" s="11"/>
      <c r="Z1682" s="11"/>
      <c r="AA1682" s="11"/>
      <c r="AB1682" s="11"/>
      <c r="AC1682" s="11"/>
    </row>
    <row r="1683" spans="1:29" x14ac:dyDescent="0.3">
      <c r="A1683" s="11"/>
      <c r="B1683" s="11"/>
      <c r="C1683" s="11"/>
      <c r="D1683" s="11"/>
      <c r="E1683" s="11"/>
      <c r="F1683" s="11"/>
      <c r="G1683" s="11"/>
      <c r="H1683" s="11"/>
      <c r="I1683" s="11"/>
      <c r="J1683" s="11"/>
      <c r="K1683" s="11"/>
      <c r="L1683" s="11"/>
      <c r="M1683" s="11"/>
      <c r="N1683" s="11"/>
      <c r="O1683" s="11"/>
      <c r="P1683" s="11"/>
      <c r="Q1683" s="11"/>
      <c r="R1683" s="11"/>
      <c r="S1683" s="11"/>
      <c r="T1683" s="11"/>
      <c r="U1683" s="11"/>
      <c r="V1683" s="11"/>
      <c r="W1683" s="11"/>
      <c r="X1683" s="11"/>
      <c r="Y1683" s="11"/>
      <c r="Z1683" s="11"/>
      <c r="AA1683" s="11"/>
      <c r="AB1683" s="11"/>
      <c r="AC1683" s="11"/>
    </row>
    <row r="1684" spans="1:29" x14ac:dyDescent="0.3">
      <c r="A1684" s="11"/>
      <c r="B1684" s="11"/>
      <c r="C1684" s="11"/>
      <c r="D1684" s="11"/>
      <c r="E1684" s="11"/>
      <c r="F1684" s="11"/>
      <c r="G1684" s="11"/>
      <c r="H1684" s="11"/>
      <c r="I1684" s="11"/>
      <c r="J1684" s="11"/>
      <c r="K1684" s="11"/>
      <c r="L1684" s="11"/>
      <c r="M1684" s="11"/>
      <c r="N1684" s="11"/>
      <c r="O1684" s="11"/>
      <c r="P1684" s="11"/>
      <c r="Q1684" s="11"/>
      <c r="R1684" s="11"/>
      <c r="S1684" s="11"/>
      <c r="T1684" s="11"/>
      <c r="U1684" s="11"/>
      <c r="V1684" s="11"/>
      <c r="W1684" s="11"/>
      <c r="X1684" s="11"/>
      <c r="Y1684" s="11"/>
      <c r="Z1684" s="11"/>
      <c r="AA1684" s="11"/>
      <c r="AB1684" s="11"/>
      <c r="AC1684" s="11"/>
    </row>
    <row r="1685" spans="1:29" x14ac:dyDescent="0.3">
      <c r="A1685" s="11"/>
      <c r="B1685" s="11"/>
      <c r="C1685" s="11"/>
      <c r="D1685" s="11"/>
      <c r="E1685" s="11"/>
      <c r="F1685" s="11"/>
      <c r="G1685" s="11"/>
      <c r="H1685" s="11"/>
      <c r="I1685" s="11"/>
      <c r="J1685" s="11"/>
      <c r="K1685" s="11"/>
      <c r="L1685" s="11"/>
      <c r="M1685" s="11"/>
      <c r="N1685" s="11"/>
      <c r="O1685" s="11"/>
      <c r="P1685" s="11"/>
      <c r="Q1685" s="11"/>
      <c r="R1685" s="11"/>
      <c r="S1685" s="11"/>
      <c r="T1685" s="11"/>
      <c r="U1685" s="11"/>
      <c r="V1685" s="11"/>
      <c r="W1685" s="11"/>
      <c r="X1685" s="11"/>
      <c r="Y1685" s="11"/>
      <c r="Z1685" s="11"/>
      <c r="AA1685" s="11"/>
      <c r="AB1685" s="11"/>
      <c r="AC1685" s="11"/>
    </row>
    <row r="1686" spans="1:29" x14ac:dyDescent="0.3">
      <c r="A1686" s="11"/>
      <c r="B1686" s="11"/>
      <c r="C1686" s="11"/>
      <c r="D1686" s="11"/>
      <c r="E1686" s="11"/>
      <c r="F1686" s="11"/>
      <c r="G1686" s="11"/>
      <c r="H1686" s="11"/>
      <c r="I1686" s="11"/>
      <c r="J1686" s="11"/>
      <c r="K1686" s="11"/>
      <c r="L1686" s="11"/>
      <c r="M1686" s="11"/>
      <c r="N1686" s="11"/>
      <c r="O1686" s="11"/>
      <c r="P1686" s="11"/>
      <c r="Q1686" s="11"/>
      <c r="R1686" s="11"/>
      <c r="S1686" s="11"/>
      <c r="T1686" s="11"/>
      <c r="U1686" s="11"/>
      <c r="V1686" s="11"/>
      <c r="W1686" s="11"/>
      <c r="X1686" s="11"/>
      <c r="Y1686" s="11"/>
      <c r="Z1686" s="11"/>
      <c r="AA1686" s="11"/>
      <c r="AB1686" s="11"/>
      <c r="AC1686" s="11"/>
    </row>
    <row r="1687" spans="1:29" x14ac:dyDescent="0.3">
      <c r="A1687" s="11"/>
      <c r="B1687" s="11"/>
      <c r="C1687" s="11"/>
      <c r="D1687" s="11"/>
      <c r="E1687" s="11"/>
      <c r="F1687" s="11"/>
      <c r="G1687" s="11"/>
      <c r="H1687" s="11"/>
      <c r="I1687" s="11"/>
      <c r="J1687" s="11"/>
      <c r="K1687" s="11"/>
      <c r="L1687" s="11"/>
      <c r="M1687" s="11"/>
      <c r="N1687" s="11"/>
      <c r="O1687" s="11"/>
      <c r="P1687" s="11"/>
      <c r="Q1687" s="11"/>
      <c r="R1687" s="11"/>
      <c r="S1687" s="11"/>
      <c r="T1687" s="11"/>
      <c r="U1687" s="11"/>
      <c r="V1687" s="11"/>
      <c r="W1687" s="11"/>
      <c r="X1687" s="11"/>
      <c r="Y1687" s="11"/>
      <c r="Z1687" s="11"/>
      <c r="AA1687" s="11"/>
      <c r="AB1687" s="11"/>
      <c r="AC1687" s="11"/>
    </row>
    <row r="1688" spans="1:29" x14ac:dyDescent="0.3">
      <c r="A1688" s="11"/>
      <c r="B1688" s="11"/>
      <c r="C1688" s="11"/>
      <c r="D1688" s="11"/>
      <c r="E1688" s="11"/>
      <c r="F1688" s="11"/>
      <c r="G1688" s="11"/>
      <c r="H1688" s="11"/>
      <c r="I1688" s="11"/>
      <c r="J1688" s="11"/>
      <c r="K1688" s="11"/>
      <c r="L1688" s="11"/>
      <c r="M1688" s="11"/>
      <c r="N1688" s="11"/>
      <c r="O1688" s="11"/>
      <c r="P1688" s="11"/>
      <c r="Q1688" s="11"/>
      <c r="R1688" s="11"/>
      <c r="S1688" s="11"/>
      <c r="T1688" s="11"/>
      <c r="U1688" s="11"/>
      <c r="V1688" s="11"/>
      <c r="W1688" s="11"/>
      <c r="X1688" s="11"/>
      <c r="Y1688" s="11"/>
      <c r="Z1688" s="11"/>
      <c r="AA1688" s="11"/>
      <c r="AB1688" s="11"/>
      <c r="AC1688" s="11"/>
    </row>
    <row r="1689" spans="1:29" x14ac:dyDescent="0.3">
      <c r="A1689" s="11"/>
      <c r="B1689" s="11"/>
      <c r="C1689" s="11"/>
      <c r="D1689" s="11"/>
      <c r="E1689" s="11"/>
      <c r="F1689" s="11"/>
      <c r="G1689" s="11"/>
      <c r="H1689" s="11"/>
      <c r="I1689" s="11"/>
      <c r="J1689" s="11"/>
      <c r="K1689" s="11"/>
      <c r="L1689" s="11"/>
      <c r="M1689" s="11"/>
      <c r="N1689" s="11"/>
      <c r="O1689" s="11"/>
      <c r="P1689" s="11"/>
      <c r="Q1689" s="11"/>
      <c r="R1689" s="11"/>
      <c r="S1689" s="11"/>
      <c r="T1689" s="11"/>
      <c r="U1689" s="11"/>
      <c r="V1689" s="11"/>
      <c r="W1689" s="11"/>
      <c r="X1689" s="11"/>
      <c r="Y1689" s="11"/>
      <c r="Z1689" s="11"/>
      <c r="AA1689" s="11"/>
      <c r="AB1689" s="11"/>
      <c r="AC1689" s="11"/>
    </row>
    <row r="1690" spans="1:29" x14ac:dyDescent="0.3">
      <c r="A1690" s="11"/>
      <c r="B1690" s="11"/>
      <c r="C1690" s="11"/>
      <c r="D1690" s="11"/>
      <c r="E1690" s="11"/>
      <c r="F1690" s="11"/>
      <c r="G1690" s="11"/>
      <c r="H1690" s="11"/>
      <c r="I1690" s="11"/>
      <c r="J1690" s="11"/>
      <c r="K1690" s="11"/>
      <c r="L1690" s="11"/>
      <c r="M1690" s="11"/>
      <c r="N1690" s="11"/>
      <c r="O1690" s="11"/>
      <c r="P1690" s="11"/>
      <c r="Q1690" s="11"/>
      <c r="R1690" s="11"/>
      <c r="S1690" s="11"/>
      <c r="T1690" s="11"/>
      <c r="U1690" s="11"/>
      <c r="V1690" s="11"/>
      <c r="W1690" s="11"/>
      <c r="X1690" s="11"/>
      <c r="Y1690" s="11"/>
      <c r="Z1690" s="11"/>
      <c r="AA1690" s="11"/>
      <c r="AB1690" s="11"/>
      <c r="AC1690" s="11"/>
    </row>
    <row r="1691" spans="1:29" x14ac:dyDescent="0.3">
      <c r="A1691" s="11"/>
      <c r="B1691" s="11"/>
      <c r="C1691" s="11"/>
      <c r="D1691" s="11"/>
      <c r="E1691" s="11"/>
      <c r="F1691" s="11"/>
      <c r="G1691" s="11"/>
      <c r="H1691" s="11"/>
      <c r="I1691" s="11"/>
      <c r="J1691" s="11"/>
      <c r="K1691" s="11"/>
      <c r="L1691" s="11"/>
      <c r="M1691" s="11"/>
      <c r="N1691" s="11"/>
      <c r="O1691" s="11"/>
      <c r="P1691" s="11"/>
      <c r="Q1691" s="11"/>
      <c r="R1691" s="11"/>
      <c r="S1691" s="11"/>
      <c r="T1691" s="11"/>
      <c r="U1691" s="11"/>
      <c r="V1691" s="11"/>
      <c r="W1691" s="11"/>
      <c r="X1691" s="11"/>
      <c r="Y1691" s="11"/>
      <c r="Z1691" s="11"/>
      <c r="AA1691" s="11"/>
      <c r="AB1691" s="11"/>
      <c r="AC1691" s="11"/>
    </row>
    <row r="1692" spans="1:29" x14ac:dyDescent="0.3">
      <c r="A1692" s="11"/>
      <c r="B1692" s="11"/>
      <c r="C1692" s="11"/>
      <c r="D1692" s="11"/>
      <c r="E1692" s="11"/>
      <c r="F1692" s="11"/>
      <c r="G1692" s="11"/>
      <c r="H1692" s="11"/>
      <c r="I1692" s="11"/>
      <c r="J1692" s="11"/>
      <c r="K1692" s="11"/>
      <c r="L1692" s="11"/>
      <c r="M1692" s="11"/>
      <c r="N1692" s="11"/>
      <c r="O1692" s="11"/>
      <c r="P1692" s="11"/>
      <c r="Q1692" s="11"/>
      <c r="R1692" s="11"/>
      <c r="S1692" s="11"/>
      <c r="T1692" s="11"/>
      <c r="U1692" s="11"/>
      <c r="V1692" s="11"/>
      <c r="W1692" s="11"/>
      <c r="X1692" s="11"/>
      <c r="Y1692" s="11"/>
      <c r="Z1692" s="11"/>
      <c r="AA1692" s="11"/>
      <c r="AB1692" s="11"/>
      <c r="AC1692" s="11"/>
    </row>
    <row r="1693" spans="1:29" x14ac:dyDescent="0.3">
      <c r="A1693" s="11"/>
      <c r="B1693" s="11"/>
      <c r="C1693" s="11"/>
      <c r="D1693" s="11"/>
      <c r="E1693" s="11"/>
      <c r="F1693" s="11"/>
      <c r="G1693" s="11"/>
      <c r="H1693" s="11"/>
      <c r="I1693" s="11"/>
      <c r="J1693" s="11"/>
      <c r="K1693" s="11"/>
      <c r="L1693" s="11"/>
      <c r="M1693" s="11"/>
      <c r="N1693" s="11"/>
      <c r="O1693" s="11"/>
      <c r="P1693" s="11"/>
      <c r="Q1693" s="11"/>
      <c r="R1693" s="11"/>
      <c r="S1693" s="11"/>
      <c r="T1693" s="11"/>
      <c r="U1693" s="11"/>
      <c r="V1693" s="11"/>
      <c r="W1693" s="11"/>
      <c r="X1693" s="11"/>
      <c r="Y1693" s="11"/>
      <c r="Z1693" s="11"/>
      <c r="AA1693" s="11"/>
      <c r="AB1693" s="11"/>
      <c r="AC1693" s="11"/>
    </row>
    <row r="1694" spans="1:29" x14ac:dyDescent="0.3">
      <c r="A1694" s="11"/>
      <c r="B1694" s="11"/>
      <c r="C1694" s="11"/>
      <c r="D1694" s="11"/>
      <c r="E1694" s="11"/>
      <c r="F1694" s="11"/>
      <c r="G1694" s="11"/>
      <c r="H1694" s="11"/>
      <c r="I1694" s="11"/>
      <c r="J1694" s="11"/>
      <c r="K1694" s="11"/>
      <c r="L1694" s="11"/>
      <c r="M1694" s="11"/>
      <c r="N1694" s="11"/>
      <c r="O1694" s="11"/>
      <c r="P1694" s="11"/>
      <c r="Q1694" s="11"/>
      <c r="R1694" s="11"/>
      <c r="S1694" s="11"/>
      <c r="T1694" s="11"/>
      <c r="U1694" s="11"/>
      <c r="V1694" s="11"/>
      <c r="W1694" s="11"/>
      <c r="X1694" s="11"/>
      <c r="Y1694" s="11"/>
      <c r="Z1694" s="11"/>
      <c r="AA1694" s="11"/>
      <c r="AB1694" s="11"/>
      <c r="AC1694" s="11"/>
    </row>
    <row r="1695" spans="1:29" x14ac:dyDescent="0.3">
      <c r="A1695" s="11"/>
      <c r="B1695" s="11"/>
      <c r="C1695" s="11"/>
      <c r="D1695" s="11"/>
      <c r="E1695" s="11"/>
      <c r="F1695" s="11"/>
      <c r="G1695" s="11"/>
      <c r="H1695" s="11"/>
      <c r="I1695" s="11"/>
      <c r="J1695" s="11"/>
      <c r="K1695" s="11"/>
      <c r="L1695" s="11"/>
      <c r="M1695" s="11"/>
      <c r="N1695" s="11"/>
      <c r="O1695" s="11"/>
      <c r="P1695" s="11"/>
      <c r="Q1695" s="11"/>
      <c r="R1695" s="11"/>
      <c r="S1695" s="11"/>
      <c r="T1695" s="11"/>
      <c r="U1695" s="11"/>
      <c r="V1695" s="11"/>
      <c r="W1695" s="11"/>
      <c r="X1695" s="11"/>
      <c r="Y1695" s="11"/>
      <c r="Z1695" s="11"/>
      <c r="AA1695" s="11"/>
      <c r="AB1695" s="11"/>
      <c r="AC1695" s="11"/>
    </row>
    <row r="1696" spans="1:29" x14ac:dyDescent="0.3">
      <c r="A1696" s="11"/>
      <c r="B1696" s="11"/>
      <c r="C1696" s="11"/>
      <c r="D1696" s="11"/>
      <c r="E1696" s="11"/>
      <c r="F1696" s="11"/>
      <c r="G1696" s="11"/>
      <c r="H1696" s="11"/>
      <c r="I1696" s="11"/>
      <c r="J1696" s="11"/>
      <c r="K1696" s="11"/>
      <c r="L1696" s="11"/>
      <c r="M1696" s="11"/>
      <c r="N1696" s="11"/>
      <c r="O1696" s="11"/>
      <c r="P1696" s="11"/>
      <c r="Q1696" s="11"/>
      <c r="R1696" s="11"/>
      <c r="S1696" s="11"/>
      <c r="T1696" s="11"/>
      <c r="U1696" s="11"/>
      <c r="V1696" s="11"/>
      <c r="W1696" s="11"/>
      <c r="X1696" s="11"/>
      <c r="Y1696" s="11"/>
      <c r="Z1696" s="11"/>
      <c r="AA1696" s="11"/>
      <c r="AB1696" s="11"/>
      <c r="AC1696" s="11"/>
    </row>
    <row r="1697" spans="1:29" x14ac:dyDescent="0.3">
      <c r="A1697" s="11"/>
      <c r="B1697" s="11"/>
      <c r="C1697" s="11"/>
      <c r="D1697" s="11"/>
      <c r="E1697" s="11"/>
      <c r="F1697" s="11"/>
      <c r="G1697" s="11"/>
      <c r="H1697" s="11"/>
      <c r="I1697" s="11"/>
      <c r="J1697" s="11"/>
      <c r="K1697" s="11"/>
      <c r="L1697" s="11"/>
      <c r="M1697" s="11"/>
      <c r="N1697" s="11"/>
      <c r="O1697" s="11"/>
      <c r="P1697" s="11"/>
      <c r="Q1697" s="11"/>
      <c r="R1697" s="11"/>
      <c r="S1697" s="11"/>
      <c r="T1697" s="11"/>
      <c r="U1697" s="11"/>
      <c r="V1697" s="11"/>
      <c r="W1697" s="11"/>
      <c r="X1697" s="11"/>
      <c r="Y1697" s="11"/>
      <c r="Z1697" s="11"/>
      <c r="AA1697" s="11"/>
      <c r="AB1697" s="11"/>
      <c r="AC1697" s="11"/>
    </row>
    <row r="1698" spans="1:29" x14ac:dyDescent="0.3">
      <c r="A1698" s="11"/>
      <c r="B1698" s="11"/>
      <c r="C1698" s="11"/>
      <c r="D1698" s="11"/>
      <c r="E1698" s="11"/>
      <c r="F1698" s="11"/>
      <c r="G1698" s="11"/>
      <c r="H1698" s="11"/>
      <c r="I1698" s="11"/>
      <c r="J1698" s="11"/>
      <c r="K1698" s="11"/>
      <c r="L1698" s="11"/>
      <c r="M1698" s="11"/>
      <c r="N1698" s="11"/>
      <c r="O1698" s="11"/>
      <c r="P1698" s="11"/>
      <c r="Q1698" s="11"/>
      <c r="R1698" s="11"/>
      <c r="S1698" s="11"/>
      <c r="T1698" s="11"/>
      <c r="U1698" s="11"/>
      <c r="V1698" s="11"/>
      <c r="W1698" s="11"/>
      <c r="X1698" s="11"/>
      <c r="Y1698" s="11"/>
      <c r="Z1698" s="11"/>
      <c r="AA1698" s="11"/>
      <c r="AB1698" s="11"/>
      <c r="AC1698" s="11"/>
    </row>
    <row r="1699" spans="1:29" x14ac:dyDescent="0.3">
      <c r="A1699" s="11"/>
      <c r="B1699" s="11"/>
      <c r="C1699" s="11"/>
      <c r="D1699" s="11"/>
      <c r="E1699" s="11"/>
      <c r="F1699" s="11"/>
      <c r="G1699" s="11"/>
      <c r="H1699" s="11"/>
      <c r="I1699" s="11"/>
      <c r="J1699" s="11"/>
      <c r="K1699" s="11"/>
      <c r="L1699" s="11"/>
      <c r="M1699" s="11"/>
      <c r="N1699" s="11"/>
      <c r="O1699" s="11"/>
      <c r="P1699" s="11"/>
      <c r="Q1699" s="11"/>
      <c r="R1699" s="11"/>
      <c r="S1699" s="11"/>
      <c r="T1699" s="11"/>
      <c r="U1699" s="11"/>
      <c r="V1699" s="11"/>
      <c r="W1699" s="11"/>
      <c r="X1699" s="11"/>
      <c r="Y1699" s="11"/>
      <c r="Z1699" s="11"/>
      <c r="AA1699" s="11"/>
      <c r="AB1699" s="11"/>
      <c r="AC1699" s="11"/>
    </row>
    <row r="1700" spans="1:29" x14ac:dyDescent="0.3">
      <c r="A1700" s="11"/>
      <c r="B1700" s="11"/>
      <c r="C1700" s="11"/>
      <c r="D1700" s="11"/>
      <c r="E1700" s="11"/>
      <c r="F1700" s="11"/>
      <c r="G1700" s="11"/>
      <c r="H1700" s="11"/>
      <c r="I1700" s="11"/>
      <c r="J1700" s="11"/>
      <c r="K1700" s="11"/>
      <c r="L1700" s="11"/>
      <c r="M1700" s="11"/>
      <c r="N1700" s="11"/>
      <c r="O1700" s="11"/>
      <c r="P1700" s="11"/>
      <c r="Q1700" s="11"/>
      <c r="R1700" s="11"/>
      <c r="S1700" s="11"/>
      <c r="T1700" s="11"/>
      <c r="U1700" s="11"/>
      <c r="V1700" s="11"/>
      <c r="W1700" s="11"/>
      <c r="X1700" s="11"/>
      <c r="Y1700" s="11"/>
      <c r="Z1700" s="11"/>
      <c r="AA1700" s="11"/>
      <c r="AB1700" s="11"/>
      <c r="AC1700" s="11"/>
    </row>
    <row r="1701" spans="1:29" x14ac:dyDescent="0.3">
      <c r="A1701" s="11"/>
      <c r="B1701" s="11"/>
      <c r="C1701" s="11"/>
      <c r="D1701" s="11"/>
      <c r="E1701" s="11"/>
      <c r="F1701" s="11"/>
      <c r="G1701" s="11"/>
      <c r="H1701" s="11"/>
      <c r="I1701" s="11"/>
      <c r="J1701" s="11"/>
      <c r="K1701" s="11"/>
      <c r="L1701" s="11"/>
      <c r="M1701" s="11"/>
      <c r="N1701" s="11"/>
      <c r="O1701" s="11"/>
      <c r="P1701" s="11"/>
      <c r="Q1701" s="11"/>
      <c r="R1701" s="11"/>
      <c r="S1701" s="11"/>
      <c r="T1701" s="11"/>
      <c r="U1701" s="11"/>
      <c r="V1701" s="11"/>
      <c r="W1701" s="11"/>
      <c r="X1701" s="11"/>
      <c r="Y1701" s="11"/>
      <c r="Z1701" s="11"/>
      <c r="AA1701" s="11"/>
      <c r="AB1701" s="11"/>
      <c r="AC1701" s="11"/>
    </row>
    <row r="1702" spans="1:29" x14ac:dyDescent="0.3">
      <c r="A1702" s="11"/>
      <c r="B1702" s="11"/>
      <c r="C1702" s="11"/>
      <c r="D1702" s="11"/>
      <c r="E1702" s="11"/>
      <c r="F1702" s="11"/>
      <c r="G1702" s="11"/>
      <c r="H1702" s="11"/>
      <c r="I1702" s="11"/>
      <c r="J1702" s="11"/>
      <c r="K1702" s="11"/>
      <c r="L1702" s="11"/>
      <c r="M1702" s="11"/>
      <c r="N1702" s="11"/>
      <c r="O1702" s="11"/>
      <c r="P1702" s="11"/>
      <c r="Q1702" s="11"/>
      <c r="R1702" s="11"/>
      <c r="S1702" s="11"/>
      <c r="T1702" s="11"/>
      <c r="U1702" s="11"/>
      <c r="V1702" s="11"/>
      <c r="W1702" s="11"/>
      <c r="X1702" s="11"/>
      <c r="Y1702" s="11"/>
      <c r="Z1702" s="11"/>
      <c r="AA1702" s="11"/>
      <c r="AB1702" s="11"/>
      <c r="AC1702" s="11"/>
    </row>
    <row r="1703" spans="1:29" x14ac:dyDescent="0.3">
      <c r="A1703" s="11"/>
      <c r="B1703" s="11"/>
      <c r="C1703" s="11"/>
      <c r="D1703" s="11"/>
      <c r="E1703" s="11"/>
      <c r="F1703" s="11"/>
      <c r="G1703" s="11"/>
      <c r="H1703" s="11"/>
      <c r="I1703" s="11"/>
      <c r="J1703" s="11"/>
      <c r="K1703" s="11"/>
      <c r="L1703" s="11"/>
      <c r="M1703" s="11"/>
      <c r="N1703" s="11"/>
      <c r="O1703" s="11"/>
      <c r="P1703" s="11"/>
      <c r="Q1703" s="11"/>
      <c r="R1703" s="11"/>
      <c r="S1703" s="11"/>
      <c r="T1703" s="11"/>
      <c r="U1703" s="11"/>
      <c r="V1703" s="11"/>
      <c r="W1703" s="11"/>
      <c r="X1703" s="11"/>
      <c r="Y1703" s="11"/>
      <c r="Z1703" s="11"/>
      <c r="AA1703" s="11"/>
      <c r="AB1703" s="11"/>
      <c r="AC1703" s="11"/>
    </row>
    <row r="1704" spans="1:29" x14ac:dyDescent="0.3">
      <c r="A1704" s="11"/>
      <c r="B1704" s="11"/>
      <c r="C1704" s="11"/>
      <c r="D1704" s="11"/>
      <c r="E1704" s="11"/>
      <c r="F1704" s="11"/>
      <c r="G1704" s="11"/>
      <c r="H1704" s="11"/>
      <c r="I1704" s="11"/>
      <c r="J1704" s="11"/>
      <c r="K1704" s="11"/>
      <c r="L1704" s="11"/>
      <c r="M1704" s="11"/>
      <c r="N1704" s="11"/>
      <c r="O1704" s="11"/>
      <c r="P1704" s="11"/>
      <c r="Q1704" s="11"/>
      <c r="R1704" s="11"/>
      <c r="S1704" s="11"/>
      <c r="T1704" s="11"/>
      <c r="U1704" s="11"/>
      <c r="V1704" s="11"/>
      <c r="W1704" s="11"/>
      <c r="X1704" s="11"/>
      <c r="Y1704" s="11"/>
      <c r="Z1704" s="11"/>
      <c r="AA1704" s="11"/>
      <c r="AB1704" s="11"/>
      <c r="AC1704" s="11"/>
    </row>
    <row r="1705" spans="1:29" x14ac:dyDescent="0.3">
      <c r="A1705" s="11"/>
      <c r="B1705" s="11"/>
      <c r="C1705" s="11"/>
      <c r="D1705" s="11"/>
      <c r="E1705" s="11"/>
      <c r="F1705" s="11"/>
      <c r="G1705" s="11"/>
      <c r="H1705" s="11"/>
      <c r="I1705" s="11"/>
      <c r="J1705" s="11"/>
      <c r="K1705" s="11"/>
      <c r="L1705" s="11"/>
      <c r="M1705" s="11"/>
      <c r="N1705" s="11"/>
      <c r="O1705" s="11"/>
      <c r="P1705" s="11"/>
      <c r="Q1705" s="11"/>
      <c r="R1705" s="11"/>
      <c r="S1705" s="11"/>
      <c r="T1705" s="11"/>
      <c r="U1705" s="11"/>
      <c r="V1705" s="11"/>
      <c r="W1705" s="11"/>
      <c r="X1705" s="11"/>
      <c r="Y1705" s="11"/>
      <c r="Z1705" s="11"/>
      <c r="AA1705" s="11"/>
      <c r="AB1705" s="11"/>
      <c r="AC1705" s="11"/>
    </row>
    <row r="1706" spans="1:29" x14ac:dyDescent="0.3">
      <c r="A1706" s="11"/>
      <c r="B1706" s="11"/>
      <c r="C1706" s="11"/>
      <c r="D1706" s="11"/>
      <c r="E1706" s="11"/>
      <c r="F1706" s="11"/>
      <c r="G1706" s="11"/>
      <c r="H1706" s="11"/>
      <c r="I1706" s="11"/>
      <c r="J1706" s="11"/>
      <c r="K1706" s="11"/>
      <c r="L1706" s="11"/>
      <c r="M1706" s="11"/>
      <c r="N1706" s="11"/>
      <c r="O1706" s="11"/>
      <c r="P1706" s="11"/>
      <c r="Q1706" s="11"/>
      <c r="R1706" s="11"/>
      <c r="S1706" s="11"/>
      <c r="T1706" s="11"/>
      <c r="U1706" s="11"/>
      <c r="V1706" s="11"/>
      <c r="W1706" s="11"/>
      <c r="X1706" s="11"/>
      <c r="Y1706" s="11"/>
      <c r="Z1706" s="11"/>
      <c r="AA1706" s="11"/>
      <c r="AB1706" s="11"/>
      <c r="AC1706" s="11"/>
    </row>
    <row r="1707" spans="1:29" x14ac:dyDescent="0.3">
      <c r="A1707" s="11"/>
      <c r="B1707" s="11"/>
      <c r="C1707" s="11"/>
      <c r="D1707" s="11"/>
      <c r="E1707" s="11"/>
      <c r="F1707" s="11"/>
      <c r="G1707" s="11"/>
      <c r="H1707" s="11"/>
      <c r="I1707" s="11"/>
      <c r="J1707" s="11"/>
      <c r="K1707" s="11"/>
      <c r="L1707" s="11"/>
      <c r="M1707" s="11"/>
      <c r="N1707" s="11"/>
      <c r="O1707" s="11"/>
      <c r="P1707" s="11"/>
      <c r="Q1707" s="11"/>
      <c r="R1707" s="11"/>
      <c r="S1707" s="11"/>
      <c r="T1707" s="11"/>
      <c r="U1707" s="11"/>
      <c r="V1707" s="11"/>
      <c r="W1707" s="11"/>
      <c r="X1707" s="11"/>
      <c r="Y1707" s="11"/>
      <c r="Z1707" s="11"/>
      <c r="AA1707" s="11"/>
      <c r="AB1707" s="11"/>
      <c r="AC1707" s="11"/>
    </row>
    <row r="1708" spans="1:29" x14ac:dyDescent="0.3">
      <c r="A1708" s="11"/>
      <c r="B1708" s="11"/>
      <c r="C1708" s="11"/>
      <c r="D1708" s="11"/>
      <c r="E1708" s="11"/>
      <c r="F1708" s="11"/>
      <c r="G1708" s="11"/>
      <c r="H1708" s="11"/>
      <c r="I1708" s="11"/>
      <c r="J1708" s="11"/>
      <c r="K1708" s="11"/>
      <c r="L1708" s="11"/>
      <c r="M1708" s="11"/>
      <c r="N1708" s="11"/>
      <c r="O1708" s="11"/>
      <c r="P1708" s="11"/>
      <c r="Q1708" s="11"/>
      <c r="R1708" s="11"/>
      <c r="S1708" s="11"/>
      <c r="T1708" s="11"/>
      <c r="U1708" s="11"/>
      <c r="V1708" s="11"/>
      <c r="W1708" s="11"/>
      <c r="X1708" s="11"/>
      <c r="Y1708" s="11"/>
      <c r="Z1708" s="11"/>
      <c r="AA1708" s="11"/>
      <c r="AB1708" s="11"/>
      <c r="AC1708" s="11"/>
    </row>
    <row r="1709" spans="1:29" x14ac:dyDescent="0.3">
      <c r="A1709" s="11"/>
      <c r="B1709" s="11"/>
      <c r="C1709" s="11"/>
      <c r="D1709" s="11"/>
      <c r="E1709" s="11"/>
      <c r="F1709" s="11"/>
      <c r="G1709" s="11"/>
      <c r="H1709" s="11"/>
      <c r="I1709" s="11"/>
      <c r="J1709" s="11"/>
      <c r="K1709" s="11"/>
      <c r="L1709" s="11"/>
      <c r="M1709" s="11"/>
      <c r="N1709" s="11"/>
      <c r="O1709" s="11"/>
      <c r="P1709" s="11"/>
      <c r="Q1709" s="11"/>
      <c r="R1709" s="11"/>
      <c r="S1709" s="11"/>
      <c r="T1709" s="11"/>
      <c r="U1709" s="11"/>
      <c r="V1709" s="11"/>
      <c r="W1709" s="11"/>
      <c r="X1709" s="11"/>
      <c r="Y1709" s="11"/>
      <c r="Z1709" s="11"/>
      <c r="AA1709" s="11"/>
      <c r="AB1709" s="11"/>
      <c r="AC1709" s="11"/>
    </row>
    <row r="1710" spans="1:29" x14ac:dyDescent="0.3">
      <c r="A1710" s="11"/>
      <c r="B1710" s="11"/>
      <c r="C1710" s="11"/>
      <c r="D1710" s="11"/>
      <c r="E1710" s="11"/>
      <c r="F1710" s="11"/>
      <c r="G1710" s="11"/>
      <c r="H1710" s="11"/>
      <c r="I1710" s="11"/>
      <c r="J1710" s="11"/>
      <c r="K1710" s="11"/>
      <c r="L1710" s="11"/>
      <c r="M1710" s="11"/>
      <c r="N1710" s="11"/>
      <c r="O1710" s="11"/>
      <c r="P1710" s="11"/>
      <c r="Q1710" s="11"/>
      <c r="R1710" s="11"/>
      <c r="S1710" s="11"/>
      <c r="T1710" s="11"/>
      <c r="U1710" s="11"/>
      <c r="V1710" s="11"/>
      <c r="W1710" s="11"/>
      <c r="X1710" s="11"/>
      <c r="Y1710" s="11"/>
      <c r="Z1710" s="11"/>
      <c r="AA1710" s="11"/>
      <c r="AB1710" s="11"/>
      <c r="AC1710" s="11"/>
    </row>
    <row r="1711" spans="1:29" x14ac:dyDescent="0.3">
      <c r="A1711" s="11"/>
      <c r="B1711" s="11"/>
      <c r="C1711" s="11"/>
      <c r="D1711" s="11"/>
      <c r="E1711" s="11"/>
      <c r="F1711" s="11"/>
      <c r="G1711" s="11"/>
      <c r="H1711" s="11"/>
      <c r="I1711" s="11"/>
      <c r="J1711" s="11"/>
      <c r="K1711" s="11"/>
      <c r="L1711" s="11"/>
      <c r="M1711" s="11"/>
      <c r="N1711" s="11"/>
      <c r="O1711" s="11"/>
      <c r="P1711" s="11"/>
      <c r="Q1711" s="11"/>
      <c r="R1711" s="11"/>
      <c r="S1711" s="11"/>
      <c r="T1711" s="11"/>
      <c r="U1711" s="11"/>
      <c r="V1711" s="11"/>
      <c r="W1711" s="11"/>
      <c r="X1711" s="11"/>
      <c r="Y1711" s="11"/>
      <c r="Z1711" s="11"/>
      <c r="AA1711" s="11"/>
      <c r="AB1711" s="11"/>
      <c r="AC1711" s="11"/>
    </row>
    <row r="1712" spans="1:29" x14ac:dyDescent="0.3">
      <c r="A1712" s="11"/>
      <c r="B1712" s="11"/>
      <c r="C1712" s="11"/>
      <c r="D1712" s="11"/>
      <c r="E1712" s="11"/>
      <c r="F1712" s="11"/>
      <c r="G1712" s="11"/>
      <c r="H1712" s="11"/>
      <c r="I1712" s="11"/>
      <c r="J1712" s="11"/>
      <c r="K1712" s="11"/>
      <c r="L1712" s="11"/>
      <c r="M1712" s="11"/>
      <c r="N1712" s="11"/>
      <c r="O1712" s="11"/>
      <c r="P1712" s="11"/>
      <c r="Q1712" s="11"/>
      <c r="R1712" s="11"/>
      <c r="S1712" s="11"/>
      <c r="T1712" s="11"/>
      <c r="U1712" s="11"/>
      <c r="V1712" s="11"/>
      <c r="W1712" s="11"/>
      <c r="X1712" s="11"/>
      <c r="Y1712" s="11"/>
      <c r="Z1712" s="11"/>
      <c r="AA1712" s="11"/>
      <c r="AB1712" s="11"/>
      <c r="AC1712" s="11"/>
    </row>
    <row r="1713" spans="1:29" x14ac:dyDescent="0.3">
      <c r="A1713" s="11"/>
      <c r="B1713" s="11"/>
      <c r="C1713" s="11"/>
      <c r="D1713" s="11"/>
      <c r="E1713" s="11"/>
      <c r="F1713" s="11"/>
      <c r="G1713" s="11"/>
      <c r="H1713" s="11"/>
      <c r="I1713" s="11"/>
      <c r="J1713" s="11"/>
      <c r="K1713" s="11"/>
      <c r="L1713" s="11"/>
      <c r="M1713" s="11"/>
      <c r="N1713" s="11"/>
      <c r="O1713" s="11"/>
      <c r="P1713" s="11"/>
      <c r="Q1713" s="11"/>
      <c r="R1713" s="11"/>
      <c r="S1713" s="11"/>
      <c r="T1713" s="11"/>
      <c r="U1713" s="11"/>
      <c r="V1713" s="11"/>
      <c r="W1713" s="11"/>
      <c r="X1713" s="11"/>
      <c r="Y1713" s="11"/>
      <c r="Z1713" s="11"/>
      <c r="AA1713" s="11"/>
      <c r="AB1713" s="11"/>
      <c r="AC1713" s="11"/>
    </row>
    <row r="1714" spans="1:29" x14ac:dyDescent="0.3">
      <c r="A1714" s="11"/>
      <c r="B1714" s="11"/>
      <c r="C1714" s="11"/>
      <c r="D1714" s="11"/>
      <c r="E1714" s="11"/>
      <c r="F1714" s="11"/>
      <c r="G1714" s="11"/>
      <c r="H1714" s="11"/>
      <c r="I1714" s="11"/>
      <c r="J1714" s="11"/>
      <c r="K1714" s="11"/>
      <c r="L1714" s="11"/>
      <c r="M1714" s="11"/>
      <c r="N1714" s="11"/>
      <c r="O1714" s="11"/>
      <c r="P1714" s="11"/>
      <c r="Q1714" s="11"/>
      <c r="R1714" s="11"/>
      <c r="S1714" s="11"/>
      <c r="T1714" s="11"/>
      <c r="U1714" s="11"/>
      <c r="V1714" s="11"/>
      <c r="W1714" s="11"/>
      <c r="X1714" s="11"/>
      <c r="Y1714" s="11"/>
      <c r="Z1714" s="11"/>
      <c r="AA1714" s="11"/>
      <c r="AB1714" s="11"/>
      <c r="AC1714" s="11"/>
    </row>
    <row r="1715" spans="1:29" x14ac:dyDescent="0.3">
      <c r="A1715" s="11"/>
      <c r="B1715" s="11"/>
      <c r="C1715" s="11"/>
      <c r="D1715" s="11"/>
      <c r="E1715" s="11"/>
      <c r="F1715" s="11"/>
      <c r="G1715" s="11"/>
      <c r="H1715" s="11"/>
      <c r="I1715" s="11"/>
      <c r="J1715" s="11"/>
      <c r="K1715" s="11"/>
      <c r="L1715" s="11"/>
      <c r="M1715" s="11"/>
      <c r="N1715" s="11"/>
      <c r="O1715" s="11"/>
      <c r="P1715" s="11"/>
      <c r="Q1715" s="11"/>
      <c r="R1715" s="11"/>
      <c r="S1715" s="11"/>
      <c r="T1715" s="11"/>
      <c r="U1715" s="11"/>
      <c r="V1715" s="11"/>
      <c r="W1715" s="11"/>
      <c r="X1715" s="11"/>
      <c r="Y1715" s="11"/>
      <c r="Z1715" s="11"/>
      <c r="AA1715" s="11"/>
      <c r="AB1715" s="11"/>
      <c r="AC1715" s="11"/>
    </row>
    <row r="1716" spans="1:29" x14ac:dyDescent="0.3">
      <c r="A1716" s="11"/>
      <c r="B1716" s="11"/>
      <c r="C1716" s="11"/>
      <c r="D1716" s="11"/>
      <c r="E1716" s="11"/>
      <c r="F1716" s="11"/>
      <c r="G1716" s="11"/>
      <c r="H1716" s="11"/>
      <c r="I1716" s="11"/>
      <c r="J1716" s="11"/>
      <c r="K1716" s="11"/>
      <c r="L1716" s="11"/>
      <c r="M1716" s="11"/>
      <c r="N1716" s="11"/>
      <c r="O1716" s="11"/>
      <c r="P1716" s="11"/>
      <c r="Q1716" s="11"/>
      <c r="R1716" s="11"/>
      <c r="S1716" s="11"/>
      <c r="T1716" s="11"/>
      <c r="U1716" s="11"/>
      <c r="V1716" s="11"/>
      <c r="W1716" s="11"/>
      <c r="X1716" s="11"/>
      <c r="Y1716" s="11"/>
      <c r="Z1716" s="11"/>
      <c r="AA1716" s="11"/>
      <c r="AB1716" s="11"/>
      <c r="AC1716" s="11"/>
    </row>
    <row r="1717" spans="1:29" x14ac:dyDescent="0.3">
      <c r="A1717" s="11"/>
      <c r="B1717" s="11"/>
      <c r="C1717" s="11"/>
      <c r="D1717" s="11"/>
      <c r="E1717" s="11"/>
      <c r="F1717" s="11"/>
      <c r="G1717" s="11"/>
      <c r="H1717" s="11"/>
      <c r="I1717" s="11"/>
      <c r="J1717" s="11"/>
      <c r="K1717" s="11"/>
      <c r="L1717" s="11"/>
      <c r="M1717" s="11"/>
      <c r="N1717" s="11"/>
      <c r="O1717" s="11"/>
      <c r="P1717" s="11"/>
      <c r="Q1717" s="11"/>
      <c r="R1717" s="11"/>
      <c r="S1717" s="11"/>
      <c r="T1717" s="11"/>
      <c r="U1717" s="11"/>
      <c r="V1717" s="11"/>
      <c r="W1717" s="11"/>
      <c r="X1717" s="11"/>
      <c r="Y1717" s="11"/>
      <c r="Z1717" s="11"/>
      <c r="AA1717" s="11"/>
      <c r="AB1717" s="11"/>
      <c r="AC1717" s="11"/>
    </row>
    <row r="1718" spans="1:29" x14ac:dyDescent="0.3">
      <c r="A1718" s="11"/>
      <c r="B1718" s="11"/>
      <c r="C1718" s="11"/>
      <c r="D1718" s="11"/>
      <c r="E1718" s="11"/>
      <c r="F1718" s="11"/>
      <c r="G1718" s="11"/>
      <c r="H1718" s="11"/>
      <c r="I1718" s="11"/>
      <c r="J1718" s="11"/>
      <c r="K1718" s="11"/>
      <c r="L1718" s="11"/>
      <c r="M1718" s="11"/>
      <c r="N1718" s="11"/>
      <c r="O1718" s="11"/>
      <c r="P1718" s="11"/>
      <c r="Q1718" s="11"/>
      <c r="R1718" s="11"/>
      <c r="S1718" s="11"/>
      <c r="T1718" s="11"/>
      <c r="U1718" s="11"/>
      <c r="V1718" s="11"/>
      <c r="W1718" s="11"/>
      <c r="X1718" s="11"/>
      <c r="Y1718" s="11"/>
      <c r="Z1718" s="11"/>
      <c r="AA1718" s="11"/>
      <c r="AB1718" s="11"/>
      <c r="AC1718" s="11"/>
    </row>
    <row r="1719" spans="1:29" x14ac:dyDescent="0.3">
      <c r="A1719" s="11"/>
      <c r="B1719" s="11"/>
      <c r="C1719" s="11"/>
      <c r="D1719" s="11"/>
      <c r="E1719" s="11"/>
      <c r="F1719" s="11"/>
      <c r="G1719" s="11"/>
      <c r="H1719" s="11"/>
      <c r="I1719" s="11"/>
      <c r="J1719" s="11"/>
      <c r="K1719" s="11"/>
      <c r="L1719" s="11"/>
      <c r="M1719" s="11"/>
      <c r="N1719" s="11"/>
      <c r="O1719" s="11"/>
      <c r="P1719" s="11"/>
      <c r="Q1719" s="11"/>
      <c r="R1719" s="11"/>
      <c r="S1719" s="11"/>
      <c r="T1719" s="11"/>
      <c r="U1719" s="11"/>
      <c r="V1719" s="11"/>
      <c r="W1719" s="11"/>
      <c r="X1719" s="11"/>
      <c r="Y1719" s="11"/>
      <c r="Z1719" s="11"/>
      <c r="AA1719" s="11"/>
      <c r="AB1719" s="11"/>
      <c r="AC1719" s="11"/>
    </row>
    <row r="1720" spans="1:29" x14ac:dyDescent="0.3">
      <c r="A1720" s="11"/>
      <c r="B1720" s="11"/>
      <c r="C1720" s="11"/>
      <c r="D1720" s="11"/>
      <c r="E1720" s="11"/>
      <c r="F1720" s="11"/>
      <c r="G1720" s="11"/>
      <c r="H1720" s="11"/>
      <c r="I1720" s="11"/>
      <c r="J1720" s="11"/>
      <c r="K1720" s="11"/>
      <c r="L1720" s="11"/>
      <c r="M1720" s="11"/>
      <c r="N1720" s="11"/>
      <c r="O1720" s="11"/>
      <c r="P1720" s="11"/>
      <c r="Q1720" s="11"/>
      <c r="R1720" s="11"/>
      <c r="S1720" s="11"/>
      <c r="T1720" s="11"/>
      <c r="U1720" s="11"/>
      <c r="V1720" s="11"/>
      <c r="W1720" s="11"/>
      <c r="X1720" s="11"/>
      <c r="Y1720" s="11"/>
      <c r="Z1720" s="11"/>
      <c r="AA1720" s="11"/>
      <c r="AB1720" s="11"/>
      <c r="AC1720" s="11"/>
    </row>
    <row r="1721" spans="1:29" x14ac:dyDescent="0.3">
      <c r="A1721" s="11"/>
      <c r="B1721" s="11"/>
      <c r="C1721" s="11"/>
      <c r="D1721" s="11"/>
      <c r="E1721" s="11"/>
      <c r="F1721" s="11"/>
      <c r="G1721" s="11"/>
      <c r="H1721" s="11"/>
      <c r="I1721" s="11"/>
      <c r="J1721" s="11"/>
      <c r="K1721" s="11"/>
      <c r="L1721" s="11"/>
      <c r="M1721" s="11"/>
      <c r="N1721" s="11"/>
      <c r="O1721" s="11"/>
      <c r="P1721" s="11"/>
      <c r="Q1721" s="11"/>
      <c r="R1721" s="11"/>
      <c r="S1721" s="11"/>
      <c r="T1721" s="11"/>
      <c r="U1721" s="11"/>
      <c r="V1721" s="11"/>
      <c r="W1721" s="11"/>
      <c r="X1721" s="11"/>
      <c r="Y1721" s="11"/>
      <c r="Z1721" s="11"/>
      <c r="AA1721" s="11"/>
      <c r="AB1721" s="11"/>
      <c r="AC1721" s="11"/>
    </row>
    <row r="1722" spans="1:29" x14ac:dyDescent="0.3">
      <c r="A1722" s="11"/>
      <c r="B1722" s="11"/>
      <c r="C1722" s="11"/>
      <c r="D1722" s="11"/>
      <c r="E1722" s="11"/>
      <c r="F1722" s="11"/>
      <c r="G1722" s="11"/>
      <c r="H1722" s="11"/>
      <c r="I1722" s="11"/>
      <c r="J1722" s="11"/>
      <c r="K1722" s="11"/>
      <c r="L1722" s="11"/>
      <c r="M1722" s="11"/>
      <c r="N1722" s="11"/>
      <c r="O1722" s="11"/>
      <c r="P1722" s="11"/>
      <c r="Q1722" s="11"/>
      <c r="R1722" s="11"/>
      <c r="S1722" s="11"/>
      <c r="T1722" s="11"/>
      <c r="U1722" s="11"/>
      <c r="V1722" s="11"/>
      <c r="W1722" s="11"/>
      <c r="X1722" s="11"/>
      <c r="Y1722" s="11"/>
      <c r="Z1722" s="11"/>
      <c r="AA1722" s="11"/>
      <c r="AB1722" s="11"/>
      <c r="AC1722" s="11"/>
    </row>
    <row r="1723" spans="1:29" x14ac:dyDescent="0.3">
      <c r="A1723" s="11"/>
      <c r="B1723" s="11"/>
      <c r="C1723" s="11"/>
      <c r="D1723" s="11"/>
      <c r="E1723" s="11"/>
      <c r="F1723" s="11"/>
      <c r="G1723" s="11"/>
      <c r="H1723" s="11"/>
      <c r="I1723" s="11"/>
      <c r="J1723" s="11"/>
      <c r="K1723" s="11"/>
      <c r="L1723" s="11"/>
      <c r="M1723" s="11"/>
      <c r="N1723" s="11"/>
      <c r="O1723" s="11"/>
      <c r="P1723" s="11"/>
      <c r="Q1723" s="11"/>
      <c r="R1723" s="11"/>
      <c r="S1723" s="11"/>
      <c r="T1723" s="11"/>
      <c r="U1723" s="11"/>
      <c r="V1723" s="11"/>
      <c r="W1723" s="11"/>
      <c r="X1723" s="11"/>
      <c r="Y1723" s="11"/>
      <c r="Z1723" s="11"/>
      <c r="AA1723" s="11"/>
      <c r="AB1723" s="11"/>
      <c r="AC1723" s="11"/>
    </row>
    <row r="1724" spans="1:29" x14ac:dyDescent="0.3">
      <c r="A1724" s="11"/>
      <c r="B1724" s="11"/>
      <c r="C1724" s="11"/>
      <c r="D1724" s="11"/>
      <c r="E1724" s="11"/>
      <c r="F1724" s="11"/>
      <c r="G1724" s="11"/>
      <c r="H1724" s="11"/>
      <c r="I1724" s="11"/>
      <c r="J1724" s="11"/>
      <c r="K1724" s="11"/>
      <c r="L1724" s="11"/>
      <c r="M1724" s="11"/>
      <c r="N1724" s="11"/>
      <c r="O1724" s="11"/>
      <c r="P1724" s="11"/>
      <c r="Q1724" s="11"/>
      <c r="R1724" s="11"/>
      <c r="S1724" s="11"/>
      <c r="T1724" s="11"/>
      <c r="U1724" s="11"/>
      <c r="V1724" s="11"/>
      <c r="W1724" s="11"/>
      <c r="X1724" s="11"/>
      <c r="Y1724" s="11"/>
      <c r="Z1724" s="11"/>
      <c r="AA1724" s="11"/>
      <c r="AB1724" s="11"/>
      <c r="AC1724" s="11"/>
    </row>
    <row r="1725" spans="1:29" x14ac:dyDescent="0.3">
      <c r="A1725" s="11"/>
      <c r="B1725" s="11"/>
      <c r="C1725" s="11"/>
      <c r="D1725" s="11"/>
      <c r="E1725" s="11"/>
      <c r="F1725" s="11"/>
      <c r="G1725" s="11"/>
      <c r="H1725" s="11"/>
      <c r="I1725" s="11"/>
      <c r="J1725" s="11"/>
      <c r="K1725" s="11"/>
      <c r="L1725" s="11"/>
      <c r="M1725" s="11"/>
      <c r="N1725" s="11"/>
      <c r="O1725" s="11"/>
      <c r="P1725" s="11"/>
      <c r="Q1725" s="11"/>
      <c r="R1725" s="11"/>
      <c r="S1725" s="11"/>
      <c r="T1725" s="11"/>
      <c r="U1725" s="11"/>
      <c r="V1725" s="11"/>
      <c r="W1725" s="11"/>
      <c r="X1725" s="11"/>
      <c r="Y1725" s="11"/>
      <c r="Z1725" s="11"/>
      <c r="AA1725" s="11"/>
      <c r="AB1725" s="11"/>
      <c r="AC1725" s="11"/>
    </row>
    <row r="1726" spans="1:29" x14ac:dyDescent="0.3">
      <c r="A1726" s="11"/>
      <c r="B1726" s="11"/>
      <c r="C1726" s="11"/>
      <c r="D1726" s="11"/>
      <c r="E1726" s="11"/>
      <c r="F1726" s="11"/>
      <c r="G1726" s="11"/>
      <c r="H1726" s="11"/>
      <c r="I1726" s="11"/>
      <c r="J1726" s="11"/>
      <c r="K1726" s="11"/>
      <c r="L1726" s="11"/>
      <c r="M1726" s="11"/>
      <c r="N1726" s="11"/>
      <c r="O1726" s="11"/>
      <c r="P1726" s="11"/>
      <c r="Q1726" s="11"/>
      <c r="R1726" s="11"/>
      <c r="S1726" s="11"/>
      <c r="T1726" s="11"/>
      <c r="U1726" s="11"/>
      <c r="V1726" s="11"/>
      <c r="W1726" s="11"/>
      <c r="X1726" s="11"/>
      <c r="Y1726" s="11"/>
      <c r="Z1726" s="11"/>
      <c r="AA1726" s="11"/>
      <c r="AB1726" s="11"/>
      <c r="AC1726" s="11"/>
    </row>
    <row r="1727" spans="1:29" x14ac:dyDescent="0.3">
      <c r="A1727" s="11"/>
      <c r="B1727" s="11"/>
      <c r="C1727" s="11"/>
      <c r="D1727" s="11"/>
      <c r="E1727" s="11"/>
      <c r="F1727" s="11"/>
      <c r="G1727" s="11"/>
      <c r="H1727" s="11"/>
      <c r="I1727" s="11"/>
      <c r="J1727" s="11"/>
      <c r="K1727" s="11"/>
      <c r="L1727" s="11"/>
      <c r="M1727" s="11"/>
      <c r="N1727" s="11"/>
      <c r="O1727" s="11"/>
      <c r="P1727" s="11"/>
      <c r="Q1727" s="11"/>
      <c r="R1727" s="11"/>
      <c r="S1727" s="11"/>
      <c r="T1727" s="11"/>
      <c r="U1727" s="11"/>
      <c r="V1727" s="11"/>
      <c r="W1727" s="11"/>
      <c r="X1727" s="11"/>
      <c r="Y1727" s="11"/>
      <c r="Z1727" s="11"/>
      <c r="AA1727" s="11"/>
      <c r="AB1727" s="11"/>
      <c r="AC1727" s="11"/>
    </row>
    <row r="1728" spans="1:29" x14ac:dyDescent="0.3">
      <c r="A1728" s="11"/>
      <c r="B1728" s="11"/>
      <c r="C1728" s="11"/>
      <c r="D1728" s="11"/>
      <c r="E1728" s="11"/>
      <c r="F1728" s="11"/>
      <c r="G1728" s="11"/>
      <c r="H1728" s="11"/>
      <c r="I1728" s="11"/>
      <c r="J1728" s="11"/>
      <c r="K1728" s="11"/>
      <c r="L1728" s="11"/>
      <c r="M1728" s="11"/>
      <c r="N1728" s="11"/>
      <c r="O1728" s="11"/>
      <c r="P1728" s="11"/>
      <c r="Q1728" s="11"/>
      <c r="R1728" s="11"/>
      <c r="S1728" s="11"/>
      <c r="T1728" s="11"/>
      <c r="U1728" s="11"/>
      <c r="V1728" s="11"/>
      <c r="W1728" s="11"/>
      <c r="X1728" s="11"/>
      <c r="Y1728" s="11"/>
      <c r="Z1728" s="11"/>
      <c r="AA1728" s="11"/>
      <c r="AB1728" s="11"/>
      <c r="AC1728" s="11"/>
    </row>
    <row r="1729" spans="1:29" x14ac:dyDescent="0.3">
      <c r="A1729" s="11"/>
      <c r="B1729" s="11"/>
      <c r="C1729" s="11"/>
      <c r="D1729" s="11"/>
      <c r="E1729" s="11"/>
      <c r="F1729" s="11"/>
      <c r="G1729" s="11"/>
      <c r="H1729" s="11"/>
      <c r="I1729" s="11"/>
      <c r="J1729" s="11"/>
      <c r="K1729" s="11"/>
      <c r="L1729" s="11"/>
      <c r="M1729" s="11"/>
      <c r="N1729" s="11"/>
      <c r="O1729" s="11"/>
      <c r="P1729" s="11"/>
      <c r="Q1729" s="11"/>
      <c r="R1729" s="11"/>
      <c r="S1729" s="11"/>
      <c r="T1729" s="11"/>
      <c r="U1729" s="11"/>
      <c r="V1729" s="11"/>
      <c r="W1729" s="11"/>
      <c r="X1729" s="11"/>
      <c r="Y1729" s="11"/>
      <c r="Z1729" s="11"/>
      <c r="AA1729" s="11"/>
      <c r="AB1729" s="11"/>
      <c r="AC1729" s="11"/>
    </row>
    <row r="1730" spans="1:29" x14ac:dyDescent="0.3">
      <c r="A1730" s="11"/>
      <c r="B1730" s="11"/>
      <c r="C1730" s="11"/>
      <c r="D1730" s="11"/>
      <c r="E1730" s="11"/>
      <c r="F1730" s="11"/>
      <c r="G1730" s="11"/>
      <c r="H1730" s="11"/>
      <c r="I1730" s="11"/>
      <c r="J1730" s="11"/>
      <c r="K1730" s="11"/>
      <c r="L1730" s="11"/>
      <c r="M1730" s="11"/>
      <c r="N1730" s="11"/>
      <c r="O1730" s="11"/>
      <c r="P1730" s="11"/>
      <c r="Q1730" s="11"/>
      <c r="R1730" s="11"/>
      <c r="S1730" s="11"/>
      <c r="T1730" s="11"/>
      <c r="U1730" s="11"/>
      <c r="V1730" s="11"/>
      <c r="W1730" s="11"/>
      <c r="X1730" s="11"/>
      <c r="Y1730" s="11"/>
      <c r="Z1730" s="11"/>
      <c r="AA1730" s="11"/>
      <c r="AB1730" s="11"/>
      <c r="AC1730" s="11"/>
    </row>
    <row r="1731" spans="1:29" x14ac:dyDescent="0.3">
      <c r="A1731" s="11"/>
      <c r="B1731" s="11"/>
      <c r="C1731" s="11"/>
      <c r="D1731" s="11"/>
      <c r="E1731" s="11"/>
      <c r="F1731" s="11"/>
      <c r="G1731" s="11"/>
      <c r="H1731" s="11"/>
      <c r="I1731" s="11"/>
      <c r="J1731" s="11"/>
      <c r="K1731" s="11"/>
      <c r="L1731" s="11"/>
      <c r="M1731" s="11"/>
      <c r="N1731" s="11"/>
      <c r="O1731" s="11"/>
      <c r="P1731" s="11"/>
      <c r="Q1731" s="11"/>
      <c r="R1731" s="11"/>
      <c r="S1731" s="11"/>
      <c r="T1731" s="11"/>
      <c r="U1731" s="11"/>
      <c r="V1731" s="11"/>
      <c r="W1731" s="11"/>
      <c r="X1731" s="11"/>
      <c r="Y1731" s="11"/>
      <c r="Z1731" s="11"/>
      <c r="AA1731" s="11"/>
      <c r="AB1731" s="11"/>
      <c r="AC1731" s="11"/>
    </row>
    <row r="1732" spans="1:29" x14ac:dyDescent="0.3">
      <c r="A1732" s="11"/>
      <c r="B1732" s="11"/>
      <c r="C1732" s="11"/>
      <c r="D1732" s="11"/>
      <c r="E1732" s="11"/>
      <c r="F1732" s="11"/>
      <c r="G1732" s="11"/>
      <c r="H1732" s="11"/>
      <c r="I1732" s="11"/>
      <c r="J1732" s="11"/>
      <c r="K1732" s="11"/>
      <c r="L1732" s="11"/>
      <c r="M1732" s="11"/>
      <c r="N1732" s="11"/>
      <c r="O1732" s="11"/>
      <c r="P1732" s="11"/>
      <c r="Q1732" s="11"/>
      <c r="R1732" s="11"/>
      <c r="S1732" s="11"/>
      <c r="T1732" s="11"/>
      <c r="U1732" s="11"/>
      <c r="V1732" s="11"/>
      <c r="W1732" s="11"/>
      <c r="X1732" s="11"/>
      <c r="Y1732" s="11"/>
      <c r="Z1732" s="11"/>
      <c r="AA1732" s="11"/>
      <c r="AB1732" s="11"/>
      <c r="AC1732" s="11"/>
    </row>
    <row r="1733" spans="1:29" x14ac:dyDescent="0.3">
      <c r="A1733" s="11"/>
      <c r="B1733" s="11"/>
      <c r="C1733" s="11"/>
      <c r="D1733" s="11"/>
      <c r="E1733" s="11"/>
      <c r="F1733" s="11"/>
      <c r="G1733" s="11"/>
      <c r="H1733" s="11"/>
      <c r="I1733" s="11"/>
      <c r="J1733" s="11"/>
      <c r="K1733" s="11"/>
      <c r="L1733" s="11"/>
      <c r="M1733" s="11"/>
      <c r="N1733" s="11"/>
      <c r="O1733" s="11"/>
      <c r="P1733" s="11"/>
      <c r="Q1733" s="11"/>
      <c r="R1733" s="11"/>
      <c r="S1733" s="11"/>
      <c r="T1733" s="11"/>
      <c r="U1733" s="11"/>
      <c r="V1733" s="11"/>
      <c r="W1733" s="11"/>
      <c r="X1733" s="11"/>
      <c r="Y1733" s="11"/>
      <c r="Z1733" s="11"/>
      <c r="AA1733" s="11"/>
      <c r="AB1733" s="11"/>
      <c r="AC1733" s="11"/>
    </row>
    <row r="1734" spans="1:29" x14ac:dyDescent="0.3">
      <c r="A1734" s="11"/>
      <c r="B1734" s="11"/>
      <c r="C1734" s="11"/>
      <c r="D1734" s="11"/>
      <c r="E1734" s="11"/>
      <c r="F1734" s="11"/>
      <c r="G1734" s="11"/>
      <c r="H1734" s="11"/>
      <c r="I1734" s="11"/>
      <c r="J1734" s="11"/>
      <c r="K1734" s="11"/>
      <c r="L1734" s="11"/>
      <c r="M1734" s="11"/>
      <c r="N1734" s="11"/>
      <c r="O1734" s="11"/>
      <c r="P1734" s="11"/>
      <c r="Q1734" s="11"/>
      <c r="R1734" s="11"/>
      <c r="S1734" s="11"/>
      <c r="T1734" s="11"/>
      <c r="U1734" s="11"/>
      <c r="V1734" s="11"/>
      <c r="W1734" s="11"/>
      <c r="X1734" s="11"/>
      <c r="Y1734" s="11"/>
      <c r="Z1734" s="11"/>
      <c r="AA1734" s="11"/>
      <c r="AB1734" s="11"/>
      <c r="AC1734" s="11"/>
    </row>
    <row r="1735" spans="1:29" x14ac:dyDescent="0.3">
      <c r="A1735" s="11"/>
      <c r="B1735" s="11"/>
      <c r="C1735" s="11"/>
      <c r="D1735" s="11"/>
      <c r="E1735" s="11"/>
      <c r="F1735" s="11"/>
      <c r="G1735" s="11"/>
      <c r="H1735" s="11"/>
      <c r="I1735" s="11"/>
      <c r="J1735" s="11"/>
      <c r="K1735" s="11"/>
      <c r="L1735" s="11"/>
      <c r="M1735" s="11"/>
      <c r="N1735" s="11"/>
      <c r="O1735" s="11"/>
      <c r="P1735" s="11"/>
      <c r="Q1735" s="11"/>
      <c r="R1735" s="11"/>
      <c r="S1735" s="11"/>
      <c r="T1735" s="11"/>
      <c r="U1735" s="11"/>
      <c r="V1735" s="11"/>
      <c r="W1735" s="11"/>
      <c r="X1735" s="11"/>
      <c r="Y1735" s="11"/>
      <c r="Z1735" s="11"/>
      <c r="AA1735" s="11"/>
      <c r="AB1735" s="11"/>
      <c r="AC1735" s="11"/>
    </row>
    <row r="1736" spans="1:29" x14ac:dyDescent="0.3">
      <c r="A1736" s="11"/>
      <c r="B1736" s="11"/>
      <c r="C1736" s="11"/>
      <c r="D1736" s="11"/>
      <c r="E1736" s="11"/>
      <c r="F1736" s="11"/>
      <c r="G1736" s="11"/>
      <c r="H1736" s="11"/>
      <c r="I1736" s="11"/>
      <c r="J1736" s="11"/>
      <c r="K1736" s="11"/>
      <c r="L1736" s="11"/>
      <c r="M1736" s="11"/>
      <c r="N1736" s="11"/>
      <c r="O1736" s="11"/>
      <c r="P1736" s="11"/>
      <c r="Q1736" s="11"/>
      <c r="R1736" s="11"/>
      <c r="S1736" s="11"/>
      <c r="T1736" s="11"/>
      <c r="U1736" s="11"/>
      <c r="V1736" s="11"/>
      <c r="W1736" s="11"/>
      <c r="X1736" s="11"/>
      <c r="Y1736" s="11"/>
      <c r="Z1736" s="11"/>
      <c r="AA1736" s="11"/>
      <c r="AB1736" s="11"/>
      <c r="AC1736" s="11"/>
    </row>
    <row r="1737" spans="1:29" x14ac:dyDescent="0.3">
      <c r="A1737" s="11"/>
      <c r="B1737" s="11"/>
      <c r="C1737" s="11"/>
      <c r="D1737" s="11"/>
      <c r="E1737" s="11"/>
      <c r="F1737" s="11"/>
      <c r="G1737" s="11"/>
      <c r="H1737" s="11"/>
      <c r="I1737" s="11"/>
      <c r="J1737" s="11"/>
      <c r="K1737" s="11"/>
      <c r="L1737" s="11"/>
      <c r="M1737" s="11"/>
      <c r="N1737" s="11"/>
      <c r="O1737" s="11"/>
      <c r="P1737" s="11"/>
      <c r="Q1737" s="11"/>
      <c r="R1737" s="11"/>
      <c r="S1737" s="11"/>
      <c r="T1737" s="11"/>
      <c r="U1737" s="11"/>
      <c r="V1737" s="11"/>
      <c r="W1737" s="11"/>
      <c r="X1737" s="11"/>
      <c r="Y1737" s="11"/>
      <c r="Z1737" s="11"/>
      <c r="AA1737" s="11"/>
      <c r="AB1737" s="11"/>
      <c r="AC1737" s="11"/>
    </row>
    <row r="1738" spans="1:29" x14ac:dyDescent="0.3">
      <c r="A1738" s="11"/>
      <c r="B1738" s="11"/>
      <c r="C1738" s="11"/>
      <c r="D1738" s="11"/>
      <c r="E1738" s="11"/>
      <c r="F1738" s="11"/>
      <c r="G1738" s="11"/>
      <c r="H1738" s="11"/>
      <c r="I1738" s="11"/>
      <c r="J1738" s="11"/>
      <c r="K1738" s="11"/>
      <c r="L1738" s="11"/>
      <c r="M1738" s="11"/>
      <c r="N1738" s="11"/>
      <c r="O1738" s="11"/>
      <c r="P1738" s="11"/>
      <c r="Q1738" s="11"/>
      <c r="R1738" s="11"/>
      <c r="S1738" s="11"/>
      <c r="T1738" s="11"/>
      <c r="U1738" s="11"/>
      <c r="V1738" s="11"/>
      <c r="W1738" s="11"/>
      <c r="X1738" s="11"/>
      <c r="Y1738" s="11"/>
      <c r="Z1738" s="11"/>
      <c r="AA1738" s="11"/>
      <c r="AB1738" s="11"/>
      <c r="AC1738" s="11"/>
    </row>
    <row r="1739" spans="1:29" x14ac:dyDescent="0.3">
      <c r="A1739" s="11"/>
      <c r="B1739" s="11"/>
      <c r="C1739" s="11"/>
      <c r="D1739" s="11"/>
      <c r="E1739" s="11"/>
      <c r="F1739" s="11"/>
      <c r="G1739" s="11"/>
      <c r="H1739" s="11"/>
      <c r="I1739" s="11"/>
      <c r="J1739" s="11"/>
      <c r="K1739" s="11"/>
      <c r="L1739" s="11"/>
      <c r="M1739" s="11"/>
      <c r="N1739" s="11"/>
      <c r="O1739" s="11"/>
      <c r="P1739" s="11"/>
      <c r="Q1739" s="11"/>
      <c r="R1739" s="11"/>
      <c r="S1739" s="11"/>
      <c r="T1739" s="11"/>
      <c r="U1739" s="11"/>
      <c r="V1739" s="11"/>
      <c r="W1739" s="11"/>
      <c r="X1739" s="11"/>
      <c r="Y1739" s="11"/>
      <c r="Z1739" s="11"/>
      <c r="AA1739" s="11"/>
      <c r="AB1739" s="11"/>
      <c r="AC1739" s="11"/>
    </row>
    <row r="1740" spans="1:29" x14ac:dyDescent="0.3">
      <c r="A1740" s="11"/>
      <c r="B1740" s="11"/>
      <c r="C1740" s="11"/>
      <c r="D1740" s="11"/>
      <c r="E1740" s="11"/>
      <c r="F1740" s="11"/>
      <c r="G1740" s="11"/>
      <c r="H1740" s="11"/>
      <c r="I1740" s="11"/>
      <c r="J1740" s="11"/>
      <c r="K1740" s="11"/>
      <c r="L1740" s="11"/>
      <c r="M1740" s="11"/>
      <c r="N1740" s="11"/>
      <c r="O1740" s="11"/>
      <c r="P1740" s="11"/>
      <c r="Q1740" s="11"/>
      <c r="R1740" s="11"/>
      <c r="S1740" s="11"/>
      <c r="T1740" s="11"/>
      <c r="U1740" s="11"/>
      <c r="V1740" s="11"/>
      <c r="W1740" s="11"/>
      <c r="X1740" s="11"/>
      <c r="Y1740" s="11"/>
      <c r="Z1740" s="11"/>
      <c r="AA1740" s="11"/>
      <c r="AB1740" s="11"/>
      <c r="AC1740" s="11"/>
    </row>
    <row r="1741" spans="1:29" x14ac:dyDescent="0.3">
      <c r="A1741" s="11"/>
      <c r="B1741" s="11"/>
      <c r="C1741" s="11"/>
      <c r="D1741" s="11"/>
      <c r="E1741" s="11"/>
      <c r="F1741" s="11"/>
      <c r="G1741" s="11"/>
      <c r="H1741" s="11"/>
      <c r="I1741" s="11"/>
      <c r="J1741" s="11"/>
      <c r="K1741" s="11"/>
      <c r="L1741" s="11"/>
      <c r="M1741" s="11"/>
      <c r="N1741" s="11"/>
      <c r="O1741" s="11"/>
      <c r="P1741" s="11"/>
      <c r="Q1741" s="11"/>
      <c r="R1741" s="11"/>
      <c r="S1741" s="11"/>
      <c r="T1741" s="11"/>
      <c r="U1741" s="11"/>
      <c r="V1741" s="11"/>
      <c r="W1741" s="11"/>
      <c r="X1741" s="11"/>
      <c r="Y1741" s="11"/>
      <c r="Z1741" s="11"/>
      <c r="AA1741" s="11"/>
      <c r="AB1741" s="11"/>
      <c r="AC1741" s="11"/>
    </row>
    <row r="1742" spans="1:29" x14ac:dyDescent="0.3">
      <c r="A1742" s="11"/>
      <c r="B1742" s="11"/>
      <c r="C1742" s="11"/>
      <c r="D1742" s="11"/>
      <c r="E1742" s="11"/>
      <c r="F1742" s="11"/>
      <c r="G1742" s="11"/>
      <c r="H1742" s="11"/>
      <c r="I1742" s="11"/>
      <c r="J1742" s="11"/>
      <c r="K1742" s="11"/>
      <c r="L1742" s="11"/>
      <c r="M1742" s="11"/>
      <c r="N1742" s="11"/>
      <c r="O1742" s="11"/>
      <c r="P1742" s="11"/>
      <c r="Q1742" s="11"/>
      <c r="R1742" s="11"/>
      <c r="S1742" s="11"/>
      <c r="T1742" s="11"/>
      <c r="U1742" s="11"/>
      <c r="V1742" s="11"/>
      <c r="W1742" s="11"/>
      <c r="X1742" s="11"/>
      <c r="Y1742" s="11"/>
      <c r="Z1742" s="11"/>
      <c r="AA1742" s="11"/>
      <c r="AB1742" s="11"/>
      <c r="AC1742" s="11"/>
    </row>
    <row r="1743" spans="1:29" x14ac:dyDescent="0.3">
      <c r="A1743" s="11"/>
      <c r="B1743" s="11"/>
      <c r="C1743" s="11"/>
      <c r="D1743" s="11"/>
      <c r="E1743" s="11"/>
      <c r="F1743" s="11"/>
      <c r="G1743" s="11"/>
      <c r="H1743" s="11"/>
      <c r="I1743" s="11"/>
      <c r="J1743" s="11"/>
      <c r="K1743" s="11"/>
      <c r="L1743" s="11"/>
      <c r="M1743" s="11"/>
      <c r="N1743" s="11"/>
      <c r="O1743" s="11"/>
      <c r="P1743" s="11"/>
      <c r="Q1743" s="11"/>
      <c r="R1743" s="11"/>
      <c r="S1743" s="11"/>
      <c r="T1743" s="11"/>
      <c r="U1743" s="11"/>
      <c r="V1743" s="11"/>
      <c r="W1743" s="11"/>
      <c r="X1743" s="11"/>
      <c r="Y1743" s="11"/>
      <c r="Z1743" s="11"/>
      <c r="AA1743" s="11"/>
      <c r="AB1743" s="11"/>
      <c r="AC1743" s="11"/>
    </row>
    <row r="1744" spans="1:29" x14ac:dyDescent="0.3">
      <c r="A1744" s="11"/>
      <c r="B1744" s="11"/>
      <c r="C1744" s="11"/>
      <c r="D1744" s="11"/>
      <c r="E1744" s="11"/>
      <c r="F1744" s="11"/>
      <c r="G1744" s="11"/>
      <c r="H1744" s="11"/>
      <c r="I1744" s="11"/>
      <c r="J1744" s="11"/>
      <c r="K1744" s="11"/>
      <c r="L1744" s="11"/>
      <c r="M1744" s="11"/>
      <c r="N1744" s="11"/>
      <c r="O1744" s="11"/>
      <c r="P1744" s="11"/>
      <c r="Q1744" s="11"/>
      <c r="R1744" s="11"/>
      <c r="S1744" s="11"/>
      <c r="T1744" s="11"/>
      <c r="U1744" s="11"/>
      <c r="V1744" s="11"/>
      <c r="W1744" s="11"/>
      <c r="X1744" s="11"/>
      <c r="Y1744" s="11"/>
      <c r="Z1744" s="11"/>
      <c r="AA1744" s="11"/>
      <c r="AB1744" s="11"/>
      <c r="AC1744" s="11"/>
    </row>
    <row r="1745" spans="1:29" x14ac:dyDescent="0.3">
      <c r="A1745" s="11"/>
      <c r="B1745" s="11"/>
      <c r="C1745" s="11"/>
      <c r="D1745" s="11"/>
      <c r="E1745" s="11"/>
      <c r="F1745" s="11"/>
      <c r="G1745" s="11"/>
      <c r="H1745" s="11"/>
      <c r="I1745" s="11"/>
      <c r="J1745" s="11"/>
      <c r="K1745" s="11"/>
      <c r="L1745" s="11"/>
      <c r="M1745" s="11"/>
      <c r="N1745" s="11"/>
      <c r="O1745" s="11"/>
      <c r="P1745" s="11"/>
      <c r="Q1745" s="11"/>
      <c r="R1745" s="11"/>
      <c r="S1745" s="11"/>
      <c r="T1745" s="11"/>
      <c r="U1745" s="11"/>
      <c r="V1745" s="11"/>
      <c r="W1745" s="11"/>
      <c r="X1745" s="11"/>
      <c r="Y1745" s="11"/>
      <c r="Z1745" s="11"/>
      <c r="AA1745" s="11"/>
      <c r="AB1745" s="11"/>
      <c r="AC1745" s="11"/>
    </row>
    <row r="1746" spans="1:29" x14ac:dyDescent="0.3">
      <c r="A1746" s="11"/>
      <c r="B1746" s="11"/>
      <c r="C1746" s="11"/>
      <c r="D1746" s="11"/>
      <c r="E1746" s="11"/>
      <c r="F1746" s="11"/>
      <c r="G1746" s="11"/>
      <c r="H1746" s="11"/>
      <c r="I1746" s="11"/>
      <c r="J1746" s="11"/>
      <c r="K1746" s="11"/>
      <c r="L1746" s="11"/>
      <c r="M1746" s="11"/>
      <c r="N1746" s="11"/>
      <c r="O1746" s="11"/>
      <c r="P1746" s="11"/>
      <c r="Q1746" s="11"/>
      <c r="R1746" s="11"/>
      <c r="S1746" s="11"/>
      <c r="T1746" s="11"/>
      <c r="U1746" s="11"/>
      <c r="V1746" s="11"/>
      <c r="W1746" s="11"/>
      <c r="X1746" s="11"/>
      <c r="Y1746" s="11"/>
      <c r="Z1746" s="11"/>
      <c r="AA1746" s="11"/>
      <c r="AB1746" s="11"/>
      <c r="AC1746" s="11"/>
    </row>
    <row r="1747" spans="1:29" x14ac:dyDescent="0.3">
      <c r="A1747" s="11"/>
      <c r="B1747" s="11"/>
      <c r="C1747" s="11"/>
      <c r="D1747" s="11"/>
      <c r="E1747" s="11"/>
      <c r="F1747" s="11"/>
      <c r="G1747" s="11"/>
      <c r="H1747" s="11"/>
      <c r="I1747" s="11"/>
      <c r="J1747" s="11"/>
      <c r="K1747" s="11"/>
      <c r="L1747" s="11"/>
      <c r="M1747" s="11"/>
      <c r="N1747" s="11"/>
      <c r="O1747" s="11"/>
      <c r="P1747" s="11"/>
      <c r="Q1747" s="11"/>
      <c r="R1747" s="11"/>
      <c r="S1747" s="11"/>
      <c r="T1747" s="11"/>
      <c r="U1747" s="11"/>
      <c r="V1747" s="11"/>
      <c r="W1747" s="11"/>
      <c r="X1747" s="11"/>
      <c r="Y1747" s="11"/>
      <c r="Z1747" s="11"/>
      <c r="AA1747" s="11"/>
      <c r="AB1747" s="11"/>
      <c r="AC1747" s="11"/>
    </row>
    <row r="1748" spans="1:29" x14ac:dyDescent="0.3">
      <c r="A1748" s="11"/>
      <c r="B1748" s="11"/>
      <c r="C1748" s="11"/>
      <c r="D1748" s="11"/>
      <c r="E1748" s="11"/>
      <c r="F1748" s="11"/>
      <c r="G1748" s="11"/>
      <c r="H1748" s="11"/>
      <c r="I1748" s="11"/>
      <c r="J1748" s="11"/>
      <c r="K1748" s="11"/>
      <c r="L1748" s="11"/>
      <c r="M1748" s="11"/>
      <c r="N1748" s="11"/>
      <c r="O1748" s="11"/>
      <c r="P1748" s="11"/>
      <c r="Q1748" s="11"/>
      <c r="R1748" s="11"/>
      <c r="S1748" s="11"/>
      <c r="T1748" s="11"/>
      <c r="U1748" s="11"/>
      <c r="V1748" s="11"/>
      <c r="W1748" s="11"/>
      <c r="X1748" s="11"/>
      <c r="Y1748" s="11"/>
      <c r="Z1748" s="11"/>
      <c r="AA1748" s="11"/>
      <c r="AB1748" s="11"/>
      <c r="AC1748" s="11"/>
    </row>
    <row r="1749" spans="1:29" x14ac:dyDescent="0.3">
      <c r="A1749" s="11"/>
      <c r="B1749" s="11"/>
      <c r="C1749" s="11"/>
      <c r="D1749" s="11"/>
      <c r="E1749" s="11"/>
      <c r="F1749" s="11"/>
      <c r="G1749" s="11"/>
      <c r="H1749" s="11"/>
      <c r="I1749" s="11"/>
      <c r="J1749" s="11"/>
      <c r="K1749" s="11"/>
      <c r="L1749" s="11"/>
      <c r="M1749" s="11"/>
      <c r="N1749" s="11"/>
      <c r="O1749" s="11"/>
      <c r="P1749" s="11"/>
      <c r="Q1749" s="11"/>
      <c r="R1749" s="11"/>
      <c r="S1749" s="11"/>
      <c r="T1749" s="11"/>
      <c r="U1749" s="11"/>
      <c r="V1749" s="11"/>
      <c r="W1749" s="11"/>
      <c r="X1749" s="11"/>
      <c r="Y1749" s="11"/>
      <c r="Z1749" s="11"/>
      <c r="AA1749" s="11"/>
      <c r="AB1749" s="11"/>
      <c r="AC1749" s="11"/>
    </row>
    <row r="1750" spans="1:29" x14ac:dyDescent="0.3">
      <c r="A1750" s="11"/>
      <c r="B1750" s="11"/>
      <c r="C1750" s="11"/>
      <c r="D1750" s="11"/>
      <c r="E1750" s="11"/>
      <c r="F1750" s="11"/>
      <c r="G1750" s="11"/>
      <c r="H1750" s="11"/>
      <c r="I1750" s="11"/>
      <c r="J1750" s="11"/>
      <c r="K1750" s="11"/>
      <c r="L1750" s="11"/>
      <c r="M1750" s="11"/>
      <c r="N1750" s="11"/>
      <c r="O1750" s="11"/>
      <c r="P1750" s="11"/>
      <c r="Q1750" s="11"/>
      <c r="R1750" s="11"/>
      <c r="S1750" s="11"/>
      <c r="T1750" s="11"/>
      <c r="U1750" s="11"/>
      <c r="V1750" s="11"/>
      <c r="W1750" s="11"/>
      <c r="X1750" s="11"/>
      <c r="Y1750" s="11"/>
      <c r="Z1750" s="11"/>
      <c r="AA1750" s="11"/>
      <c r="AB1750" s="11"/>
      <c r="AC1750" s="11"/>
    </row>
    <row r="1751" spans="1:29" x14ac:dyDescent="0.3">
      <c r="A1751" s="11"/>
      <c r="B1751" s="11"/>
      <c r="C1751" s="11"/>
      <c r="D1751" s="11"/>
      <c r="E1751" s="11"/>
      <c r="F1751" s="11"/>
      <c r="G1751" s="11"/>
      <c r="H1751" s="11"/>
      <c r="I1751" s="11"/>
      <c r="J1751" s="11"/>
      <c r="K1751" s="11"/>
      <c r="L1751" s="11"/>
      <c r="M1751" s="11"/>
      <c r="N1751" s="11"/>
      <c r="O1751" s="11"/>
      <c r="P1751" s="11"/>
      <c r="Q1751" s="11"/>
      <c r="R1751" s="11"/>
      <c r="S1751" s="11"/>
      <c r="T1751" s="11"/>
      <c r="U1751" s="11"/>
      <c r="V1751" s="11"/>
      <c r="W1751" s="11"/>
      <c r="X1751" s="11"/>
      <c r="Y1751" s="11"/>
      <c r="Z1751" s="11"/>
      <c r="AA1751" s="11"/>
      <c r="AB1751" s="11"/>
      <c r="AC1751" s="11"/>
    </row>
    <row r="1752" spans="1:29" x14ac:dyDescent="0.3">
      <c r="A1752" s="11"/>
      <c r="B1752" s="11"/>
      <c r="C1752" s="11"/>
      <c r="D1752" s="11"/>
      <c r="E1752" s="11"/>
      <c r="F1752" s="11"/>
      <c r="G1752" s="11"/>
      <c r="H1752" s="11"/>
      <c r="I1752" s="11"/>
      <c r="J1752" s="11"/>
      <c r="K1752" s="11"/>
      <c r="L1752" s="11"/>
      <c r="M1752" s="11"/>
      <c r="N1752" s="11"/>
      <c r="O1752" s="11"/>
      <c r="P1752" s="11"/>
      <c r="Q1752" s="11"/>
      <c r="R1752" s="11"/>
      <c r="S1752" s="11"/>
      <c r="T1752" s="11"/>
      <c r="U1752" s="11"/>
      <c r="V1752" s="11"/>
      <c r="W1752" s="11"/>
      <c r="X1752" s="11"/>
      <c r="Y1752" s="11"/>
      <c r="Z1752" s="11"/>
      <c r="AA1752" s="11"/>
      <c r="AB1752" s="11"/>
      <c r="AC1752" s="11"/>
    </row>
    <row r="1753" spans="1:29" x14ac:dyDescent="0.3">
      <c r="A1753" s="11"/>
      <c r="B1753" s="11"/>
      <c r="C1753" s="11"/>
      <c r="D1753" s="11"/>
      <c r="E1753" s="11"/>
      <c r="F1753" s="11"/>
      <c r="G1753" s="11"/>
      <c r="H1753" s="11"/>
      <c r="I1753" s="11"/>
      <c r="J1753" s="11"/>
      <c r="K1753" s="11"/>
      <c r="L1753" s="11"/>
      <c r="M1753" s="11"/>
      <c r="N1753" s="11"/>
      <c r="O1753" s="11"/>
      <c r="P1753" s="11"/>
      <c r="Q1753" s="11"/>
      <c r="R1753" s="11"/>
      <c r="S1753" s="11"/>
      <c r="T1753" s="11"/>
      <c r="U1753" s="11"/>
      <c r="V1753" s="11"/>
      <c r="W1753" s="11"/>
      <c r="X1753" s="11"/>
      <c r="Y1753" s="11"/>
      <c r="Z1753" s="11"/>
      <c r="AA1753" s="11"/>
      <c r="AB1753" s="11"/>
      <c r="AC1753" s="11"/>
    </row>
    <row r="1754" spans="1:29" x14ac:dyDescent="0.3">
      <c r="A1754" s="11"/>
      <c r="B1754" s="11"/>
      <c r="C1754" s="11"/>
      <c r="D1754" s="11"/>
      <c r="E1754" s="11"/>
      <c r="F1754" s="11"/>
      <c r="G1754" s="11"/>
      <c r="H1754" s="11"/>
      <c r="I1754" s="11"/>
      <c r="J1754" s="11"/>
      <c r="K1754" s="11"/>
      <c r="L1754" s="11"/>
      <c r="M1754" s="11"/>
      <c r="N1754" s="11"/>
      <c r="O1754" s="11"/>
      <c r="P1754" s="11"/>
      <c r="Q1754" s="11"/>
      <c r="R1754" s="11"/>
      <c r="S1754" s="11"/>
      <c r="T1754" s="11"/>
      <c r="U1754" s="11"/>
      <c r="V1754" s="11"/>
      <c r="W1754" s="11"/>
      <c r="X1754" s="11"/>
      <c r="Y1754" s="11"/>
      <c r="Z1754" s="11"/>
      <c r="AA1754" s="11"/>
      <c r="AB1754" s="11"/>
      <c r="AC1754" s="11"/>
    </row>
    <row r="1755" spans="1:29" x14ac:dyDescent="0.3">
      <c r="A1755" s="11"/>
      <c r="B1755" s="11"/>
      <c r="C1755" s="11"/>
      <c r="D1755" s="11"/>
      <c r="E1755" s="11"/>
      <c r="F1755" s="11"/>
      <c r="G1755" s="11"/>
      <c r="H1755" s="11"/>
      <c r="I1755" s="11"/>
      <c r="J1755" s="11"/>
      <c r="K1755" s="11"/>
      <c r="L1755" s="11"/>
      <c r="M1755" s="11"/>
      <c r="N1755" s="11"/>
      <c r="O1755" s="11"/>
      <c r="P1755" s="11"/>
      <c r="Q1755" s="11"/>
      <c r="R1755" s="11"/>
      <c r="S1755" s="11"/>
      <c r="T1755" s="11"/>
      <c r="U1755" s="11"/>
      <c r="V1755" s="11"/>
      <c r="W1755" s="11"/>
      <c r="X1755" s="11"/>
      <c r="Y1755" s="11"/>
      <c r="Z1755" s="11"/>
      <c r="AA1755" s="11"/>
      <c r="AB1755" s="11"/>
      <c r="AC1755" s="11"/>
    </row>
    <row r="1756" spans="1:29" x14ac:dyDescent="0.3">
      <c r="A1756" s="11"/>
      <c r="B1756" s="11"/>
      <c r="C1756" s="11"/>
      <c r="D1756" s="11"/>
      <c r="E1756" s="11"/>
      <c r="F1756" s="11"/>
      <c r="G1756" s="11"/>
      <c r="H1756" s="11"/>
      <c r="I1756" s="11"/>
      <c r="J1756" s="11"/>
      <c r="K1756" s="11"/>
      <c r="L1756" s="11"/>
      <c r="M1756" s="11"/>
      <c r="N1756" s="11"/>
      <c r="O1756" s="11"/>
      <c r="P1756" s="11"/>
      <c r="Q1756" s="11"/>
      <c r="R1756" s="11"/>
      <c r="S1756" s="11"/>
      <c r="T1756" s="11"/>
      <c r="U1756" s="11"/>
      <c r="V1756" s="11"/>
      <c r="W1756" s="11"/>
      <c r="X1756" s="11"/>
      <c r="Y1756" s="11"/>
      <c r="Z1756" s="11"/>
      <c r="AA1756" s="11"/>
      <c r="AB1756" s="11"/>
      <c r="AC1756" s="11"/>
    </row>
    <row r="1757" spans="1:29" x14ac:dyDescent="0.3">
      <c r="A1757" s="11"/>
      <c r="B1757" s="11"/>
      <c r="C1757" s="11"/>
      <c r="D1757" s="11"/>
      <c r="E1757" s="11"/>
      <c r="F1757" s="11"/>
      <c r="G1757" s="11"/>
      <c r="H1757" s="11"/>
      <c r="I1757" s="11"/>
      <c r="J1757" s="11"/>
      <c r="K1757" s="11"/>
      <c r="L1757" s="11"/>
      <c r="M1757" s="11"/>
      <c r="N1757" s="11"/>
      <c r="O1757" s="11"/>
      <c r="P1757" s="11"/>
      <c r="Q1757" s="11"/>
      <c r="R1757" s="11"/>
      <c r="S1757" s="11"/>
      <c r="T1757" s="11"/>
      <c r="U1757" s="11"/>
      <c r="V1757" s="11"/>
      <c r="W1757" s="11"/>
      <c r="X1757" s="11"/>
      <c r="Y1757" s="11"/>
      <c r="Z1757" s="11"/>
      <c r="AA1757" s="11"/>
      <c r="AB1757" s="11"/>
      <c r="AC1757" s="11"/>
    </row>
    <row r="1758" spans="1:29" x14ac:dyDescent="0.3">
      <c r="A1758" s="11"/>
      <c r="B1758" s="11"/>
      <c r="C1758" s="11"/>
      <c r="D1758" s="11"/>
      <c r="E1758" s="11"/>
      <c r="F1758" s="11"/>
      <c r="G1758" s="11"/>
      <c r="H1758" s="11"/>
      <c r="I1758" s="11"/>
      <c r="J1758" s="11"/>
      <c r="K1758" s="11"/>
      <c r="L1758" s="11"/>
      <c r="M1758" s="11"/>
      <c r="N1758" s="11"/>
      <c r="O1758" s="11"/>
      <c r="P1758" s="11"/>
      <c r="Q1758" s="11"/>
      <c r="R1758" s="11"/>
      <c r="S1758" s="11"/>
      <c r="T1758" s="11"/>
      <c r="U1758" s="11"/>
      <c r="V1758" s="11"/>
      <c r="W1758" s="11"/>
      <c r="X1758" s="11"/>
      <c r="Y1758" s="11"/>
      <c r="Z1758" s="11"/>
      <c r="AA1758" s="11"/>
      <c r="AB1758" s="11"/>
      <c r="AC1758" s="11"/>
    </row>
    <row r="1759" spans="1:29" x14ac:dyDescent="0.3">
      <c r="A1759" s="11"/>
      <c r="B1759" s="11"/>
      <c r="C1759" s="11"/>
      <c r="D1759" s="11"/>
      <c r="E1759" s="11"/>
      <c r="F1759" s="11"/>
      <c r="G1759" s="11"/>
      <c r="H1759" s="11"/>
      <c r="I1759" s="11"/>
      <c r="J1759" s="11"/>
      <c r="K1759" s="11"/>
      <c r="L1759" s="11"/>
      <c r="M1759" s="11"/>
      <c r="N1759" s="11"/>
      <c r="O1759" s="11"/>
      <c r="P1759" s="11"/>
      <c r="Q1759" s="11"/>
      <c r="R1759" s="11"/>
      <c r="S1759" s="11"/>
      <c r="T1759" s="11"/>
      <c r="U1759" s="11"/>
      <c r="V1759" s="11"/>
      <c r="W1759" s="11"/>
      <c r="X1759" s="11"/>
      <c r="Y1759" s="11"/>
      <c r="Z1759" s="11"/>
      <c r="AA1759" s="11"/>
      <c r="AB1759" s="11"/>
      <c r="AC1759" s="11"/>
    </row>
    <row r="1760" spans="1:29" x14ac:dyDescent="0.3">
      <c r="A1760" s="11"/>
      <c r="B1760" s="11"/>
      <c r="C1760" s="11"/>
      <c r="D1760" s="11"/>
      <c r="E1760" s="11"/>
      <c r="F1760" s="11"/>
      <c r="G1760" s="11"/>
      <c r="H1760" s="11"/>
      <c r="I1760" s="11"/>
      <c r="J1760" s="11"/>
      <c r="K1760" s="11"/>
      <c r="L1760" s="11"/>
      <c r="M1760" s="11"/>
      <c r="N1760" s="11"/>
      <c r="O1760" s="11"/>
      <c r="P1760" s="11"/>
      <c r="Q1760" s="11"/>
      <c r="R1760" s="11"/>
      <c r="S1760" s="11"/>
      <c r="T1760" s="11"/>
      <c r="U1760" s="11"/>
      <c r="V1760" s="11"/>
      <c r="W1760" s="11"/>
      <c r="X1760" s="11"/>
      <c r="Y1760" s="11"/>
      <c r="Z1760" s="11"/>
      <c r="AA1760" s="11"/>
      <c r="AB1760" s="11"/>
      <c r="AC1760" s="11"/>
    </row>
    <row r="1761" spans="1:29" x14ac:dyDescent="0.3">
      <c r="A1761" s="11"/>
      <c r="B1761" s="11"/>
      <c r="C1761" s="11"/>
      <c r="D1761" s="11"/>
      <c r="E1761" s="11"/>
      <c r="F1761" s="11"/>
      <c r="G1761" s="11"/>
      <c r="H1761" s="11"/>
      <c r="I1761" s="11"/>
      <c r="J1761" s="11"/>
      <c r="K1761" s="11"/>
      <c r="L1761" s="11"/>
      <c r="M1761" s="11"/>
      <c r="N1761" s="11"/>
      <c r="O1761" s="11"/>
      <c r="P1761" s="11"/>
      <c r="Q1761" s="11"/>
      <c r="R1761" s="11"/>
      <c r="S1761" s="11"/>
      <c r="T1761" s="11"/>
      <c r="U1761" s="11"/>
      <c r="V1761" s="11"/>
      <c r="W1761" s="11"/>
      <c r="X1761" s="11"/>
      <c r="Y1761" s="11"/>
      <c r="Z1761" s="11"/>
      <c r="AA1761" s="11"/>
      <c r="AB1761" s="11"/>
      <c r="AC1761" s="11"/>
    </row>
    <row r="1762" spans="1:29" x14ac:dyDescent="0.3">
      <c r="A1762" s="11"/>
      <c r="B1762" s="11"/>
      <c r="C1762" s="11"/>
      <c r="D1762" s="11"/>
      <c r="E1762" s="11"/>
      <c r="F1762" s="11"/>
      <c r="G1762" s="11"/>
      <c r="H1762" s="11"/>
      <c r="I1762" s="11"/>
      <c r="J1762" s="11"/>
      <c r="K1762" s="11"/>
      <c r="L1762" s="11"/>
      <c r="M1762" s="11"/>
      <c r="N1762" s="11"/>
      <c r="O1762" s="11"/>
      <c r="P1762" s="11"/>
      <c r="Q1762" s="11"/>
      <c r="R1762" s="11"/>
      <c r="S1762" s="11"/>
      <c r="T1762" s="11"/>
      <c r="U1762" s="11"/>
      <c r="V1762" s="11"/>
      <c r="W1762" s="11"/>
      <c r="X1762" s="11"/>
      <c r="Y1762" s="11"/>
      <c r="Z1762" s="11"/>
      <c r="AA1762" s="11"/>
      <c r="AB1762" s="11"/>
      <c r="AC1762" s="11"/>
    </row>
    <row r="1763" spans="1:29" x14ac:dyDescent="0.3">
      <c r="A1763" s="11"/>
      <c r="B1763" s="11"/>
      <c r="C1763" s="11"/>
      <c r="D1763" s="11"/>
      <c r="E1763" s="11"/>
      <c r="F1763" s="11"/>
      <c r="G1763" s="11"/>
      <c r="H1763" s="11"/>
      <c r="I1763" s="11"/>
      <c r="J1763" s="11"/>
      <c r="K1763" s="11"/>
      <c r="L1763" s="11"/>
      <c r="M1763" s="11"/>
      <c r="N1763" s="11"/>
      <c r="O1763" s="11"/>
      <c r="P1763" s="11"/>
      <c r="Q1763" s="11"/>
      <c r="R1763" s="11"/>
      <c r="S1763" s="11"/>
      <c r="T1763" s="11"/>
      <c r="U1763" s="11"/>
      <c r="V1763" s="11"/>
      <c r="W1763" s="11"/>
      <c r="X1763" s="11"/>
      <c r="Y1763" s="11"/>
      <c r="Z1763" s="11"/>
      <c r="AA1763" s="11"/>
      <c r="AB1763" s="11"/>
      <c r="AC1763" s="11"/>
    </row>
    <row r="1764" spans="1:29" x14ac:dyDescent="0.3">
      <c r="A1764" s="11"/>
      <c r="B1764" s="11"/>
      <c r="C1764" s="11"/>
      <c r="D1764" s="11"/>
      <c r="E1764" s="11"/>
      <c r="F1764" s="11"/>
      <c r="G1764" s="11"/>
      <c r="H1764" s="11"/>
      <c r="I1764" s="11"/>
      <c r="J1764" s="11"/>
      <c r="K1764" s="11"/>
      <c r="L1764" s="11"/>
      <c r="M1764" s="11"/>
      <c r="N1764" s="11"/>
      <c r="O1764" s="11"/>
      <c r="P1764" s="11"/>
      <c r="Q1764" s="11"/>
      <c r="R1764" s="11"/>
      <c r="S1764" s="11"/>
      <c r="T1764" s="11"/>
      <c r="U1764" s="11"/>
      <c r="V1764" s="11"/>
      <c r="W1764" s="11"/>
      <c r="X1764" s="11"/>
      <c r="Y1764" s="11"/>
      <c r="Z1764" s="11"/>
      <c r="AA1764" s="11"/>
      <c r="AB1764" s="11"/>
      <c r="AC1764" s="11"/>
    </row>
    <row r="1765" spans="1:29" x14ac:dyDescent="0.3">
      <c r="A1765" s="11"/>
      <c r="B1765" s="11"/>
      <c r="C1765" s="11"/>
      <c r="D1765" s="11"/>
      <c r="E1765" s="11"/>
      <c r="F1765" s="11"/>
      <c r="G1765" s="11"/>
      <c r="H1765" s="11"/>
      <c r="I1765" s="11"/>
      <c r="J1765" s="11"/>
      <c r="K1765" s="11"/>
      <c r="L1765" s="11"/>
      <c r="M1765" s="11"/>
      <c r="N1765" s="11"/>
      <c r="O1765" s="11"/>
      <c r="P1765" s="11"/>
      <c r="Q1765" s="11"/>
      <c r="R1765" s="11"/>
      <c r="S1765" s="11"/>
      <c r="T1765" s="11"/>
      <c r="U1765" s="11"/>
      <c r="V1765" s="11"/>
      <c r="W1765" s="11"/>
      <c r="X1765" s="11"/>
      <c r="Y1765" s="11"/>
      <c r="Z1765" s="11"/>
      <c r="AA1765" s="11"/>
      <c r="AB1765" s="11"/>
      <c r="AC1765" s="11"/>
    </row>
    <row r="1766" spans="1:29" x14ac:dyDescent="0.3">
      <c r="A1766" s="11"/>
      <c r="B1766" s="11"/>
      <c r="C1766" s="11"/>
      <c r="D1766" s="11"/>
      <c r="E1766" s="11"/>
      <c r="F1766" s="11"/>
      <c r="G1766" s="11"/>
      <c r="H1766" s="11"/>
      <c r="I1766" s="11"/>
      <c r="J1766" s="11"/>
      <c r="K1766" s="11"/>
      <c r="L1766" s="11"/>
      <c r="M1766" s="11"/>
      <c r="N1766" s="11"/>
      <c r="O1766" s="11"/>
      <c r="P1766" s="11"/>
      <c r="Q1766" s="11"/>
      <c r="R1766" s="11"/>
      <c r="S1766" s="11"/>
      <c r="T1766" s="11"/>
      <c r="U1766" s="11"/>
      <c r="V1766" s="11"/>
      <c r="W1766" s="11"/>
      <c r="X1766" s="11"/>
      <c r="Y1766" s="11"/>
      <c r="Z1766" s="11"/>
      <c r="AA1766" s="11"/>
      <c r="AB1766" s="11"/>
      <c r="AC1766" s="11"/>
    </row>
    <row r="1767" spans="1:29" x14ac:dyDescent="0.3">
      <c r="A1767" s="11"/>
      <c r="B1767" s="11"/>
      <c r="C1767" s="11"/>
      <c r="D1767" s="11"/>
      <c r="E1767" s="11"/>
      <c r="F1767" s="11"/>
      <c r="G1767" s="11"/>
      <c r="H1767" s="11"/>
      <c r="I1767" s="11"/>
      <c r="J1767" s="11"/>
      <c r="K1767" s="11"/>
      <c r="L1767" s="11"/>
      <c r="M1767" s="11"/>
      <c r="N1767" s="11"/>
      <c r="O1767" s="11"/>
      <c r="P1767" s="11"/>
      <c r="Q1767" s="11"/>
      <c r="R1767" s="11"/>
      <c r="S1767" s="11"/>
      <c r="T1767" s="11"/>
      <c r="U1767" s="11"/>
      <c r="V1767" s="11"/>
      <c r="W1767" s="11"/>
      <c r="X1767" s="11"/>
      <c r="Y1767" s="11"/>
      <c r="Z1767" s="11"/>
      <c r="AA1767" s="11"/>
      <c r="AB1767" s="11"/>
      <c r="AC1767" s="11"/>
    </row>
    <row r="1768" spans="1:29" x14ac:dyDescent="0.3">
      <c r="A1768" s="11"/>
      <c r="B1768" s="11"/>
      <c r="C1768" s="11"/>
      <c r="D1768" s="11"/>
      <c r="E1768" s="11"/>
      <c r="F1768" s="11"/>
      <c r="G1768" s="11"/>
      <c r="H1768" s="11"/>
      <c r="I1768" s="11"/>
      <c r="J1768" s="11"/>
      <c r="K1768" s="11"/>
      <c r="L1768" s="11"/>
      <c r="M1768" s="11"/>
      <c r="N1768" s="11"/>
      <c r="O1768" s="11"/>
      <c r="P1768" s="11"/>
      <c r="Q1768" s="11"/>
      <c r="R1768" s="11"/>
      <c r="S1768" s="11"/>
      <c r="T1768" s="11"/>
      <c r="U1768" s="11"/>
      <c r="V1768" s="11"/>
      <c r="W1768" s="11"/>
      <c r="X1768" s="11"/>
      <c r="Y1768" s="11"/>
      <c r="Z1768" s="11"/>
      <c r="AA1768" s="11"/>
      <c r="AB1768" s="11"/>
      <c r="AC1768" s="11"/>
    </row>
    <row r="1769" spans="1:29" x14ac:dyDescent="0.3">
      <c r="A1769" s="11"/>
      <c r="B1769" s="11"/>
      <c r="C1769" s="11"/>
      <c r="D1769" s="11"/>
      <c r="E1769" s="11"/>
      <c r="F1769" s="11"/>
      <c r="G1769" s="11"/>
      <c r="H1769" s="11"/>
      <c r="I1769" s="11"/>
      <c r="J1769" s="11"/>
      <c r="K1769" s="11"/>
      <c r="L1769" s="11"/>
      <c r="M1769" s="11"/>
      <c r="N1769" s="11"/>
      <c r="O1769" s="11"/>
      <c r="P1769" s="11"/>
      <c r="Q1769" s="11"/>
      <c r="R1769" s="11"/>
      <c r="S1769" s="11"/>
      <c r="T1769" s="11"/>
      <c r="U1769" s="11"/>
      <c r="V1769" s="11"/>
      <c r="W1769" s="11"/>
      <c r="X1769" s="11"/>
      <c r="Y1769" s="11"/>
      <c r="Z1769" s="11"/>
      <c r="AA1769" s="11"/>
      <c r="AB1769" s="11"/>
      <c r="AC1769" s="11"/>
    </row>
    <row r="1770" spans="1:29" x14ac:dyDescent="0.3">
      <c r="A1770" s="11"/>
      <c r="B1770" s="11"/>
      <c r="C1770" s="11"/>
      <c r="D1770" s="11"/>
      <c r="E1770" s="11"/>
      <c r="F1770" s="11"/>
      <c r="G1770" s="11"/>
      <c r="H1770" s="11"/>
      <c r="I1770" s="11"/>
      <c r="J1770" s="11"/>
      <c r="K1770" s="11"/>
      <c r="L1770" s="11"/>
      <c r="M1770" s="11"/>
      <c r="N1770" s="11"/>
      <c r="O1770" s="11"/>
      <c r="P1770" s="11"/>
      <c r="Q1770" s="11"/>
      <c r="R1770" s="11"/>
      <c r="S1770" s="11"/>
      <c r="T1770" s="11"/>
      <c r="U1770" s="11"/>
      <c r="V1770" s="11"/>
      <c r="W1770" s="11"/>
      <c r="X1770" s="11"/>
      <c r="Y1770" s="11"/>
      <c r="Z1770" s="11"/>
      <c r="AA1770" s="11"/>
      <c r="AB1770" s="11"/>
      <c r="AC1770" s="11"/>
    </row>
    <row r="1771" spans="1:29" x14ac:dyDescent="0.3">
      <c r="A1771" s="11"/>
      <c r="B1771" s="11"/>
      <c r="C1771" s="11"/>
      <c r="D1771" s="11"/>
      <c r="E1771" s="11"/>
      <c r="F1771" s="11"/>
      <c r="G1771" s="11"/>
      <c r="H1771" s="11"/>
      <c r="I1771" s="11"/>
      <c r="J1771" s="11"/>
      <c r="K1771" s="11"/>
      <c r="L1771" s="11"/>
      <c r="M1771" s="11"/>
      <c r="N1771" s="11"/>
      <c r="O1771" s="11"/>
      <c r="P1771" s="11"/>
      <c r="Q1771" s="11"/>
      <c r="R1771" s="11"/>
      <c r="S1771" s="11"/>
      <c r="T1771" s="11"/>
      <c r="U1771" s="11"/>
      <c r="V1771" s="11"/>
      <c r="W1771" s="11"/>
      <c r="X1771" s="11"/>
      <c r="Y1771" s="11"/>
      <c r="Z1771" s="11"/>
      <c r="AA1771" s="11"/>
      <c r="AB1771" s="11"/>
      <c r="AC1771" s="11"/>
    </row>
    <row r="1772" spans="1:29" x14ac:dyDescent="0.3">
      <c r="A1772" s="11"/>
      <c r="B1772" s="11"/>
      <c r="C1772" s="11"/>
      <c r="D1772" s="11"/>
      <c r="E1772" s="11"/>
      <c r="F1772" s="11"/>
      <c r="G1772" s="11"/>
      <c r="H1772" s="11"/>
      <c r="I1772" s="11"/>
      <c r="J1772" s="11"/>
      <c r="K1772" s="11"/>
      <c r="L1772" s="11"/>
      <c r="M1772" s="11"/>
      <c r="N1772" s="11"/>
      <c r="O1772" s="11"/>
      <c r="P1772" s="11"/>
      <c r="Q1772" s="11"/>
      <c r="R1772" s="11"/>
      <c r="S1772" s="11"/>
      <c r="T1772" s="11"/>
      <c r="U1772" s="11"/>
      <c r="V1772" s="11"/>
      <c r="W1772" s="11"/>
      <c r="X1772" s="11"/>
      <c r="Y1772" s="11"/>
      <c r="Z1772" s="11"/>
      <c r="AA1772" s="11"/>
      <c r="AB1772" s="11"/>
      <c r="AC1772" s="11"/>
    </row>
    <row r="1773" spans="1:29" x14ac:dyDescent="0.3">
      <c r="A1773" s="11"/>
      <c r="B1773" s="11"/>
      <c r="C1773" s="11"/>
      <c r="D1773" s="11"/>
      <c r="E1773" s="11"/>
      <c r="F1773" s="11"/>
      <c r="G1773" s="11"/>
      <c r="H1773" s="11"/>
      <c r="I1773" s="11"/>
      <c r="J1773" s="11"/>
      <c r="K1773" s="11"/>
      <c r="L1773" s="11"/>
      <c r="M1773" s="11"/>
      <c r="N1773" s="11"/>
      <c r="O1773" s="11"/>
      <c r="P1773" s="11"/>
      <c r="Q1773" s="11"/>
      <c r="R1773" s="11"/>
      <c r="S1773" s="11"/>
      <c r="T1773" s="11"/>
      <c r="U1773" s="11"/>
      <c r="V1773" s="11"/>
      <c r="W1773" s="11"/>
      <c r="X1773" s="11"/>
      <c r="Y1773" s="11"/>
      <c r="Z1773" s="11"/>
      <c r="AA1773" s="11"/>
      <c r="AB1773" s="11"/>
      <c r="AC1773" s="11"/>
    </row>
    <row r="1774" spans="1:29" x14ac:dyDescent="0.3">
      <c r="A1774" s="11"/>
      <c r="B1774" s="11"/>
      <c r="C1774" s="11"/>
      <c r="D1774" s="11"/>
      <c r="E1774" s="11"/>
      <c r="F1774" s="11"/>
      <c r="G1774" s="11"/>
      <c r="H1774" s="11"/>
      <c r="I1774" s="11"/>
      <c r="J1774" s="11"/>
      <c r="K1774" s="11"/>
      <c r="L1774" s="11"/>
      <c r="M1774" s="11"/>
      <c r="N1774" s="11"/>
      <c r="O1774" s="11"/>
      <c r="P1774" s="11"/>
      <c r="Q1774" s="11"/>
      <c r="R1774" s="11"/>
      <c r="S1774" s="11"/>
      <c r="T1774" s="11"/>
      <c r="U1774" s="11"/>
      <c r="V1774" s="11"/>
      <c r="W1774" s="11"/>
      <c r="X1774" s="11"/>
      <c r="Y1774" s="11"/>
      <c r="Z1774" s="11"/>
      <c r="AA1774" s="11"/>
      <c r="AB1774" s="11"/>
      <c r="AC1774" s="11"/>
    </row>
    <row r="1775" spans="1:29" x14ac:dyDescent="0.3">
      <c r="A1775" s="11"/>
      <c r="B1775" s="11"/>
      <c r="C1775" s="11"/>
      <c r="D1775" s="11"/>
      <c r="E1775" s="11"/>
      <c r="F1775" s="11"/>
      <c r="G1775" s="11"/>
      <c r="H1775" s="11"/>
      <c r="I1775" s="11"/>
      <c r="J1775" s="11"/>
      <c r="K1775" s="11"/>
      <c r="L1775" s="11"/>
      <c r="M1775" s="11"/>
      <c r="N1775" s="11"/>
      <c r="O1775" s="11"/>
      <c r="P1775" s="11"/>
      <c r="Q1775" s="11"/>
      <c r="R1775" s="11"/>
      <c r="S1775" s="11"/>
      <c r="T1775" s="11"/>
      <c r="U1775" s="11"/>
      <c r="V1775" s="11"/>
      <c r="W1775" s="11"/>
      <c r="X1775" s="11"/>
      <c r="Y1775" s="11"/>
      <c r="Z1775" s="11"/>
      <c r="AA1775" s="11"/>
      <c r="AB1775" s="11"/>
      <c r="AC1775" s="11"/>
    </row>
    <row r="1776" spans="1:29" x14ac:dyDescent="0.3">
      <c r="A1776" s="11"/>
      <c r="B1776" s="11"/>
      <c r="C1776" s="11"/>
      <c r="D1776" s="11"/>
      <c r="E1776" s="11"/>
      <c r="F1776" s="11"/>
      <c r="G1776" s="11"/>
      <c r="H1776" s="11"/>
      <c r="I1776" s="11"/>
      <c r="J1776" s="11"/>
      <c r="K1776" s="11"/>
      <c r="L1776" s="11"/>
      <c r="M1776" s="11"/>
      <c r="N1776" s="11"/>
      <c r="O1776" s="11"/>
      <c r="P1776" s="11"/>
      <c r="Q1776" s="11"/>
      <c r="R1776" s="11"/>
      <c r="S1776" s="11"/>
      <c r="T1776" s="11"/>
      <c r="U1776" s="11"/>
      <c r="V1776" s="11"/>
      <c r="W1776" s="11"/>
      <c r="X1776" s="11"/>
      <c r="Y1776" s="11"/>
      <c r="Z1776" s="11"/>
      <c r="AA1776" s="11"/>
      <c r="AB1776" s="11"/>
      <c r="AC1776" s="11"/>
    </row>
    <row r="1777" spans="1:29" x14ac:dyDescent="0.3">
      <c r="A1777" s="11"/>
      <c r="B1777" s="11"/>
      <c r="C1777" s="11"/>
      <c r="D1777" s="11"/>
      <c r="E1777" s="11"/>
      <c r="F1777" s="11"/>
      <c r="G1777" s="11"/>
      <c r="H1777" s="11"/>
      <c r="I1777" s="11"/>
      <c r="J1777" s="11"/>
      <c r="K1777" s="11"/>
      <c r="L1777" s="11"/>
      <c r="M1777" s="11"/>
      <c r="N1777" s="11"/>
      <c r="O1777" s="11"/>
      <c r="P1777" s="11"/>
      <c r="Q1777" s="11"/>
      <c r="R1777" s="11"/>
      <c r="S1777" s="11"/>
      <c r="T1777" s="11"/>
      <c r="U1777" s="11"/>
      <c r="V1777" s="11"/>
      <c r="W1777" s="11"/>
      <c r="X1777" s="11"/>
      <c r="Y1777" s="11"/>
      <c r="Z1777" s="11"/>
      <c r="AA1777" s="11"/>
      <c r="AB1777" s="11"/>
      <c r="AC1777" s="11"/>
    </row>
    <row r="1778" spans="1:29" x14ac:dyDescent="0.3">
      <c r="A1778" s="11"/>
      <c r="B1778" s="11"/>
      <c r="C1778" s="11"/>
      <c r="D1778" s="11"/>
      <c r="E1778" s="11"/>
      <c r="F1778" s="11"/>
      <c r="G1778" s="11"/>
      <c r="H1778" s="11"/>
      <c r="I1778" s="11"/>
      <c r="J1778" s="11"/>
      <c r="K1778" s="11"/>
      <c r="L1778" s="11"/>
      <c r="M1778" s="11"/>
      <c r="N1778" s="11"/>
      <c r="O1778" s="11"/>
      <c r="P1778" s="11"/>
      <c r="Q1778" s="11"/>
      <c r="R1778" s="11"/>
      <c r="S1778" s="11"/>
      <c r="T1778" s="11"/>
      <c r="U1778" s="11"/>
      <c r="V1778" s="11"/>
      <c r="W1778" s="11"/>
      <c r="X1778" s="11"/>
      <c r="Y1778" s="11"/>
      <c r="Z1778" s="11"/>
      <c r="AA1778" s="11"/>
      <c r="AB1778" s="11"/>
      <c r="AC1778" s="11"/>
    </row>
    <row r="1779" spans="1:29" x14ac:dyDescent="0.3">
      <c r="A1779" s="11"/>
      <c r="B1779" s="11"/>
      <c r="C1779" s="11"/>
      <c r="D1779" s="11"/>
      <c r="E1779" s="11"/>
      <c r="F1779" s="11"/>
      <c r="G1779" s="11"/>
      <c r="H1779" s="11"/>
      <c r="I1779" s="11"/>
      <c r="J1779" s="11"/>
      <c r="K1779" s="11"/>
      <c r="L1779" s="11"/>
      <c r="M1779" s="11"/>
      <c r="N1779" s="11"/>
      <c r="O1779" s="11"/>
      <c r="P1779" s="11"/>
      <c r="Q1779" s="11"/>
      <c r="R1779" s="11"/>
      <c r="S1779" s="11"/>
      <c r="T1779" s="11"/>
      <c r="U1779" s="11"/>
      <c r="V1779" s="11"/>
      <c r="W1779" s="11"/>
      <c r="X1779" s="11"/>
      <c r="Y1779" s="11"/>
      <c r="Z1779" s="11"/>
      <c r="AA1779" s="11"/>
      <c r="AB1779" s="11"/>
      <c r="AC1779" s="11"/>
    </row>
    <row r="1780" spans="1:29" x14ac:dyDescent="0.3">
      <c r="A1780" s="11"/>
      <c r="B1780" s="11"/>
      <c r="C1780" s="11"/>
      <c r="D1780" s="11"/>
      <c r="E1780" s="11"/>
      <c r="F1780" s="11"/>
      <c r="G1780" s="11"/>
      <c r="H1780" s="11"/>
      <c r="I1780" s="11"/>
      <c r="J1780" s="11"/>
      <c r="K1780" s="11"/>
      <c r="L1780" s="11"/>
      <c r="M1780" s="11"/>
      <c r="N1780" s="11"/>
      <c r="O1780" s="11"/>
      <c r="P1780" s="11"/>
      <c r="Q1780" s="11"/>
      <c r="R1780" s="11"/>
      <c r="S1780" s="11"/>
      <c r="T1780" s="11"/>
      <c r="U1780" s="11"/>
      <c r="V1780" s="11"/>
      <c r="W1780" s="11"/>
      <c r="X1780" s="11"/>
      <c r="Y1780" s="11"/>
      <c r="Z1780" s="11"/>
      <c r="AA1780" s="11"/>
      <c r="AB1780" s="11"/>
      <c r="AC1780" s="11"/>
    </row>
    <row r="1781" spans="1:29" x14ac:dyDescent="0.3">
      <c r="A1781" s="11"/>
      <c r="B1781" s="11"/>
      <c r="C1781" s="11"/>
      <c r="D1781" s="11"/>
      <c r="E1781" s="11"/>
      <c r="F1781" s="11"/>
      <c r="G1781" s="11"/>
      <c r="H1781" s="11"/>
      <c r="I1781" s="11"/>
      <c r="J1781" s="11"/>
      <c r="K1781" s="11"/>
      <c r="L1781" s="11"/>
      <c r="M1781" s="11"/>
      <c r="N1781" s="11"/>
      <c r="O1781" s="11"/>
      <c r="P1781" s="11"/>
      <c r="Q1781" s="11"/>
      <c r="R1781" s="11"/>
      <c r="S1781" s="11"/>
      <c r="T1781" s="11"/>
      <c r="U1781" s="11"/>
      <c r="V1781" s="11"/>
      <c r="W1781" s="11"/>
      <c r="X1781" s="11"/>
      <c r="Y1781" s="11"/>
      <c r="Z1781" s="11"/>
      <c r="AA1781" s="11"/>
      <c r="AB1781" s="11"/>
      <c r="AC1781" s="11"/>
    </row>
    <row r="1782" spans="1:29" x14ac:dyDescent="0.3">
      <c r="A1782" s="11"/>
      <c r="B1782" s="11"/>
      <c r="C1782" s="11"/>
      <c r="D1782" s="11"/>
      <c r="E1782" s="11"/>
      <c r="F1782" s="11"/>
      <c r="G1782" s="11"/>
      <c r="H1782" s="11"/>
      <c r="I1782" s="11"/>
      <c r="J1782" s="11"/>
      <c r="K1782" s="11"/>
      <c r="L1782" s="11"/>
      <c r="M1782" s="11"/>
      <c r="N1782" s="11"/>
      <c r="O1782" s="11"/>
      <c r="P1782" s="11"/>
      <c r="Q1782" s="11"/>
      <c r="R1782" s="11"/>
      <c r="S1782" s="11"/>
      <c r="T1782" s="11"/>
      <c r="U1782" s="11"/>
      <c r="V1782" s="11"/>
      <c r="W1782" s="11"/>
      <c r="X1782" s="11"/>
      <c r="Y1782" s="11"/>
      <c r="Z1782" s="11"/>
      <c r="AA1782" s="11"/>
      <c r="AB1782" s="11"/>
      <c r="AC1782" s="11"/>
    </row>
    <row r="1783" spans="1:29" x14ac:dyDescent="0.3">
      <c r="A1783" s="11"/>
      <c r="B1783" s="11"/>
      <c r="C1783" s="11"/>
      <c r="D1783" s="11"/>
      <c r="E1783" s="11"/>
      <c r="F1783" s="11"/>
      <c r="G1783" s="11"/>
      <c r="H1783" s="11"/>
      <c r="I1783" s="11"/>
      <c r="J1783" s="11"/>
      <c r="K1783" s="11"/>
      <c r="L1783" s="11"/>
      <c r="M1783" s="11"/>
      <c r="N1783" s="11"/>
      <c r="O1783" s="11"/>
      <c r="P1783" s="11"/>
      <c r="Q1783" s="11"/>
      <c r="R1783" s="11"/>
      <c r="S1783" s="11"/>
      <c r="T1783" s="11"/>
      <c r="U1783" s="11"/>
      <c r="V1783" s="11"/>
      <c r="W1783" s="11"/>
      <c r="X1783" s="11"/>
      <c r="Y1783" s="11"/>
      <c r="Z1783" s="11"/>
      <c r="AA1783" s="11"/>
      <c r="AB1783" s="11"/>
      <c r="AC1783" s="11"/>
    </row>
    <row r="1784" spans="1:29" x14ac:dyDescent="0.3">
      <c r="A1784" s="11"/>
      <c r="B1784" s="11"/>
      <c r="C1784" s="11"/>
      <c r="D1784" s="11"/>
      <c r="E1784" s="11"/>
      <c r="F1784" s="11"/>
      <c r="G1784" s="11"/>
      <c r="H1784" s="11"/>
      <c r="I1784" s="11"/>
      <c r="J1784" s="11"/>
      <c r="K1784" s="11"/>
      <c r="L1784" s="11"/>
      <c r="M1784" s="11"/>
      <c r="N1784" s="11"/>
      <c r="O1784" s="11"/>
      <c r="P1784" s="11"/>
      <c r="Q1784" s="11"/>
      <c r="R1784" s="11"/>
      <c r="S1784" s="11"/>
      <c r="T1784" s="11"/>
      <c r="U1784" s="11"/>
      <c r="V1784" s="11"/>
      <c r="W1784" s="11"/>
      <c r="X1784" s="11"/>
      <c r="Y1784" s="11"/>
      <c r="Z1784" s="11"/>
      <c r="AA1784" s="11"/>
      <c r="AB1784" s="11"/>
      <c r="AC1784" s="11"/>
    </row>
    <row r="1785" spans="1:29" x14ac:dyDescent="0.3">
      <c r="A1785" s="11"/>
      <c r="B1785" s="11"/>
      <c r="C1785" s="11"/>
      <c r="D1785" s="11"/>
      <c r="E1785" s="11"/>
      <c r="F1785" s="11"/>
      <c r="G1785" s="11"/>
      <c r="H1785" s="11"/>
      <c r="I1785" s="11"/>
      <c r="J1785" s="11"/>
      <c r="K1785" s="11"/>
      <c r="L1785" s="11"/>
      <c r="M1785" s="11"/>
      <c r="N1785" s="11"/>
      <c r="O1785" s="11"/>
      <c r="P1785" s="11"/>
      <c r="Q1785" s="11"/>
      <c r="R1785" s="11"/>
      <c r="S1785" s="11"/>
      <c r="T1785" s="11"/>
      <c r="U1785" s="11"/>
      <c r="V1785" s="11"/>
      <c r="W1785" s="11"/>
      <c r="X1785" s="11"/>
      <c r="Y1785" s="11"/>
      <c r="Z1785" s="11"/>
      <c r="AA1785" s="11"/>
      <c r="AB1785" s="11"/>
      <c r="AC1785" s="11"/>
    </row>
    <row r="1786" spans="1:29" x14ac:dyDescent="0.3">
      <c r="A1786" s="11"/>
      <c r="B1786" s="11"/>
      <c r="C1786" s="11"/>
      <c r="D1786" s="11"/>
      <c r="E1786" s="11"/>
      <c r="F1786" s="11"/>
      <c r="G1786" s="11"/>
      <c r="H1786" s="11"/>
      <c r="I1786" s="11"/>
      <c r="J1786" s="11"/>
      <c r="K1786" s="11"/>
      <c r="L1786" s="11"/>
      <c r="M1786" s="11"/>
      <c r="N1786" s="11"/>
      <c r="O1786" s="11"/>
      <c r="P1786" s="11"/>
      <c r="Q1786" s="11"/>
      <c r="R1786" s="11"/>
      <c r="S1786" s="11"/>
      <c r="T1786" s="11"/>
      <c r="U1786" s="11"/>
      <c r="V1786" s="11"/>
      <c r="W1786" s="11"/>
      <c r="X1786" s="11"/>
      <c r="Y1786" s="11"/>
      <c r="Z1786" s="11"/>
      <c r="AA1786" s="11"/>
      <c r="AB1786" s="11"/>
      <c r="AC1786" s="11"/>
    </row>
    <row r="1787" spans="1:29" x14ac:dyDescent="0.3">
      <c r="A1787" s="11"/>
      <c r="B1787" s="11"/>
      <c r="C1787" s="11"/>
      <c r="D1787" s="11"/>
      <c r="E1787" s="11"/>
      <c r="F1787" s="11"/>
      <c r="G1787" s="11"/>
      <c r="H1787" s="11"/>
      <c r="I1787" s="11"/>
      <c r="J1787" s="11"/>
      <c r="K1787" s="11"/>
      <c r="L1787" s="11"/>
      <c r="M1787" s="11"/>
      <c r="N1787" s="11"/>
      <c r="O1787" s="11"/>
      <c r="P1787" s="11"/>
      <c r="Q1787" s="11"/>
      <c r="R1787" s="11"/>
      <c r="S1787" s="11"/>
      <c r="T1787" s="11"/>
      <c r="U1787" s="11"/>
      <c r="V1787" s="11"/>
      <c r="W1787" s="11"/>
      <c r="X1787" s="11"/>
      <c r="Y1787" s="11"/>
      <c r="Z1787" s="11"/>
      <c r="AA1787" s="11"/>
      <c r="AB1787" s="11"/>
      <c r="AC1787" s="11"/>
    </row>
    <row r="1788" spans="1:29" x14ac:dyDescent="0.3">
      <c r="A1788" s="11"/>
      <c r="B1788" s="11"/>
      <c r="C1788" s="11"/>
      <c r="D1788" s="11"/>
      <c r="E1788" s="11"/>
      <c r="F1788" s="11"/>
      <c r="G1788" s="11"/>
      <c r="H1788" s="11"/>
      <c r="I1788" s="11"/>
      <c r="J1788" s="11"/>
      <c r="K1788" s="11"/>
      <c r="L1788" s="11"/>
      <c r="M1788" s="11"/>
      <c r="N1788" s="11"/>
      <c r="O1788" s="11"/>
      <c r="P1788" s="11"/>
      <c r="Q1788" s="11"/>
      <c r="R1788" s="11"/>
      <c r="S1788" s="11"/>
      <c r="T1788" s="11"/>
      <c r="U1788" s="11"/>
      <c r="V1788" s="11"/>
      <c r="W1788" s="11"/>
      <c r="X1788" s="11"/>
      <c r="Y1788" s="11"/>
      <c r="Z1788" s="11"/>
      <c r="AA1788" s="11"/>
      <c r="AB1788" s="11"/>
      <c r="AC1788" s="11"/>
    </row>
    <row r="1789" spans="1:29" x14ac:dyDescent="0.3">
      <c r="A1789" s="11"/>
      <c r="B1789" s="11"/>
      <c r="C1789" s="11"/>
      <c r="D1789" s="11"/>
      <c r="E1789" s="11"/>
      <c r="F1789" s="11"/>
      <c r="G1789" s="11"/>
      <c r="H1789" s="11"/>
      <c r="I1789" s="11"/>
      <c r="J1789" s="11"/>
      <c r="K1789" s="11"/>
      <c r="L1789" s="11"/>
      <c r="M1789" s="11"/>
      <c r="N1789" s="11"/>
      <c r="O1789" s="11"/>
      <c r="P1789" s="11"/>
      <c r="Q1789" s="11"/>
      <c r="R1789" s="11"/>
      <c r="S1789" s="11"/>
      <c r="T1789" s="11"/>
      <c r="U1789" s="11"/>
      <c r="V1789" s="11"/>
      <c r="W1789" s="11"/>
      <c r="X1789" s="11"/>
      <c r="Y1789" s="11"/>
      <c r="Z1789" s="11"/>
      <c r="AA1789" s="11"/>
      <c r="AB1789" s="11"/>
      <c r="AC1789" s="11"/>
    </row>
    <row r="1790" spans="1:29" x14ac:dyDescent="0.3">
      <c r="A1790" s="11"/>
      <c r="B1790" s="11"/>
      <c r="C1790" s="11"/>
      <c r="D1790" s="11"/>
      <c r="E1790" s="11"/>
      <c r="F1790" s="11"/>
      <c r="G1790" s="11"/>
      <c r="H1790" s="11"/>
      <c r="I1790" s="11"/>
      <c r="J1790" s="11"/>
      <c r="K1790" s="11"/>
      <c r="L1790" s="11"/>
      <c r="M1790" s="11"/>
      <c r="N1790" s="11"/>
      <c r="O1790" s="11"/>
      <c r="P1790" s="11"/>
      <c r="Q1790" s="11"/>
      <c r="R1790" s="11"/>
      <c r="S1790" s="11"/>
      <c r="T1790" s="11"/>
      <c r="U1790" s="11"/>
      <c r="V1790" s="11"/>
      <c r="W1790" s="11"/>
      <c r="X1790" s="11"/>
      <c r="Y1790" s="11"/>
      <c r="Z1790" s="11"/>
      <c r="AA1790" s="11"/>
      <c r="AB1790" s="11"/>
      <c r="AC1790" s="11"/>
    </row>
    <row r="1791" spans="1:29" x14ac:dyDescent="0.3">
      <c r="A1791" s="11"/>
      <c r="B1791" s="11"/>
      <c r="C1791" s="11"/>
      <c r="D1791" s="11"/>
      <c r="E1791" s="11"/>
      <c r="F1791" s="11"/>
      <c r="G1791" s="11"/>
      <c r="H1791" s="11"/>
      <c r="I1791" s="11"/>
      <c r="J1791" s="11"/>
      <c r="K1791" s="11"/>
      <c r="L1791" s="11"/>
      <c r="M1791" s="11"/>
      <c r="N1791" s="11"/>
      <c r="O1791" s="11"/>
      <c r="P1791" s="11"/>
      <c r="Q1791" s="11"/>
      <c r="R1791" s="11"/>
      <c r="S1791" s="11"/>
      <c r="T1791" s="11"/>
      <c r="U1791" s="11"/>
      <c r="V1791" s="11"/>
      <c r="W1791" s="11"/>
      <c r="X1791" s="11"/>
      <c r="Y1791" s="11"/>
      <c r="Z1791" s="11"/>
      <c r="AA1791" s="11"/>
      <c r="AB1791" s="11"/>
      <c r="AC1791" s="11"/>
    </row>
    <row r="1792" spans="1:29" x14ac:dyDescent="0.3">
      <c r="A1792" s="11"/>
      <c r="B1792" s="11"/>
      <c r="C1792" s="11"/>
      <c r="D1792" s="11"/>
      <c r="E1792" s="11"/>
      <c r="F1792" s="11"/>
      <c r="G1792" s="11"/>
      <c r="H1792" s="11"/>
      <c r="I1792" s="11"/>
      <c r="J1792" s="11"/>
      <c r="K1792" s="11"/>
      <c r="L1792" s="11"/>
      <c r="M1792" s="11"/>
      <c r="N1792" s="11"/>
      <c r="O1792" s="11"/>
      <c r="P1792" s="11"/>
      <c r="Q1792" s="11"/>
      <c r="R1792" s="11"/>
      <c r="S1792" s="11"/>
      <c r="T1792" s="11"/>
      <c r="U1792" s="11"/>
      <c r="V1792" s="11"/>
      <c r="W1792" s="11"/>
      <c r="X1792" s="11"/>
      <c r="Y1792" s="11"/>
      <c r="Z1792" s="11"/>
      <c r="AA1792" s="11"/>
      <c r="AB1792" s="11"/>
      <c r="AC1792" s="11"/>
    </row>
    <row r="1793" spans="1:29" x14ac:dyDescent="0.3">
      <c r="A1793" s="11"/>
      <c r="B1793" s="11"/>
      <c r="C1793" s="11"/>
      <c r="D1793" s="11"/>
      <c r="E1793" s="11"/>
      <c r="F1793" s="11"/>
      <c r="G1793" s="11"/>
      <c r="H1793" s="11"/>
      <c r="I1793" s="11"/>
      <c r="J1793" s="11"/>
      <c r="K1793" s="11"/>
      <c r="L1793" s="11"/>
      <c r="M1793" s="11"/>
      <c r="N1793" s="11"/>
      <c r="O1793" s="11"/>
      <c r="P1793" s="11"/>
      <c r="Q1793" s="11"/>
      <c r="R1793" s="11"/>
      <c r="S1793" s="11"/>
      <c r="T1793" s="11"/>
      <c r="U1793" s="11"/>
      <c r="V1793" s="11"/>
      <c r="W1793" s="11"/>
      <c r="X1793" s="11"/>
      <c r="Y1793" s="11"/>
      <c r="Z1793" s="11"/>
      <c r="AA1793" s="11"/>
      <c r="AB1793" s="11"/>
      <c r="AC1793" s="11"/>
    </row>
    <row r="1794" spans="1:29" x14ac:dyDescent="0.3">
      <c r="A1794" s="11"/>
      <c r="B1794" s="11"/>
      <c r="C1794" s="11"/>
      <c r="D1794" s="11"/>
      <c r="E1794" s="11"/>
      <c r="F1794" s="11"/>
      <c r="G1794" s="11"/>
      <c r="H1794" s="11"/>
      <c r="I1794" s="11"/>
      <c r="J1794" s="11"/>
      <c r="K1794" s="11"/>
      <c r="L1794" s="11"/>
      <c r="M1794" s="11"/>
      <c r="N1794" s="11"/>
      <c r="O1794" s="11"/>
      <c r="P1794" s="11"/>
      <c r="Q1794" s="11"/>
      <c r="R1794" s="11"/>
      <c r="S1794" s="11"/>
      <c r="T1794" s="11"/>
      <c r="U1794" s="11"/>
      <c r="V1794" s="11"/>
      <c r="W1794" s="11"/>
      <c r="X1794" s="11"/>
      <c r="Y1794" s="11"/>
      <c r="Z1794" s="11"/>
      <c r="AA1794" s="11"/>
      <c r="AB1794" s="11"/>
      <c r="AC1794" s="11"/>
    </row>
    <row r="1795" spans="1:29" x14ac:dyDescent="0.3">
      <c r="A1795" s="11"/>
      <c r="B1795" s="11"/>
      <c r="C1795" s="11"/>
      <c r="D1795" s="11"/>
      <c r="E1795" s="11"/>
      <c r="F1795" s="11"/>
      <c r="G1795" s="11"/>
      <c r="H1795" s="11"/>
      <c r="I1795" s="11"/>
      <c r="J1795" s="11"/>
      <c r="K1795" s="11"/>
      <c r="L1795" s="11"/>
      <c r="M1795" s="11"/>
      <c r="N1795" s="11"/>
      <c r="O1795" s="11"/>
      <c r="P1795" s="11"/>
      <c r="Q1795" s="11"/>
      <c r="R1795" s="11"/>
      <c r="S1795" s="11"/>
      <c r="T1795" s="11"/>
      <c r="U1795" s="11"/>
      <c r="V1795" s="11"/>
      <c r="W1795" s="11"/>
      <c r="X1795" s="11"/>
      <c r="Y1795" s="11"/>
      <c r="Z1795" s="11"/>
      <c r="AA1795" s="11"/>
      <c r="AB1795" s="11"/>
      <c r="AC1795" s="11"/>
    </row>
    <row r="1796" spans="1:29" x14ac:dyDescent="0.3">
      <c r="A1796" s="11"/>
      <c r="B1796" s="11"/>
      <c r="C1796" s="11"/>
      <c r="D1796" s="11"/>
      <c r="E1796" s="11"/>
      <c r="F1796" s="11"/>
      <c r="G1796" s="11"/>
      <c r="H1796" s="11"/>
      <c r="I1796" s="11"/>
      <c r="J1796" s="11"/>
      <c r="K1796" s="11"/>
      <c r="L1796" s="11"/>
      <c r="M1796" s="11"/>
      <c r="N1796" s="11"/>
      <c r="O1796" s="11"/>
      <c r="P1796" s="11"/>
      <c r="Q1796" s="11"/>
      <c r="R1796" s="11"/>
      <c r="S1796" s="11"/>
      <c r="T1796" s="11"/>
      <c r="U1796" s="11"/>
      <c r="V1796" s="11"/>
      <c r="W1796" s="11"/>
      <c r="X1796" s="11"/>
      <c r="Y1796" s="11"/>
      <c r="Z1796" s="11"/>
      <c r="AA1796" s="11"/>
      <c r="AB1796" s="11"/>
      <c r="AC1796" s="11"/>
    </row>
    <row r="1797" spans="1:29" x14ac:dyDescent="0.3">
      <c r="A1797" s="11"/>
      <c r="B1797" s="11"/>
      <c r="C1797" s="11"/>
      <c r="D1797" s="11"/>
      <c r="E1797" s="11"/>
      <c r="F1797" s="11"/>
      <c r="G1797" s="11"/>
      <c r="H1797" s="11"/>
      <c r="I1797" s="11"/>
      <c r="J1797" s="11"/>
      <c r="K1797" s="11"/>
      <c r="L1797" s="11"/>
      <c r="M1797" s="11"/>
      <c r="N1797" s="11"/>
      <c r="O1797" s="11"/>
      <c r="P1797" s="11"/>
      <c r="Q1797" s="11"/>
      <c r="R1797" s="11"/>
      <c r="S1797" s="11"/>
      <c r="T1797" s="11"/>
      <c r="U1797" s="11"/>
      <c r="V1797" s="11"/>
      <c r="W1797" s="11"/>
      <c r="X1797" s="11"/>
      <c r="Y1797" s="11"/>
      <c r="Z1797" s="11"/>
      <c r="AA1797" s="11"/>
      <c r="AB1797" s="11"/>
      <c r="AC1797" s="11"/>
    </row>
    <row r="1798" spans="1:29" x14ac:dyDescent="0.3">
      <c r="A1798" s="11"/>
      <c r="B1798" s="11"/>
      <c r="C1798" s="11"/>
      <c r="D1798" s="11"/>
      <c r="E1798" s="11"/>
      <c r="F1798" s="11"/>
      <c r="G1798" s="11"/>
      <c r="H1798" s="11"/>
      <c r="I1798" s="11"/>
      <c r="J1798" s="11"/>
      <c r="K1798" s="11"/>
      <c r="L1798" s="11"/>
      <c r="M1798" s="11"/>
      <c r="N1798" s="11"/>
      <c r="O1798" s="11"/>
      <c r="P1798" s="11"/>
      <c r="Q1798" s="11"/>
      <c r="R1798" s="11"/>
      <c r="S1798" s="11"/>
      <c r="T1798" s="11"/>
      <c r="U1798" s="11"/>
      <c r="V1798" s="11"/>
      <c r="W1798" s="11"/>
      <c r="X1798" s="11"/>
      <c r="Y1798" s="11"/>
      <c r="Z1798" s="11"/>
      <c r="AA1798" s="11"/>
      <c r="AB1798" s="11"/>
      <c r="AC1798" s="11"/>
    </row>
    <row r="1799" spans="1:29" x14ac:dyDescent="0.3">
      <c r="A1799" s="11"/>
      <c r="B1799" s="11"/>
      <c r="C1799" s="11"/>
      <c r="D1799" s="11"/>
      <c r="E1799" s="11"/>
      <c r="F1799" s="11"/>
      <c r="G1799" s="11"/>
      <c r="H1799" s="11"/>
      <c r="I1799" s="11"/>
      <c r="J1799" s="11"/>
      <c r="K1799" s="11"/>
      <c r="L1799" s="11"/>
      <c r="M1799" s="11"/>
      <c r="N1799" s="11"/>
      <c r="O1799" s="11"/>
      <c r="P1799" s="11"/>
      <c r="Q1799" s="11"/>
      <c r="R1799" s="11"/>
      <c r="S1799" s="11"/>
      <c r="T1799" s="11"/>
      <c r="U1799" s="11"/>
      <c r="V1799" s="11"/>
      <c r="W1799" s="11"/>
      <c r="X1799" s="11"/>
      <c r="Y1799" s="11"/>
      <c r="Z1799" s="11"/>
      <c r="AA1799" s="11"/>
      <c r="AB1799" s="11"/>
      <c r="AC1799" s="11"/>
    </row>
    <row r="1800" spans="1:29" x14ac:dyDescent="0.3">
      <c r="A1800" s="11"/>
      <c r="B1800" s="11"/>
      <c r="C1800" s="11"/>
      <c r="D1800" s="11"/>
      <c r="E1800" s="11"/>
      <c r="F1800" s="11"/>
      <c r="G1800" s="11"/>
      <c r="H1800" s="11"/>
      <c r="I1800" s="11"/>
      <c r="J1800" s="11"/>
      <c r="K1800" s="11"/>
      <c r="L1800" s="11"/>
      <c r="M1800" s="11"/>
      <c r="N1800" s="11"/>
      <c r="O1800" s="11"/>
      <c r="P1800" s="11"/>
      <c r="Q1800" s="11"/>
      <c r="R1800" s="11"/>
      <c r="S1800" s="11"/>
      <c r="T1800" s="11"/>
      <c r="U1800" s="11"/>
      <c r="V1800" s="11"/>
      <c r="W1800" s="11"/>
      <c r="X1800" s="11"/>
      <c r="Y1800" s="11"/>
      <c r="Z1800" s="11"/>
      <c r="AA1800" s="11"/>
      <c r="AB1800" s="11"/>
      <c r="AC1800" s="11"/>
    </row>
    <row r="1801" spans="1:29" x14ac:dyDescent="0.3">
      <c r="A1801" s="11"/>
      <c r="B1801" s="11"/>
      <c r="C1801" s="11"/>
      <c r="D1801" s="11"/>
      <c r="E1801" s="11"/>
      <c r="F1801" s="11"/>
      <c r="G1801" s="11"/>
      <c r="H1801" s="11"/>
      <c r="I1801" s="11"/>
      <c r="J1801" s="11"/>
      <c r="K1801" s="11"/>
      <c r="L1801" s="11"/>
      <c r="M1801" s="11"/>
      <c r="N1801" s="11"/>
      <c r="O1801" s="11"/>
      <c r="P1801" s="11"/>
      <c r="Q1801" s="11"/>
      <c r="R1801" s="11"/>
      <c r="S1801" s="11"/>
      <c r="T1801" s="11"/>
      <c r="U1801" s="11"/>
      <c r="V1801" s="11"/>
      <c r="W1801" s="11"/>
      <c r="X1801" s="11"/>
      <c r="Y1801" s="11"/>
      <c r="Z1801" s="11"/>
      <c r="AA1801" s="11"/>
      <c r="AB1801" s="11"/>
      <c r="AC1801" s="11"/>
    </row>
    <row r="1802" spans="1:29" x14ac:dyDescent="0.3">
      <c r="A1802" s="11"/>
      <c r="B1802" s="11"/>
      <c r="C1802" s="11"/>
      <c r="D1802" s="11"/>
      <c r="E1802" s="11"/>
      <c r="F1802" s="11"/>
      <c r="G1802" s="11"/>
      <c r="H1802" s="11"/>
      <c r="I1802" s="11"/>
      <c r="J1802" s="11"/>
      <c r="K1802" s="11"/>
      <c r="L1802" s="11"/>
      <c r="M1802" s="11"/>
      <c r="N1802" s="11"/>
      <c r="O1802" s="11"/>
      <c r="P1802" s="11"/>
      <c r="Q1802" s="11"/>
      <c r="R1802" s="11"/>
      <c r="S1802" s="11"/>
      <c r="T1802" s="11"/>
      <c r="U1802" s="11"/>
      <c r="V1802" s="11"/>
      <c r="W1802" s="11"/>
      <c r="X1802" s="11"/>
      <c r="Y1802" s="11"/>
      <c r="Z1802" s="11"/>
      <c r="AA1802" s="11"/>
      <c r="AB1802" s="11"/>
      <c r="AC1802" s="11"/>
    </row>
    <row r="1803" spans="1:29" x14ac:dyDescent="0.3">
      <c r="A1803" s="11"/>
      <c r="B1803" s="11"/>
      <c r="C1803" s="11"/>
      <c r="D1803" s="11"/>
      <c r="E1803" s="11"/>
      <c r="F1803" s="11"/>
      <c r="G1803" s="11"/>
      <c r="H1803" s="11"/>
      <c r="I1803" s="11"/>
      <c r="J1803" s="11"/>
      <c r="K1803" s="11"/>
      <c r="L1803" s="11"/>
      <c r="M1803" s="11"/>
      <c r="N1803" s="11"/>
      <c r="O1803" s="11"/>
      <c r="P1803" s="11"/>
      <c r="Q1803" s="11"/>
      <c r="R1803" s="11"/>
      <c r="S1803" s="11"/>
      <c r="T1803" s="11"/>
      <c r="U1803" s="11"/>
      <c r="V1803" s="11"/>
      <c r="W1803" s="11"/>
      <c r="X1803" s="11"/>
      <c r="Y1803" s="11"/>
      <c r="Z1803" s="11"/>
      <c r="AA1803" s="11"/>
      <c r="AB1803" s="11"/>
      <c r="AC1803" s="11"/>
    </row>
    <row r="1804" spans="1:29" x14ac:dyDescent="0.3">
      <c r="A1804" s="11"/>
      <c r="B1804" s="11"/>
      <c r="C1804" s="11"/>
      <c r="D1804" s="11"/>
      <c r="E1804" s="11"/>
      <c r="F1804" s="11"/>
      <c r="G1804" s="11"/>
      <c r="H1804" s="11"/>
      <c r="I1804" s="11"/>
      <c r="J1804" s="11"/>
      <c r="K1804" s="11"/>
      <c r="L1804" s="11"/>
      <c r="M1804" s="11"/>
      <c r="N1804" s="11"/>
      <c r="O1804" s="11"/>
      <c r="P1804" s="11"/>
      <c r="Q1804" s="11"/>
      <c r="R1804" s="11"/>
      <c r="S1804" s="11"/>
      <c r="T1804" s="11"/>
      <c r="U1804" s="11"/>
      <c r="V1804" s="11"/>
      <c r="W1804" s="11"/>
      <c r="X1804" s="11"/>
      <c r="Y1804" s="11"/>
      <c r="Z1804" s="11"/>
      <c r="AA1804" s="11"/>
      <c r="AB1804" s="11"/>
      <c r="AC1804" s="11"/>
    </row>
    <row r="1805" spans="1:29" x14ac:dyDescent="0.3">
      <c r="A1805" s="11"/>
      <c r="B1805" s="11"/>
      <c r="C1805" s="11"/>
      <c r="D1805" s="11"/>
      <c r="E1805" s="11"/>
      <c r="F1805" s="11"/>
      <c r="G1805" s="11"/>
      <c r="H1805" s="11"/>
      <c r="I1805" s="11"/>
      <c r="J1805" s="11"/>
      <c r="K1805" s="11"/>
      <c r="L1805" s="11"/>
      <c r="M1805" s="11"/>
      <c r="N1805" s="11"/>
      <c r="O1805" s="11"/>
      <c r="P1805" s="11"/>
      <c r="Q1805" s="11"/>
      <c r="R1805" s="11"/>
      <c r="S1805" s="11"/>
      <c r="T1805" s="11"/>
      <c r="U1805" s="11"/>
      <c r="V1805" s="11"/>
      <c r="W1805" s="11"/>
      <c r="X1805" s="11"/>
      <c r="Y1805" s="11"/>
      <c r="Z1805" s="11"/>
      <c r="AA1805" s="11"/>
      <c r="AB1805" s="11"/>
      <c r="AC1805" s="11"/>
    </row>
    <row r="1806" spans="1:29" x14ac:dyDescent="0.3">
      <c r="A1806" s="11"/>
      <c r="B1806" s="11"/>
      <c r="C1806" s="11"/>
      <c r="D1806" s="11"/>
      <c r="E1806" s="11"/>
      <c r="F1806" s="11"/>
      <c r="G1806" s="11"/>
      <c r="H1806" s="11"/>
      <c r="I1806" s="11"/>
      <c r="J1806" s="11"/>
      <c r="K1806" s="11"/>
      <c r="L1806" s="11"/>
      <c r="M1806" s="11"/>
      <c r="N1806" s="11"/>
      <c r="O1806" s="11"/>
      <c r="P1806" s="11"/>
      <c r="Q1806" s="11"/>
      <c r="R1806" s="11"/>
      <c r="S1806" s="11"/>
      <c r="T1806" s="11"/>
      <c r="U1806" s="11"/>
      <c r="V1806" s="11"/>
      <c r="W1806" s="11"/>
      <c r="X1806" s="11"/>
      <c r="Y1806" s="11"/>
      <c r="Z1806" s="11"/>
      <c r="AA1806" s="11"/>
      <c r="AB1806" s="11"/>
      <c r="AC1806" s="11"/>
    </row>
    <row r="1807" spans="1:29" x14ac:dyDescent="0.3">
      <c r="A1807" s="11"/>
      <c r="B1807" s="11"/>
      <c r="C1807" s="11"/>
      <c r="D1807" s="11"/>
      <c r="E1807" s="11"/>
      <c r="F1807" s="11"/>
      <c r="G1807" s="11"/>
      <c r="H1807" s="11"/>
      <c r="I1807" s="11"/>
      <c r="J1807" s="11"/>
      <c r="K1807" s="11"/>
      <c r="L1807" s="11"/>
      <c r="M1807" s="11"/>
      <c r="N1807" s="11"/>
      <c r="O1807" s="11"/>
      <c r="P1807" s="11"/>
      <c r="Q1807" s="11"/>
      <c r="R1807" s="11"/>
      <c r="S1807" s="11"/>
      <c r="T1807" s="11"/>
      <c r="U1807" s="11"/>
      <c r="V1807" s="11"/>
      <c r="W1807" s="11"/>
      <c r="X1807" s="11"/>
      <c r="Y1807" s="11"/>
      <c r="Z1807" s="11"/>
      <c r="AA1807" s="11"/>
      <c r="AB1807" s="11"/>
      <c r="AC1807" s="11"/>
    </row>
    <row r="1808" spans="1:29" x14ac:dyDescent="0.3">
      <c r="A1808" s="11"/>
      <c r="B1808" s="11"/>
      <c r="C1808" s="11"/>
      <c r="D1808" s="11"/>
      <c r="E1808" s="11"/>
      <c r="F1808" s="11"/>
      <c r="G1808" s="11"/>
      <c r="H1808" s="11"/>
      <c r="I1808" s="11"/>
      <c r="J1808" s="11"/>
      <c r="K1808" s="11"/>
      <c r="L1808" s="11"/>
      <c r="M1808" s="11"/>
      <c r="N1808" s="11"/>
      <c r="O1808" s="11"/>
      <c r="P1808" s="11"/>
      <c r="Q1808" s="11"/>
      <c r="R1808" s="11"/>
      <c r="S1808" s="11"/>
      <c r="T1808" s="11"/>
      <c r="U1808" s="11"/>
      <c r="V1808" s="11"/>
      <c r="W1808" s="11"/>
      <c r="X1808" s="11"/>
      <c r="Y1808" s="11"/>
      <c r="Z1808" s="11"/>
      <c r="AA1808" s="11"/>
      <c r="AB1808" s="11"/>
      <c r="AC1808" s="11"/>
    </row>
    <row r="1809" spans="1:29" x14ac:dyDescent="0.3">
      <c r="A1809" s="11"/>
      <c r="B1809" s="11"/>
      <c r="C1809" s="11"/>
      <c r="D1809" s="11"/>
      <c r="E1809" s="11"/>
      <c r="F1809" s="11"/>
      <c r="G1809" s="11"/>
      <c r="H1809" s="11"/>
      <c r="I1809" s="11"/>
      <c r="J1809" s="11"/>
      <c r="K1809" s="11"/>
      <c r="L1809" s="11"/>
      <c r="M1809" s="11"/>
      <c r="N1809" s="11"/>
      <c r="O1809" s="11"/>
      <c r="P1809" s="11"/>
      <c r="Q1809" s="11"/>
      <c r="R1809" s="11"/>
      <c r="S1809" s="11"/>
      <c r="T1809" s="11"/>
      <c r="U1809" s="11"/>
      <c r="V1809" s="11"/>
      <c r="W1809" s="11"/>
      <c r="X1809" s="11"/>
      <c r="Y1809" s="11"/>
      <c r="Z1809" s="11"/>
      <c r="AA1809" s="11"/>
      <c r="AB1809" s="11"/>
      <c r="AC1809" s="11"/>
    </row>
    <row r="1810" spans="1:29" x14ac:dyDescent="0.3">
      <c r="A1810" s="11"/>
      <c r="B1810" s="11"/>
      <c r="C1810" s="11"/>
      <c r="D1810" s="11"/>
      <c r="E1810" s="11"/>
      <c r="F1810" s="11"/>
      <c r="G1810" s="11"/>
      <c r="H1810" s="11"/>
      <c r="I1810" s="11"/>
      <c r="J1810" s="11"/>
      <c r="K1810" s="11"/>
      <c r="L1810" s="11"/>
      <c r="M1810" s="11"/>
      <c r="N1810" s="11"/>
      <c r="O1810" s="11"/>
      <c r="P1810" s="11"/>
      <c r="Q1810" s="11"/>
      <c r="R1810" s="11"/>
      <c r="S1810" s="11"/>
      <c r="T1810" s="11"/>
      <c r="U1810" s="11"/>
      <c r="V1810" s="11"/>
      <c r="W1810" s="11"/>
      <c r="X1810" s="11"/>
      <c r="Y1810" s="11"/>
      <c r="Z1810" s="11"/>
      <c r="AA1810" s="11"/>
      <c r="AB1810" s="11"/>
      <c r="AC1810" s="11"/>
    </row>
    <row r="1811" spans="1:29" x14ac:dyDescent="0.3">
      <c r="A1811" s="11"/>
      <c r="B1811" s="11"/>
      <c r="C1811" s="11"/>
      <c r="D1811" s="11"/>
      <c r="E1811" s="11"/>
      <c r="F1811" s="11"/>
      <c r="G1811" s="11"/>
      <c r="H1811" s="11"/>
      <c r="I1811" s="11"/>
      <c r="J1811" s="11"/>
      <c r="K1811" s="11"/>
      <c r="L1811" s="11"/>
      <c r="M1811" s="11"/>
      <c r="N1811" s="11"/>
      <c r="O1811" s="11"/>
      <c r="P1811" s="11"/>
      <c r="Q1811" s="11"/>
      <c r="R1811" s="11"/>
      <c r="S1811" s="11"/>
      <c r="T1811" s="11"/>
      <c r="U1811" s="11"/>
      <c r="V1811" s="11"/>
      <c r="W1811" s="11"/>
      <c r="X1811" s="11"/>
      <c r="Y1811" s="11"/>
      <c r="Z1811" s="11"/>
      <c r="AA1811" s="11"/>
      <c r="AB1811" s="11"/>
      <c r="AC1811" s="11"/>
    </row>
    <row r="1812" spans="1:29" x14ac:dyDescent="0.3">
      <c r="A1812" s="11"/>
      <c r="B1812" s="11"/>
      <c r="C1812" s="11"/>
      <c r="D1812" s="11"/>
      <c r="E1812" s="11"/>
      <c r="F1812" s="11"/>
      <c r="G1812" s="11"/>
      <c r="H1812" s="11"/>
      <c r="I1812" s="11"/>
      <c r="J1812" s="11"/>
      <c r="K1812" s="11"/>
      <c r="L1812" s="11"/>
      <c r="M1812" s="11"/>
      <c r="N1812" s="11"/>
      <c r="O1812" s="11"/>
      <c r="P1812" s="11"/>
      <c r="Q1812" s="11"/>
      <c r="R1812" s="11"/>
      <c r="S1812" s="11"/>
      <c r="T1812" s="11"/>
      <c r="U1812" s="11"/>
      <c r="V1812" s="11"/>
      <c r="W1812" s="11"/>
      <c r="X1812" s="11"/>
      <c r="Y1812" s="11"/>
      <c r="Z1812" s="11"/>
      <c r="AA1812" s="11"/>
      <c r="AB1812" s="11"/>
      <c r="AC1812" s="11"/>
    </row>
    <row r="1813" spans="1:29" x14ac:dyDescent="0.3">
      <c r="A1813" s="11"/>
      <c r="B1813" s="11"/>
      <c r="C1813" s="11"/>
      <c r="D1813" s="11"/>
      <c r="E1813" s="11"/>
      <c r="F1813" s="11"/>
      <c r="G1813" s="11"/>
      <c r="H1813" s="11"/>
      <c r="I1813" s="11"/>
      <c r="J1813" s="11"/>
      <c r="K1813" s="11"/>
      <c r="L1813" s="11"/>
      <c r="M1813" s="11"/>
      <c r="N1813" s="11"/>
      <c r="O1813" s="11"/>
      <c r="P1813" s="11"/>
      <c r="Q1813" s="11"/>
      <c r="R1813" s="11"/>
      <c r="S1813" s="11"/>
      <c r="T1813" s="11"/>
      <c r="U1813" s="11"/>
      <c r="V1813" s="11"/>
      <c r="W1813" s="11"/>
      <c r="X1813" s="11"/>
      <c r="Y1813" s="11"/>
      <c r="Z1813" s="11"/>
      <c r="AA1813" s="11"/>
      <c r="AB1813" s="11"/>
      <c r="AC1813" s="11"/>
    </row>
    <row r="1814" spans="1:29" x14ac:dyDescent="0.3">
      <c r="A1814" s="11"/>
      <c r="B1814" s="11"/>
      <c r="C1814" s="11"/>
      <c r="D1814" s="11"/>
      <c r="E1814" s="11"/>
      <c r="F1814" s="11"/>
      <c r="G1814" s="11"/>
      <c r="H1814" s="11"/>
      <c r="I1814" s="11"/>
      <c r="J1814" s="11"/>
      <c r="K1814" s="11"/>
      <c r="L1814" s="11"/>
      <c r="M1814" s="11"/>
      <c r="N1814" s="11"/>
      <c r="O1814" s="11"/>
      <c r="P1814" s="11"/>
      <c r="Q1814" s="11"/>
      <c r="R1814" s="11"/>
      <c r="S1814" s="11"/>
      <c r="T1814" s="11"/>
      <c r="U1814" s="11"/>
      <c r="V1814" s="11"/>
      <c r="W1814" s="11"/>
      <c r="X1814" s="11"/>
      <c r="Y1814" s="11"/>
      <c r="Z1814" s="11"/>
      <c r="AA1814" s="11"/>
      <c r="AB1814" s="11"/>
      <c r="AC1814" s="11"/>
    </row>
    <row r="1815" spans="1:29" x14ac:dyDescent="0.3">
      <c r="A1815" s="11"/>
      <c r="B1815" s="11"/>
      <c r="C1815" s="11"/>
      <c r="D1815" s="11"/>
      <c r="E1815" s="11"/>
      <c r="F1815" s="11"/>
      <c r="G1815" s="11"/>
      <c r="H1815" s="11"/>
      <c r="I1815" s="11"/>
      <c r="J1815" s="11"/>
      <c r="K1815" s="11"/>
      <c r="L1815" s="11"/>
      <c r="M1815" s="11"/>
      <c r="N1815" s="11"/>
      <c r="O1815" s="11"/>
      <c r="P1815" s="11"/>
      <c r="Q1815" s="11"/>
      <c r="R1815" s="11"/>
      <c r="S1815" s="11"/>
      <c r="T1815" s="11"/>
      <c r="U1815" s="11"/>
      <c r="V1815" s="11"/>
      <c r="W1815" s="11"/>
      <c r="X1815" s="11"/>
      <c r="Y1815" s="11"/>
      <c r="Z1815" s="11"/>
      <c r="AA1815" s="11"/>
      <c r="AB1815" s="11"/>
      <c r="AC1815" s="11"/>
    </row>
    <row r="1816" spans="1:29" x14ac:dyDescent="0.3">
      <c r="A1816" s="11"/>
      <c r="B1816" s="11"/>
      <c r="C1816" s="11"/>
      <c r="D1816" s="11"/>
      <c r="E1816" s="11"/>
      <c r="F1816" s="11"/>
      <c r="G1816" s="11"/>
      <c r="H1816" s="11"/>
      <c r="I1816" s="11"/>
      <c r="J1816" s="11"/>
      <c r="K1816" s="11"/>
      <c r="L1816" s="11"/>
      <c r="M1816" s="11"/>
      <c r="N1816" s="11"/>
      <c r="O1816" s="11"/>
      <c r="P1816" s="11"/>
      <c r="Q1816" s="11"/>
      <c r="R1816" s="11"/>
      <c r="S1816" s="11"/>
      <c r="T1816" s="11"/>
      <c r="U1816" s="11"/>
      <c r="V1816" s="11"/>
      <c r="W1816" s="11"/>
      <c r="X1816" s="11"/>
      <c r="Y1816" s="11"/>
      <c r="Z1816" s="11"/>
      <c r="AA1816" s="11"/>
      <c r="AB1816" s="11"/>
      <c r="AC1816" s="11"/>
    </row>
    <row r="1817" spans="1:29" x14ac:dyDescent="0.3">
      <c r="A1817" s="11"/>
      <c r="B1817" s="11"/>
      <c r="C1817" s="11"/>
      <c r="D1817" s="11"/>
      <c r="E1817" s="11"/>
      <c r="F1817" s="11"/>
      <c r="G1817" s="11"/>
      <c r="H1817" s="11"/>
      <c r="I1817" s="11"/>
      <c r="J1817" s="11"/>
      <c r="K1817" s="11"/>
      <c r="L1817" s="11"/>
      <c r="M1817" s="11"/>
      <c r="N1817" s="11"/>
      <c r="O1817" s="11"/>
      <c r="P1817" s="11"/>
      <c r="Q1817" s="11"/>
      <c r="R1817" s="11"/>
      <c r="S1817" s="11"/>
      <c r="T1817" s="11"/>
      <c r="U1817" s="11"/>
      <c r="V1817" s="11"/>
      <c r="W1817" s="11"/>
      <c r="X1817" s="11"/>
      <c r="Y1817" s="11"/>
      <c r="Z1817" s="11"/>
      <c r="AA1817" s="11"/>
      <c r="AB1817" s="11"/>
      <c r="AC1817" s="11"/>
    </row>
    <row r="1818" spans="1:29" x14ac:dyDescent="0.3">
      <c r="A1818" s="11"/>
      <c r="B1818" s="11"/>
      <c r="C1818" s="11"/>
      <c r="D1818" s="11"/>
      <c r="E1818" s="11"/>
      <c r="F1818" s="11"/>
      <c r="G1818" s="11"/>
      <c r="H1818" s="11"/>
      <c r="I1818" s="11"/>
      <c r="J1818" s="11"/>
      <c r="K1818" s="11"/>
      <c r="L1818" s="11"/>
      <c r="M1818" s="11"/>
      <c r="N1818" s="11"/>
      <c r="O1818" s="11"/>
      <c r="P1818" s="11"/>
      <c r="Q1818" s="11"/>
      <c r="R1818" s="11"/>
      <c r="S1818" s="11"/>
      <c r="T1818" s="11"/>
      <c r="U1818" s="11"/>
      <c r="V1818" s="11"/>
      <c r="W1818" s="11"/>
      <c r="X1818" s="11"/>
      <c r="Y1818" s="11"/>
      <c r="Z1818" s="11"/>
      <c r="AA1818" s="11"/>
      <c r="AB1818" s="11"/>
      <c r="AC1818" s="11"/>
    </row>
    <row r="1819" spans="1:29" x14ac:dyDescent="0.3">
      <c r="A1819" s="11"/>
      <c r="B1819" s="11"/>
      <c r="C1819" s="11"/>
      <c r="D1819" s="11"/>
      <c r="E1819" s="11"/>
      <c r="F1819" s="11"/>
      <c r="G1819" s="11"/>
      <c r="H1819" s="11"/>
      <c r="I1819" s="11"/>
      <c r="J1819" s="11"/>
      <c r="K1819" s="11"/>
      <c r="L1819" s="11"/>
      <c r="M1819" s="11"/>
      <c r="N1819" s="11"/>
      <c r="O1819" s="11"/>
      <c r="P1819" s="11"/>
      <c r="Q1819" s="11"/>
      <c r="R1819" s="11"/>
      <c r="S1819" s="11"/>
      <c r="T1819" s="11"/>
      <c r="U1819" s="11"/>
      <c r="V1819" s="11"/>
      <c r="W1819" s="11"/>
      <c r="X1819" s="11"/>
      <c r="Y1819" s="11"/>
      <c r="Z1819" s="11"/>
      <c r="AA1819" s="11"/>
      <c r="AB1819" s="11"/>
      <c r="AC1819" s="11"/>
    </row>
    <row r="1820" spans="1:29" x14ac:dyDescent="0.3">
      <c r="A1820" s="11"/>
      <c r="B1820" s="11"/>
      <c r="C1820" s="11"/>
      <c r="D1820" s="11"/>
      <c r="E1820" s="11"/>
      <c r="F1820" s="11"/>
      <c r="G1820" s="11"/>
      <c r="H1820" s="11"/>
      <c r="I1820" s="11"/>
      <c r="J1820" s="11"/>
      <c r="K1820" s="11"/>
      <c r="L1820" s="11"/>
      <c r="M1820" s="11"/>
      <c r="N1820" s="11"/>
      <c r="O1820" s="11"/>
      <c r="P1820" s="11"/>
      <c r="Q1820" s="11"/>
      <c r="R1820" s="11"/>
      <c r="S1820" s="11"/>
      <c r="T1820" s="11"/>
      <c r="U1820" s="11"/>
      <c r="V1820" s="11"/>
      <c r="W1820" s="11"/>
      <c r="X1820" s="11"/>
      <c r="Y1820" s="11"/>
      <c r="Z1820" s="11"/>
      <c r="AA1820" s="11"/>
      <c r="AB1820" s="11"/>
      <c r="AC1820" s="11"/>
    </row>
    <row r="1821" spans="1:29" x14ac:dyDescent="0.3">
      <c r="A1821" s="11"/>
      <c r="B1821" s="11"/>
      <c r="C1821" s="11"/>
      <c r="D1821" s="11"/>
      <c r="E1821" s="11"/>
      <c r="F1821" s="11"/>
      <c r="G1821" s="11"/>
      <c r="H1821" s="11"/>
      <c r="I1821" s="11"/>
      <c r="J1821" s="11"/>
      <c r="K1821" s="11"/>
      <c r="L1821" s="11"/>
      <c r="M1821" s="11"/>
      <c r="N1821" s="11"/>
      <c r="O1821" s="11"/>
      <c r="P1821" s="11"/>
      <c r="Q1821" s="11"/>
      <c r="R1821" s="11"/>
      <c r="S1821" s="11"/>
      <c r="T1821" s="11"/>
      <c r="U1821" s="11"/>
      <c r="V1821" s="11"/>
      <c r="W1821" s="11"/>
      <c r="X1821" s="11"/>
      <c r="Y1821" s="11"/>
      <c r="Z1821" s="11"/>
      <c r="AA1821" s="11"/>
      <c r="AB1821" s="11"/>
      <c r="AC1821" s="11"/>
    </row>
    <row r="1822" spans="1:29" x14ac:dyDescent="0.3">
      <c r="A1822" s="11"/>
      <c r="B1822" s="11"/>
      <c r="C1822" s="11"/>
      <c r="D1822" s="11"/>
      <c r="E1822" s="11"/>
      <c r="F1822" s="11"/>
      <c r="G1822" s="11"/>
      <c r="H1822" s="11"/>
      <c r="I1822" s="11"/>
      <c r="J1822" s="11"/>
      <c r="K1822" s="11"/>
      <c r="L1822" s="11"/>
      <c r="M1822" s="11"/>
      <c r="N1822" s="11"/>
      <c r="O1822" s="11"/>
      <c r="P1822" s="11"/>
      <c r="Q1822" s="11"/>
      <c r="R1822" s="11"/>
      <c r="S1822" s="11"/>
      <c r="T1822" s="11"/>
      <c r="U1822" s="11"/>
      <c r="V1822" s="11"/>
      <c r="W1822" s="11"/>
      <c r="X1822" s="11"/>
      <c r="Y1822" s="11"/>
      <c r="Z1822" s="11"/>
      <c r="AA1822" s="11"/>
      <c r="AB1822" s="11"/>
      <c r="AC1822" s="11"/>
    </row>
    <row r="1823" spans="1:29" x14ac:dyDescent="0.3">
      <c r="A1823" s="11"/>
      <c r="B1823" s="11"/>
      <c r="C1823" s="11"/>
      <c r="D1823" s="11"/>
      <c r="E1823" s="11"/>
      <c r="F1823" s="11"/>
      <c r="G1823" s="11"/>
      <c r="H1823" s="11"/>
      <c r="I1823" s="11"/>
      <c r="J1823" s="11"/>
      <c r="K1823" s="11"/>
      <c r="L1823" s="11"/>
      <c r="M1823" s="11"/>
      <c r="N1823" s="11"/>
      <c r="O1823" s="11"/>
      <c r="P1823" s="11"/>
      <c r="Q1823" s="11"/>
      <c r="R1823" s="11"/>
      <c r="S1823" s="11"/>
      <c r="T1823" s="11"/>
      <c r="U1823" s="11"/>
      <c r="V1823" s="11"/>
      <c r="W1823" s="11"/>
      <c r="X1823" s="11"/>
      <c r="Y1823" s="11"/>
      <c r="Z1823" s="11"/>
      <c r="AA1823" s="11"/>
      <c r="AB1823" s="11"/>
      <c r="AC1823" s="11"/>
    </row>
    <row r="1824" spans="1:29" x14ac:dyDescent="0.3">
      <c r="A1824" s="11"/>
      <c r="B1824" s="11"/>
      <c r="C1824" s="11"/>
      <c r="D1824" s="11"/>
      <c r="E1824" s="11"/>
      <c r="F1824" s="11"/>
      <c r="G1824" s="11"/>
      <c r="H1824" s="11"/>
      <c r="I1824" s="11"/>
      <c r="J1824" s="11"/>
      <c r="K1824" s="11"/>
      <c r="L1824" s="11"/>
      <c r="M1824" s="11"/>
      <c r="N1824" s="11"/>
      <c r="O1824" s="11"/>
      <c r="P1824" s="11"/>
      <c r="Q1824" s="11"/>
      <c r="R1824" s="11"/>
      <c r="S1824" s="11"/>
      <c r="T1824" s="11"/>
      <c r="U1824" s="11"/>
      <c r="V1824" s="11"/>
      <c r="W1824" s="11"/>
      <c r="X1824" s="11"/>
      <c r="Y1824" s="11"/>
      <c r="Z1824" s="11"/>
      <c r="AA1824" s="11"/>
      <c r="AB1824" s="11"/>
      <c r="AC1824" s="11"/>
    </row>
    <row r="1825" spans="1:29" x14ac:dyDescent="0.3">
      <c r="A1825" s="11"/>
      <c r="B1825" s="11"/>
      <c r="C1825" s="11"/>
      <c r="D1825" s="11"/>
      <c r="E1825" s="11"/>
      <c r="F1825" s="11"/>
      <c r="G1825" s="11"/>
      <c r="H1825" s="11"/>
      <c r="I1825" s="11"/>
      <c r="J1825" s="11"/>
      <c r="K1825" s="11"/>
      <c r="L1825" s="11"/>
      <c r="M1825" s="11"/>
      <c r="N1825" s="11"/>
      <c r="O1825" s="11"/>
      <c r="P1825" s="11"/>
      <c r="Q1825" s="11"/>
      <c r="R1825" s="11"/>
      <c r="S1825" s="11"/>
      <c r="T1825" s="11"/>
      <c r="U1825" s="11"/>
      <c r="V1825" s="11"/>
      <c r="W1825" s="11"/>
      <c r="X1825" s="11"/>
      <c r="Y1825" s="11"/>
      <c r="Z1825" s="11"/>
      <c r="AA1825" s="11"/>
      <c r="AB1825" s="11"/>
      <c r="AC1825" s="11"/>
    </row>
    <row r="1826" spans="1:29" x14ac:dyDescent="0.3">
      <c r="A1826" s="11"/>
      <c r="B1826" s="11"/>
      <c r="C1826" s="11"/>
      <c r="D1826" s="11"/>
      <c r="E1826" s="11"/>
      <c r="F1826" s="11"/>
      <c r="G1826" s="11"/>
      <c r="H1826" s="11"/>
      <c r="I1826" s="11"/>
      <c r="J1826" s="11"/>
      <c r="K1826" s="11"/>
      <c r="L1826" s="11"/>
      <c r="M1826" s="11"/>
      <c r="N1826" s="11"/>
      <c r="O1826" s="11"/>
      <c r="P1826" s="11"/>
      <c r="Q1826" s="11"/>
      <c r="R1826" s="11"/>
      <c r="S1826" s="11"/>
      <c r="T1826" s="11"/>
      <c r="U1826" s="11"/>
      <c r="V1826" s="11"/>
      <c r="W1826" s="11"/>
      <c r="X1826" s="11"/>
      <c r="Y1826" s="11"/>
      <c r="Z1826" s="11"/>
      <c r="AA1826" s="11"/>
      <c r="AB1826" s="11"/>
      <c r="AC1826" s="11"/>
    </row>
    <row r="1827" spans="1:29" x14ac:dyDescent="0.3">
      <c r="A1827" s="11"/>
      <c r="B1827" s="11"/>
      <c r="C1827" s="11"/>
      <c r="D1827" s="11"/>
      <c r="E1827" s="11"/>
      <c r="F1827" s="11"/>
      <c r="G1827" s="11"/>
      <c r="H1827" s="11"/>
      <c r="I1827" s="11"/>
      <c r="J1827" s="11"/>
      <c r="K1827" s="11"/>
      <c r="L1827" s="11"/>
      <c r="M1827" s="11"/>
      <c r="N1827" s="11"/>
      <c r="O1827" s="11"/>
      <c r="P1827" s="11"/>
      <c r="Q1827" s="11"/>
      <c r="R1827" s="11"/>
      <c r="S1827" s="11"/>
      <c r="T1827" s="11"/>
      <c r="U1827" s="11"/>
      <c r="V1827" s="11"/>
      <c r="W1827" s="11"/>
      <c r="X1827" s="11"/>
      <c r="Y1827" s="11"/>
      <c r="Z1827" s="11"/>
      <c r="AA1827" s="11"/>
      <c r="AB1827" s="11"/>
      <c r="AC1827" s="11"/>
    </row>
    <row r="1828" spans="1:29" x14ac:dyDescent="0.3">
      <c r="A1828" s="11"/>
      <c r="B1828" s="11"/>
      <c r="C1828" s="11"/>
      <c r="D1828" s="11"/>
      <c r="E1828" s="11"/>
      <c r="F1828" s="11"/>
      <c r="G1828" s="11"/>
      <c r="H1828" s="11"/>
      <c r="I1828" s="11"/>
      <c r="J1828" s="11"/>
      <c r="K1828" s="11"/>
      <c r="L1828" s="11"/>
      <c r="M1828" s="11"/>
      <c r="N1828" s="11"/>
      <c r="O1828" s="11"/>
      <c r="P1828" s="11"/>
      <c r="Q1828" s="11"/>
      <c r="R1828" s="11"/>
      <c r="S1828" s="11"/>
      <c r="T1828" s="11"/>
      <c r="U1828" s="11"/>
      <c r="V1828" s="11"/>
      <c r="W1828" s="11"/>
      <c r="X1828" s="11"/>
      <c r="Y1828" s="11"/>
      <c r="Z1828" s="11"/>
      <c r="AA1828" s="11"/>
      <c r="AB1828" s="11"/>
      <c r="AC1828" s="11"/>
    </row>
    <row r="1829" spans="1:29" x14ac:dyDescent="0.3">
      <c r="A1829" s="11"/>
      <c r="B1829" s="11"/>
      <c r="C1829" s="11"/>
      <c r="D1829" s="11"/>
      <c r="E1829" s="11"/>
      <c r="F1829" s="11"/>
      <c r="G1829" s="11"/>
      <c r="H1829" s="11"/>
      <c r="I1829" s="11"/>
      <c r="J1829" s="11"/>
      <c r="K1829" s="11"/>
      <c r="L1829" s="11"/>
      <c r="M1829" s="11"/>
      <c r="N1829" s="11"/>
      <c r="O1829" s="11"/>
      <c r="P1829" s="11"/>
      <c r="Q1829" s="11"/>
      <c r="R1829" s="11"/>
      <c r="S1829" s="11"/>
      <c r="T1829" s="11"/>
      <c r="U1829" s="11"/>
      <c r="V1829" s="11"/>
      <c r="W1829" s="11"/>
      <c r="X1829" s="11"/>
      <c r="Y1829" s="11"/>
      <c r="Z1829" s="11"/>
      <c r="AA1829" s="11"/>
      <c r="AB1829" s="11"/>
      <c r="AC1829" s="11"/>
    </row>
    <row r="1830" spans="1:29" x14ac:dyDescent="0.3">
      <c r="A1830" s="11"/>
      <c r="B1830" s="11"/>
      <c r="C1830" s="11"/>
      <c r="D1830" s="11"/>
      <c r="E1830" s="11"/>
      <c r="F1830" s="11"/>
      <c r="G1830" s="11"/>
      <c r="H1830" s="11"/>
      <c r="I1830" s="11"/>
      <c r="J1830" s="11"/>
      <c r="K1830" s="11"/>
      <c r="L1830" s="11"/>
      <c r="M1830" s="11"/>
      <c r="N1830" s="11"/>
      <c r="O1830" s="11"/>
      <c r="P1830" s="11"/>
      <c r="Q1830" s="11"/>
      <c r="R1830" s="11"/>
      <c r="S1830" s="11"/>
      <c r="T1830" s="11"/>
      <c r="U1830" s="11"/>
      <c r="V1830" s="11"/>
      <c r="W1830" s="11"/>
      <c r="X1830" s="11"/>
      <c r="Y1830" s="11"/>
      <c r="Z1830" s="11"/>
      <c r="AA1830" s="11"/>
      <c r="AB1830" s="11"/>
      <c r="AC1830" s="11"/>
    </row>
    <row r="1831" spans="1:29" x14ac:dyDescent="0.3">
      <c r="A1831" s="11"/>
      <c r="B1831" s="11"/>
      <c r="C1831" s="11"/>
      <c r="D1831" s="11"/>
      <c r="E1831" s="11"/>
      <c r="F1831" s="11"/>
      <c r="G1831" s="11"/>
      <c r="H1831" s="11"/>
      <c r="I1831" s="11"/>
      <c r="J1831" s="11"/>
      <c r="K1831" s="11"/>
      <c r="L1831" s="11"/>
      <c r="M1831" s="11"/>
      <c r="N1831" s="11"/>
      <c r="O1831" s="11"/>
      <c r="P1831" s="11"/>
      <c r="Q1831" s="11"/>
      <c r="R1831" s="11"/>
      <c r="S1831" s="11"/>
      <c r="T1831" s="11"/>
      <c r="U1831" s="11"/>
      <c r="V1831" s="11"/>
      <c r="W1831" s="11"/>
      <c r="X1831" s="11"/>
      <c r="Y1831" s="11"/>
      <c r="Z1831" s="11"/>
      <c r="AA1831" s="11"/>
      <c r="AB1831" s="11"/>
      <c r="AC1831" s="11"/>
    </row>
    <row r="1832" spans="1:29" x14ac:dyDescent="0.3">
      <c r="A1832" s="11"/>
      <c r="B1832" s="11"/>
      <c r="C1832" s="11"/>
      <c r="D1832" s="11"/>
      <c r="E1832" s="11"/>
      <c r="F1832" s="11"/>
      <c r="G1832" s="11"/>
      <c r="H1832" s="11"/>
      <c r="I1832" s="11"/>
      <c r="J1832" s="11"/>
      <c r="K1832" s="11"/>
      <c r="L1832" s="11"/>
      <c r="M1832" s="11"/>
      <c r="N1832" s="11"/>
      <c r="O1832" s="11"/>
      <c r="P1832" s="11"/>
      <c r="Q1832" s="11"/>
      <c r="R1832" s="11"/>
      <c r="S1832" s="11"/>
      <c r="T1832" s="11"/>
      <c r="U1832" s="11"/>
      <c r="V1832" s="11"/>
      <c r="W1832" s="11"/>
      <c r="X1832" s="11"/>
      <c r="Y1832" s="11"/>
      <c r="Z1832" s="11"/>
      <c r="AA1832" s="11"/>
      <c r="AB1832" s="11"/>
      <c r="AC1832" s="11"/>
    </row>
    <row r="1833" spans="1:29" x14ac:dyDescent="0.3">
      <c r="A1833" s="11"/>
      <c r="B1833" s="11"/>
      <c r="C1833" s="11"/>
      <c r="D1833" s="11"/>
      <c r="E1833" s="11"/>
      <c r="F1833" s="11"/>
      <c r="G1833" s="11"/>
      <c r="H1833" s="11"/>
      <c r="I1833" s="11"/>
      <c r="J1833" s="11"/>
      <c r="K1833" s="11"/>
      <c r="L1833" s="11"/>
      <c r="M1833" s="11"/>
      <c r="N1833" s="11"/>
      <c r="O1833" s="11"/>
      <c r="P1833" s="11"/>
      <c r="Q1833" s="11"/>
      <c r="R1833" s="11"/>
      <c r="S1833" s="11"/>
      <c r="T1833" s="11"/>
      <c r="U1833" s="11"/>
      <c r="V1833" s="11"/>
      <c r="W1833" s="11"/>
      <c r="X1833" s="11"/>
      <c r="Y1833" s="11"/>
      <c r="Z1833" s="11"/>
      <c r="AA1833" s="11"/>
      <c r="AB1833" s="11"/>
      <c r="AC1833" s="11"/>
    </row>
    <row r="1834" spans="1:29" x14ac:dyDescent="0.3">
      <c r="A1834" s="11"/>
      <c r="B1834" s="11"/>
      <c r="C1834" s="11"/>
      <c r="D1834" s="11"/>
      <c r="E1834" s="11"/>
      <c r="F1834" s="11"/>
      <c r="G1834" s="11"/>
      <c r="H1834" s="11"/>
      <c r="I1834" s="11"/>
      <c r="J1834" s="11"/>
      <c r="K1834" s="11"/>
      <c r="L1834" s="11"/>
      <c r="M1834" s="11"/>
      <c r="N1834" s="11"/>
      <c r="O1834" s="11"/>
      <c r="P1834" s="11"/>
      <c r="Q1834" s="11"/>
      <c r="R1834" s="11"/>
      <c r="S1834" s="11"/>
      <c r="T1834" s="11"/>
      <c r="U1834" s="11"/>
      <c r="V1834" s="11"/>
      <c r="W1834" s="11"/>
      <c r="X1834" s="11"/>
      <c r="Y1834" s="11"/>
      <c r="Z1834" s="11"/>
      <c r="AA1834" s="11"/>
      <c r="AB1834" s="11"/>
      <c r="AC1834" s="11"/>
    </row>
    <row r="1835" spans="1:29" x14ac:dyDescent="0.3">
      <c r="A1835" s="11"/>
      <c r="B1835" s="11"/>
      <c r="C1835" s="11"/>
      <c r="D1835" s="11"/>
      <c r="E1835" s="11"/>
      <c r="F1835" s="11"/>
      <c r="G1835" s="11"/>
      <c r="H1835" s="11"/>
      <c r="I1835" s="11"/>
      <c r="J1835" s="11"/>
      <c r="K1835" s="11"/>
      <c r="L1835" s="11"/>
      <c r="M1835" s="11"/>
      <c r="N1835" s="11"/>
      <c r="O1835" s="11"/>
      <c r="P1835" s="11"/>
      <c r="Q1835" s="11"/>
      <c r="R1835" s="11"/>
      <c r="S1835" s="11"/>
      <c r="T1835" s="11"/>
      <c r="U1835" s="11"/>
      <c r="V1835" s="11"/>
      <c r="W1835" s="11"/>
      <c r="X1835" s="11"/>
      <c r="Y1835" s="11"/>
      <c r="Z1835" s="11"/>
      <c r="AA1835" s="11"/>
      <c r="AB1835" s="11"/>
      <c r="AC1835" s="11"/>
    </row>
    <row r="1836" spans="1:29" x14ac:dyDescent="0.3">
      <c r="A1836" s="11"/>
      <c r="B1836" s="11"/>
      <c r="C1836" s="11"/>
      <c r="D1836" s="11"/>
      <c r="E1836" s="11"/>
      <c r="F1836" s="11"/>
      <c r="G1836" s="11"/>
      <c r="H1836" s="11"/>
      <c r="I1836" s="11"/>
      <c r="J1836" s="11"/>
      <c r="K1836" s="11"/>
      <c r="L1836" s="11"/>
      <c r="M1836" s="11"/>
      <c r="N1836" s="11"/>
      <c r="O1836" s="11"/>
      <c r="P1836" s="11"/>
      <c r="Q1836" s="11"/>
      <c r="R1836" s="11"/>
      <c r="S1836" s="11"/>
      <c r="T1836" s="11"/>
      <c r="U1836" s="11"/>
      <c r="V1836" s="11"/>
      <c r="W1836" s="11"/>
      <c r="X1836" s="11"/>
      <c r="Y1836" s="11"/>
      <c r="Z1836" s="11"/>
      <c r="AA1836" s="11"/>
      <c r="AB1836" s="11"/>
      <c r="AC1836" s="11"/>
    </row>
    <row r="1837" spans="1:29" x14ac:dyDescent="0.3">
      <c r="A1837" s="11"/>
      <c r="B1837" s="11"/>
      <c r="C1837" s="11"/>
      <c r="D1837" s="11"/>
      <c r="E1837" s="11"/>
      <c r="F1837" s="11"/>
      <c r="G1837" s="11"/>
      <c r="H1837" s="11"/>
      <c r="I1837" s="11"/>
      <c r="J1837" s="11"/>
      <c r="K1837" s="11"/>
      <c r="L1837" s="11"/>
      <c r="M1837" s="11"/>
      <c r="N1837" s="11"/>
      <c r="O1837" s="11"/>
      <c r="P1837" s="11"/>
      <c r="Q1837" s="11"/>
      <c r="R1837" s="11"/>
      <c r="S1837" s="11"/>
      <c r="T1837" s="11"/>
      <c r="U1837" s="11"/>
      <c r="V1837" s="11"/>
      <c r="W1837" s="11"/>
      <c r="X1837" s="11"/>
      <c r="Y1837" s="11"/>
      <c r="Z1837" s="11"/>
      <c r="AA1837" s="11"/>
      <c r="AB1837" s="11"/>
      <c r="AC1837" s="11"/>
    </row>
    <row r="1838" spans="1:29" x14ac:dyDescent="0.3">
      <c r="A1838" s="11"/>
      <c r="B1838" s="11"/>
      <c r="C1838" s="11"/>
      <c r="D1838" s="11"/>
      <c r="E1838" s="11"/>
      <c r="F1838" s="11"/>
      <c r="G1838" s="11"/>
      <c r="H1838" s="11"/>
      <c r="I1838" s="11"/>
      <c r="J1838" s="11"/>
      <c r="K1838" s="11"/>
      <c r="L1838" s="11"/>
      <c r="M1838" s="11"/>
      <c r="N1838" s="11"/>
      <c r="O1838" s="11"/>
      <c r="P1838" s="11"/>
      <c r="Q1838" s="11"/>
      <c r="R1838" s="11"/>
      <c r="S1838" s="11"/>
      <c r="T1838" s="11"/>
      <c r="U1838" s="11"/>
      <c r="V1838" s="11"/>
      <c r="W1838" s="11"/>
      <c r="X1838" s="11"/>
      <c r="Y1838" s="11"/>
      <c r="Z1838" s="11"/>
      <c r="AA1838" s="11"/>
      <c r="AB1838" s="11"/>
      <c r="AC1838" s="11"/>
    </row>
    <row r="1839" spans="1:29" x14ac:dyDescent="0.3">
      <c r="A1839" s="11"/>
      <c r="B1839" s="11"/>
      <c r="C1839" s="11"/>
      <c r="D1839" s="11"/>
      <c r="E1839" s="11"/>
      <c r="F1839" s="11"/>
      <c r="G1839" s="11"/>
      <c r="H1839" s="11"/>
      <c r="I1839" s="11"/>
      <c r="J1839" s="11"/>
      <c r="K1839" s="11"/>
      <c r="L1839" s="11"/>
      <c r="M1839" s="11"/>
      <c r="N1839" s="11"/>
      <c r="O1839" s="11"/>
      <c r="P1839" s="11"/>
      <c r="Q1839" s="11"/>
      <c r="R1839" s="11"/>
      <c r="S1839" s="11"/>
      <c r="T1839" s="11"/>
      <c r="U1839" s="11"/>
      <c r="V1839" s="11"/>
      <c r="W1839" s="11"/>
      <c r="X1839" s="11"/>
      <c r="Y1839" s="11"/>
      <c r="Z1839" s="11"/>
      <c r="AA1839" s="11"/>
      <c r="AB1839" s="11"/>
      <c r="AC1839" s="11"/>
    </row>
    <row r="1840" spans="1:29" x14ac:dyDescent="0.3">
      <c r="A1840" s="11"/>
      <c r="B1840" s="11"/>
      <c r="C1840" s="11"/>
      <c r="D1840" s="11"/>
      <c r="E1840" s="11"/>
      <c r="F1840" s="11"/>
      <c r="G1840" s="11"/>
      <c r="H1840" s="11"/>
      <c r="I1840" s="11"/>
      <c r="J1840" s="11"/>
      <c r="K1840" s="11"/>
      <c r="L1840" s="11"/>
      <c r="M1840" s="11"/>
      <c r="N1840" s="11"/>
      <c r="O1840" s="11"/>
      <c r="P1840" s="11"/>
      <c r="Q1840" s="11"/>
      <c r="R1840" s="11"/>
      <c r="S1840" s="11"/>
      <c r="T1840" s="11"/>
      <c r="U1840" s="11"/>
      <c r="V1840" s="11"/>
      <c r="W1840" s="11"/>
      <c r="X1840" s="11"/>
      <c r="Y1840" s="11"/>
      <c r="Z1840" s="11"/>
      <c r="AA1840" s="11"/>
      <c r="AB1840" s="11"/>
      <c r="AC1840" s="11"/>
    </row>
    <row r="1841" spans="1:29" x14ac:dyDescent="0.3">
      <c r="A1841" s="11"/>
      <c r="B1841" s="11"/>
      <c r="C1841" s="11"/>
      <c r="D1841" s="11"/>
      <c r="E1841" s="11"/>
      <c r="F1841" s="11"/>
      <c r="G1841" s="11"/>
      <c r="H1841" s="11"/>
      <c r="I1841" s="11"/>
      <c r="J1841" s="11"/>
      <c r="K1841" s="11"/>
      <c r="L1841" s="11"/>
      <c r="M1841" s="11"/>
      <c r="N1841" s="11"/>
      <c r="O1841" s="11"/>
      <c r="P1841" s="11"/>
      <c r="Q1841" s="11"/>
      <c r="R1841" s="11"/>
      <c r="S1841" s="11"/>
      <c r="T1841" s="11"/>
      <c r="U1841" s="11"/>
      <c r="V1841" s="11"/>
      <c r="W1841" s="11"/>
      <c r="X1841" s="11"/>
      <c r="Y1841" s="11"/>
      <c r="Z1841" s="11"/>
      <c r="AA1841" s="11"/>
      <c r="AB1841" s="11"/>
      <c r="AC1841" s="11"/>
    </row>
    <row r="1842" spans="1:29" x14ac:dyDescent="0.3">
      <c r="A1842" s="11"/>
      <c r="B1842" s="11"/>
      <c r="C1842" s="11"/>
      <c r="D1842" s="11"/>
      <c r="E1842" s="11"/>
      <c r="F1842" s="11"/>
      <c r="G1842" s="11"/>
      <c r="H1842" s="11"/>
      <c r="I1842" s="11"/>
      <c r="J1842" s="11"/>
      <c r="K1842" s="11"/>
      <c r="L1842" s="11"/>
      <c r="M1842" s="11"/>
      <c r="N1842" s="11"/>
      <c r="O1842" s="11"/>
      <c r="P1842" s="11"/>
      <c r="Q1842" s="11"/>
      <c r="R1842" s="11"/>
      <c r="S1842" s="11"/>
      <c r="T1842" s="11"/>
      <c r="U1842" s="11"/>
      <c r="V1842" s="11"/>
      <c r="W1842" s="11"/>
      <c r="X1842" s="11"/>
      <c r="Y1842" s="11"/>
      <c r="Z1842" s="11"/>
      <c r="AA1842" s="11"/>
      <c r="AB1842" s="11"/>
      <c r="AC1842" s="11"/>
    </row>
    <row r="1843" spans="1:29" x14ac:dyDescent="0.3">
      <c r="A1843" s="11"/>
      <c r="B1843" s="11"/>
      <c r="C1843" s="11"/>
      <c r="D1843" s="11"/>
      <c r="E1843" s="11"/>
      <c r="F1843" s="11"/>
      <c r="G1843" s="11"/>
      <c r="H1843" s="11"/>
      <c r="I1843" s="11"/>
      <c r="J1843" s="11"/>
      <c r="K1843" s="11"/>
      <c r="L1843" s="11"/>
      <c r="M1843" s="11"/>
      <c r="N1843" s="11"/>
      <c r="O1843" s="11"/>
      <c r="P1843" s="11"/>
      <c r="Q1843" s="11"/>
      <c r="R1843" s="11"/>
      <c r="S1843" s="11"/>
      <c r="T1843" s="11"/>
      <c r="U1843" s="11"/>
      <c r="V1843" s="11"/>
      <c r="W1843" s="11"/>
      <c r="X1843" s="11"/>
      <c r="Y1843" s="11"/>
      <c r="Z1843" s="11"/>
      <c r="AA1843" s="11"/>
      <c r="AB1843" s="11"/>
      <c r="AC1843" s="11"/>
    </row>
    <row r="1844" spans="1:29" x14ac:dyDescent="0.3">
      <c r="A1844" s="11"/>
      <c r="B1844" s="11"/>
      <c r="C1844" s="11"/>
      <c r="D1844" s="11"/>
      <c r="E1844" s="11"/>
      <c r="F1844" s="11"/>
      <c r="G1844" s="11"/>
      <c r="H1844" s="11"/>
      <c r="I1844" s="11"/>
      <c r="J1844" s="11"/>
      <c r="K1844" s="11"/>
      <c r="L1844" s="11"/>
      <c r="M1844" s="11"/>
      <c r="N1844" s="11"/>
      <c r="O1844" s="11"/>
      <c r="P1844" s="11"/>
      <c r="Q1844" s="11"/>
      <c r="R1844" s="11"/>
      <c r="S1844" s="11"/>
      <c r="T1844" s="11"/>
      <c r="U1844" s="11"/>
      <c r="V1844" s="11"/>
      <c r="W1844" s="11"/>
      <c r="X1844" s="11"/>
      <c r="Y1844" s="11"/>
      <c r="Z1844" s="11"/>
      <c r="AA1844" s="11"/>
      <c r="AB1844" s="11"/>
      <c r="AC1844" s="11"/>
    </row>
    <row r="1845" spans="1:29" x14ac:dyDescent="0.3">
      <c r="A1845" s="11"/>
      <c r="B1845" s="11"/>
      <c r="C1845" s="11"/>
      <c r="D1845" s="11"/>
      <c r="E1845" s="11"/>
      <c r="F1845" s="11"/>
      <c r="G1845" s="11"/>
      <c r="H1845" s="11"/>
      <c r="I1845" s="11"/>
      <c r="J1845" s="11"/>
      <c r="K1845" s="11"/>
      <c r="L1845" s="11"/>
      <c r="M1845" s="11"/>
      <c r="N1845" s="11"/>
      <c r="O1845" s="11"/>
      <c r="P1845" s="11"/>
      <c r="Q1845" s="11"/>
      <c r="R1845" s="11"/>
      <c r="S1845" s="11"/>
      <c r="T1845" s="11"/>
      <c r="U1845" s="11"/>
      <c r="V1845" s="11"/>
      <c r="W1845" s="11"/>
      <c r="X1845" s="11"/>
      <c r="Y1845" s="11"/>
      <c r="Z1845" s="11"/>
      <c r="AA1845" s="11"/>
      <c r="AB1845" s="11"/>
      <c r="AC1845" s="11"/>
    </row>
    <row r="1846" spans="1:29" x14ac:dyDescent="0.3">
      <c r="A1846" s="11"/>
      <c r="B1846" s="11"/>
      <c r="C1846" s="11"/>
      <c r="D1846" s="11"/>
      <c r="E1846" s="11"/>
      <c r="F1846" s="11"/>
      <c r="G1846" s="11"/>
      <c r="H1846" s="11"/>
      <c r="I1846" s="11"/>
      <c r="J1846" s="11"/>
      <c r="K1846" s="11"/>
      <c r="L1846" s="11"/>
      <c r="M1846" s="11"/>
      <c r="N1846" s="11"/>
      <c r="O1846" s="11"/>
      <c r="P1846" s="11"/>
      <c r="Q1846" s="11"/>
      <c r="R1846" s="11"/>
      <c r="S1846" s="11"/>
      <c r="T1846" s="11"/>
      <c r="U1846" s="11"/>
      <c r="V1846" s="11"/>
      <c r="W1846" s="11"/>
      <c r="X1846" s="11"/>
      <c r="Y1846" s="11"/>
      <c r="Z1846" s="11"/>
      <c r="AA1846" s="11"/>
      <c r="AB1846" s="11"/>
      <c r="AC1846" s="11"/>
    </row>
    <row r="1847" spans="1:29" x14ac:dyDescent="0.3">
      <c r="A1847" s="11"/>
      <c r="B1847" s="11"/>
      <c r="C1847" s="11"/>
      <c r="D1847" s="11"/>
      <c r="E1847" s="11"/>
      <c r="F1847" s="11"/>
      <c r="G1847" s="11"/>
      <c r="H1847" s="11"/>
      <c r="I1847" s="11"/>
      <c r="J1847" s="11"/>
      <c r="K1847" s="11"/>
      <c r="L1847" s="11"/>
      <c r="M1847" s="11"/>
      <c r="N1847" s="11"/>
      <c r="O1847" s="11"/>
      <c r="P1847" s="11"/>
      <c r="Q1847" s="11"/>
      <c r="R1847" s="11"/>
      <c r="S1847" s="11"/>
      <c r="T1847" s="11"/>
      <c r="U1847" s="11"/>
      <c r="V1847" s="11"/>
      <c r="W1847" s="11"/>
      <c r="X1847" s="11"/>
      <c r="Y1847" s="11"/>
      <c r="Z1847" s="11"/>
      <c r="AA1847" s="11"/>
      <c r="AB1847" s="11"/>
      <c r="AC1847" s="11"/>
    </row>
    <row r="1848" spans="1:29" x14ac:dyDescent="0.3">
      <c r="A1848" s="11"/>
      <c r="B1848" s="11"/>
      <c r="C1848" s="11"/>
      <c r="D1848" s="11"/>
      <c r="E1848" s="11"/>
      <c r="F1848" s="11"/>
      <c r="G1848" s="11"/>
      <c r="H1848" s="11"/>
      <c r="I1848" s="11"/>
      <c r="J1848" s="11"/>
      <c r="K1848" s="11"/>
      <c r="L1848" s="11"/>
      <c r="M1848" s="11"/>
      <c r="N1848" s="11"/>
      <c r="O1848" s="11"/>
      <c r="P1848" s="11"/>
      <c r="Q1848" s="11"/>
      <c r="R1848" s="11"/>
      <c r="S1848" s="11"/>
      <c r="T1848" s="11"/>
      <c r="U1848" s="11"/>
      <c r="V1848" s="11"/>
      <c r="W1848" s="11"/>
      <c r="X1848" s="11"/>
      <c r="Y1848" s="11"/>
      <c r="Z1848" s="11"/>
      <c r="AA1848" s="11"/>
      <c r="AB1848" s="11"/>
      <c r="AC1848" s="11"/>
    </row>
    <row r="1849" spans="1:29" x14ac:dyDescent="0.3">
      <c r="A1849" s="11"/>
      <c r="B1849" s="11"/>
      <c r="C1849" s="11"/>
      <c r="D1849" s="11"/>
      <c r="E1849" s="11"/>
      <c r="F1849" s="11"/>
      <c r="G1849" s="11"/>
      <c r="H1849" s="11"/>
      <c r="I1849" s="11"/>
      <c r="J1849" s="11"/>
      <c r="K1849" s="11"/>
      <c r="L1849" s="11"/>
      <c r="M1849" s="11"/>
      <c r="N1849" s="11"/>
      <c r="O1849" s="11"/>
      <c r="P1849" s="11"/>
      <c r="Q1849" s="11"/>
      <c r="R1849" s="11"/>
      <c r="S1849" s="11"/>
      <c r="T1849" s="11"/>
      <c r="U1849" s="11"/>
      <c r="V1849" s="11"/>
      <c r="W1849" s="11"/>
      <c r="X1849" s="11"/>
      <c r="Y1849" s="11"/>
      <c r="Z1849" s="11"/>
      <c r="AA1849" s="11"/>
      <c r="AB1849" s="11"/>
      <c r="AC1849" s="11"/>
    </row>
    <row r="1850" spans="1:29" x14ac:dyDescent="0.3">
      <c r="A1850" s="11"/>
      <c r="B1850" s="11"/>
      <c r="C1850" s="11"/>
      <c r="D1850" s="11"/>
      <c r="E1850" s="11"/>
      <c r="F1850" s="11"/>
      <c r="G1850" s="11"/>
      <c r="H1850" s="11"/>
      <c r="I1850" s="11"/>
      <c r="J1850" s="11"/>
      <c r="K1850" s="11"/>
      <c r="L1850" s="11"/>
      <c r="M1850" s="11"/>
      <c r="N1850" s="11"/>
      <c r="O1850" s="11"/>
      <c r="P1850" s="11"/>
      <c r="Q1850" s="11"/>
      <c r="R1850" s="11"/>
      <c r="S1850" s="11"/>
      <c r="T1850" s="11"/>
      <c r="U1850" s="11"/>
      <c r="V1850" s="11"/>
      <c r="W1850" s="11"/>
      <c r="X1850" s="11"/>
      <c r="Y1850" s="11"/>
      <c r="Z1850" s="11"/>
      <c r="AA1850" s="11"/>
      <c r="AB1850" s="11"/>
      <c r="AC1850" s="11"/>
    </row>
    <row r="1851" spans="1:29" x14ac:dyDescent="0.3">
      <c r="A1851" s="11"/>
      <c r="B1851" s="11"/>
      <c r="C1851" s="11"/>
      <c r="D1851" s="11"/>
      <c r="E1851" s="11"/>
      <c r="F1851" s="11"/>
      <c r="G1851" s="11"/>
      <c r="H1851" s="11"/>
      <c r="I1851" s="11"/>
      <c r="J1851" s="11"/>
      <c r="K1851" s="11"/>
      <c r="L1851" s="11"/>
      <c r="M1851" s="11"/>
      <c r="N1851" s="11"/>
      <c r="O1851" s="11"/>
      <c r="P1851" s="11"/>
      <c r="Q1851" s="11"/>
      <c r="R1851" s="11"/>
      <c r="S1851" s="11"/>
      <c r="T1851" s="11"/>
      <c r="U1851" s="11"/>
      <c r="V1851" s="11"/>
      <c r="W1851" s="11"/>
      <c r="X1851" s="11"/>
      <c r="Y1851" s="11"/>
      <c r="Z1851" s="11"/>
      <c r="AA1851" s="11"/>
      <c r="AB1851" s="11"/>
      <c r="AC1851" s="11"/>
    </row>
    <row r="1852" spans="1:29" x14ac:dyDescent="0.3">
      <c r="A1852" s="11"/>
      <c r="B1852" s="11"/>
      <c r="C1852" s="11"/>
      <c r="D1852" s="11"/>
      <c r="E1852" s="11"/>
      <c r="F1852" s="11"/>
      <c r="G1852" s="11"/>
      <c r="H1852" s="11"/>
      <c r="I1852" s="11"/>
      <c r="J1852" s="11"/>
      <c r="K1852" s="11"/>
      <c r="L1852" s="11"/>
      <c r="M1852" s="11"/>
      <c r="N1852" s="11"/>
      <c r="O1852" s="11"/>
      <c r="P1852" s="11"/>
      <c r="Q1852" s="11"/>
      <c r="R1852" s="11"/>
      <c r="S1852" s="11"/>
      <c r="T1852" s="11"/>
      <c r="U1852" s="11"/>
      <c r="V1852" s="11"/>
      <c r="W1852" s="11"/>
      <c r="X1852" s="11"/>
      <c r="Y1852" s="11"/>
      <c r="Z1852" s="11"/>
      <c r="AA1852" s="11"/>
      <c r="AB1852" s="11"/>
      <c r="AC1852" s="11"/>
    </row>
    <row r="1853" spans="1:29" x14ac:dyDescent="0.3">
      <c r="A1853" s="11"/>
      <c r="B1853" s="11"/>
      <c r="C1853" s="11"/>
      <c r="D1853" s="11"/>
      <c r="E1853" s="11"/>
      <c r="F1853" s="11"/>
      <c r="G1853" s="11"/>
      <c r="H1853" s="11"/>
      <c r="I1853" s="11"/>
      <c r="J1853" s="11"/>
      <c r="K1853" s="11"/>
      <c r="L1853" s="11"/>
      <c r="M1853" s="11"/>
      <c r="N1853" s="11"/>
      <c r="O1853" s="11"/>
      <c r="P1853" s="11"/>
      <c r="Q1853" s="11"/>
      <c r="R1853" s="11"/>
      <c r="S1853" s="11"/>
      <c r="T1853" s="11"/>
      <c r="U1853" s="11"/>
      <c r="V1853" s="11"/>
      <c r="W1853" s="11"/>
      <c r="X1853" s="11"/>
      <c r="Y1853" s="11"/>
      <c r="Z1853" s="11"/>
      <c r="AA1853" s="11"/>
      <c r="AB1853" s="11"/>
      <c r="AC1853" s="11"/>
    </row>
    <row r="1854" spans="1:29" x14ac:dyDescent="0.3">
      <c r="A1854" s="11"/>
      <c r="B1854" s="11"/>
      <c r="C1854" s="11"/>
      <c r="D1854" s="11"/>
      <c r="E1854" s="11"/>
      <c r="F1854" s="11"/>
      <c r="G1854" s="11"/>
      <c r="H1854" s="11"/>
      <c r="I1854" s="11"/>
      <c r="J1854" s="11"/>
      <c r="K1854" s="11"/>
      <c r="L1854" s="11"/>
      <c r="M1854" s="11"/>
      <c r="N1854" s="11"/>
      <c r="O1854" s="11"/>
      <c r="P1854" s="11"/>
      <c r="Q1854" s="11"/>
      <c r="R1854" s="11"/>
      <c r="S1854" s="11"/>
      <c r="T1854" s="11"/>
      <c r="U1854" s="11"/>
      <c r="V1854" s="11"/>
      <c r="W1854" s="11"/>
      <c r="X1854" s="11"/>
      <c r="Y1854" s="11"/>
      <c r="Z1854" s="11"/>
      <c r="AA1854" s="11"/>
      <c r="AB1854" s="11"/>
      <c r="AC1854" s="11"/>
    </row>
    <row r="1855" spans="1:29" x14ac:dyDescent="0.3">
      <c r="A1855" s="11"/>
      <c r="B1855" s="11"/>
      <c r="C1855" s="11"/>
      <c r="D1855" s="11"/>
      <c r="E1855" s="11"/>
      <c r="F1855" s="11"/>
      <c r="G1855" s="11"/>
      <c r="H1855" s="11"/>
      <c r="I1855" s="11"/>
      <c r="J1855" s="11"/>
      <c r="K1855" s="11"/>
      <c r="L1855" s="11"/>
      <c r="M1855" s="11"/>
      <c r="N1855" s="11"/>
      <c r="O1855" s="11"/>
      <c r="P1855" s="11"/>
      <c r="Q1855" s="11"/>
      <c r="R1855" s="11"/>
      <c r="S1855" s="11"/>
      <c r="T1855" s="11"/>
      <c r="U1855" s="11"/>
      <c r="V1855" s="11"/>
      <c r="W1855" s="11"/>
      <c r="X1855" s="11"/>
      <c r="Y1855" s="11"/>
      <c r="Z1855" s="11"/>
      <c r="AA1855" s="11"/>
      <c r="AB1855" s="11"/>
      <c r="AC1855" s="11"/>
    </row>
    <row r="1856" spans="1:29" x14ac:dyDescent="0.3">
      <c r="A1856" s="11"/>
      <c r="B1856" s="11"/>
      <c r="C1856" s="11"/>
      <c r="D1856" s="11"/>
      <c r="E1856" s="11"/>
      <c r="F1856" s="11"/>
      <c r="G1856" s="11"/>
      <c r="H1856" s="11"/>
      <c r="I1856" s="11"/>
      <c r="J1856" s="11"/>
      <c r="K1856" s="11"/>
      <c r="L1856" s="11"/>
      <c r="M1856" s="11"/>
      <c r="N1856" s="11"/>
      <c r="O1856" s="11"/>
      <c r="P1856" s="11"/>
      <c r="Q1856" s="11"/>
      <c r="R1856" s="11"/>
      <c r="S1856" s="11"/>
      <c r="T1856" s="11"/>
      <c r="U1856" s="11"/>
      <c r="V1856" s="11"/>
      <c r="W1856" s="11"/>
      <c r="X1856" s="11"/>
      <c r="Y1856" s="11"/>
      <c r="Z1856" s="11"/>
      <c r="AA1856" s="11"/>
      <c r="AB1856" s="11"/>
      <c r="AC1856" s="11"/>
    </row>
    <row r="1857" spans="1:29" x14ac:dyDescent="0.3">
      <c r="A1857" s="11"/>
      <c r="B1857" s="11"/>
      <c r="C1857" s="11"/>
      <c r="D1857" s="11"/>
      <c r="E1857" s="11"/>
      <c r="F1857" s="11"/>
      <c r="G1857" s="11"/>
      <c r="H1857" s="11"/>
      <c r="I1857" s="11"/>
      <c r="J1857" s="11"/>
      <c r="K1857" s="11"/>
      <c r="L1857" s="11"/>
      <c r="M1857" s="11"/>
      <c r="N1857" s="11"/>
      <c r="O1857" s="11"/>
      <c r="P1857" s="11"/>
      <c r="Q1857" s="11"/>
      <c r="R1857" s="11"/>
      <c r="S1857" s="11"/>
      <c r="T1857" s="11"/>
      <c r="U1857" s="11"/>
      <c r="V1857" s="11"/>
      <c r="W1857" s="11"/>
      <c r="X1857" s="11"/>
      <c r="Y1857" s="11"/>
      <c r="Z1857" s="11"/>
      <c r="AA1857" s="11"/>
      <c r="AB1857" s="11"/>
      <c r="AC1857" s="11"/>
    </row>
    <row r="1858" spans="1:29" x14ac:dyDescent="0.3">
      <c r="A1858" s="11"/>
      <c r="B1858" s="11"/>
      <c r="C1858" s="11"/>
      <c r="D1858" s="11"/>
      <c r="E1858" s="11"/>
      <c r="F1858" s="11"/>
      <c r="G1858" s="11"/>
      <c r="H1858" s="11"/>
      <c r="I1858" s="11"/>
      <c r="J1858" s="11"/>
      <c r="K1858" s="11"/>
      <c r="L1858" s="11"/>
      <c r="M1858" s="11"/>
      <c r="N1858" s="11"/>
      <c r="O1858" s="11"/>
      <c r="P1858" s="11"/>
      <c r="Q1858" s="11"/>
      <c r="R1858" s="11"/>
      <c r="S1858" s="11"/>
      <c r="T1858" s="11"/>
      <c r="U1858" s="11"/>
      <c r="V1858" s="11"/>
      <c r="W1858" s="11"/>
      <c r="X1858" s="11"/>
      <c r="Y1858" s="11"/>
      <c r="Z1858" s="11"/>
      <c r="AA1858" s="11"/>
      <c r="AB1858" s="11"/>
      <c r="AC1858" s="11"/>
    </row>
    <row r="1859" spans="1:29" x14ac:dyDescent="0.3">
      <c r="A1859" s="11"/>
      <c r="B1859" s="11"/>
      <c r="C1859" s="11"/>
      <c r="D1859" s="11"/>
      <c r="E1859" s="11"/>
      <c r="F1859" s="11"/>
      <c r="G1859" s="11"/>
      <c r="H1859" s="11"/>
      <c r="I1859" s="11"/>
      <c r="J1859" s="11"/>
      <c r="K1859" s="11"/>
      <c r="L1859" s="11"/>
      <c r="M1859" s="11"/>
      <c r="N1859" s="11"/>
      <c r="O1859" s="11"/>
      <c r="P1859" s="11"/>
      <c r="Q1859" s="11"/>
      <c r="R1859" s="11"/>
      <c r="S1859" s="11"/>
      <c r="T1859" s="11"/>
      <c r="U1859" s="11"/>
      <c r="V1859" s="11"/>
      <c r="W1859" s="11"/>
      <c r="X1859" s="11"/>
      <c r="Y1859" s="11"/>
      <c r="Z1859" s="11"/>
      <c r="AA1859" s="11"/>
      <c r="AB1859" s="11"/>
      <c r="AC1859" s="11"/>
    </row>
    <row r="1860" spans="1:29" x14ac:dyDescent="0.3">
      <c r="A1860" s="11"/>
      <c r="B1860" s="11"/>
      <c r="C1860" s="11"/>
      <c r="D1860" s="11"/>
      <c r="E1860" s="11"/>
      <c r="F1860" s="11"/>
      <c r="G1860" s="11"/>
      <c r="H1860" s="11"/>
      <c r="I1860" s="11"/>
      <c r="J1860" s="11"/>
      <c r="K1860" s="11"/>
      <c r="L1860" s="11"/>
      <c r="M1860" s="11"/>
      <c r="N1860" s="11"/>
      <c r="O1860" s="11"/>
      <c r="P1860" s="11"/>
      <c r="Q1860" s="11"/>
      <c r="R1860" s="11"/>
      <c r="S1860" s="11"/>
      <c r="T1860" s="11"/>
      <c r="U1860" s="11"/>
      <c r="V1860" s="11"/>
      <c r="W1860" s="11"/>
      <c r="X1860" s="11"/>
      <c r="Y1860" s="11"/>
      <c r="Z1860" s="11"/>
      <c r="AA1860" s="11"/>
      <c r="AB1860" s="11"/>
      <c r="AC1860" s="11"/>
    </row>
    <row r="1861" spans="1:29" x14ac:dyDescent="0.3">
      <c r="A1861" s="11"/>
      <c r="B1861" s="11"/>
      <c r="C1861" s="11"/>
      <c r="D1861" s="11"/>
      <c r="E1861" s="11"/>
      <c r="F1861" s="11"/>
      <c r="G1861" s="11"/>
      <c r="H1861" s="11"/>
      <c r="I1861" s="11"/>
      <c r="J1861" s="11"/>
      <c r="K1861" s="11"/>
      <c r="L1861" s="11"/>
      <c r="M1861" s="11"/>
      <c r="N1861" s="11"/>
      <c r="O1861" s="11"/>
      <c r="P1861" s="11"/>
      <c r="Q1861" s="11"/>
      <c r="R1861" s="11"/>
      <c r="S1861" s="11"/>
      <c r="T1861" s="11"/>
      <c r="U1861" s="11"/>
      <c r="V1861" s="11"/>
      <c r="W1861" s="11"/>
      <c r="X1861" s="11"/>
      <c r="Y1861" s="11"/>
      <c r="Z1861" s="11"/>
      <c r="AA1861" s="11"/>
      <c r="AB1861" s="11"/>
      <c r="AC1861" s="11"/>
    </row>
    <row r="1862" spans="1:29" x14ac:dyDescent="0.3">
      <c r="A1862" s="11"/>
      <c r="B1862" s="11"/>
      <c r="C1862" s="11"/>
      <c r="D1862" s="11"/>
      <c r="E1862" s="11"/>
      <c r="F1862" s="11"/>
      <c r="G1862" s="11"/>
      <c r="H1862" s="11"/>
      <c r="I1862" s="11"/>
      <c r="J1862" s="11"/>
      <c r="K1862" s="11"/>
      <c r="L1862" s="11"/>
      <c r="M1862" s="11"/>
      <c r="N1862" s="11"/>
      <c r="O1862" s="11"/>
      <c r="P1862" s="11"/>
      <c r="Q1862" s="11"/>
      <c r="R1862" s="11"/>
      <c r="S1862" s="11"/>
      <c r="T1862" s="11"/>
      <c r="U1862" s="11"/>
      <c r="V1862" s="11"/>
      <c r="W1862" s="11"/>
      <c r="X1862" s="11"/>
      <c r="Y1862" s="11"/>
      <c r="Z1862" s="11"/>
      <c r="AA1862" s="11"/>
      <c r="AB1862" s="11"/>
      <c r="AC1862" s="11"/>
    </row>
    <row r="1863" spans="1:29" x14ac:dyDescent="0.3">
      <c r="A1863" s="11"/>
      <c r="B1863" s="11"/>
      <c r="C1863" s="11"/>
      <c r="D1863" s="11"/>
      <c r="E1863" s="11"/>
      <c r="F1863" s="11"/>
      <c r="G1863" s="11"/>
      <c r="H1863" s="11"/>
      <c r="I1863" s="11"/>
      <c r="J1863" s="11"/>
      <c r="K1863" s="11"/>
      <c r="L1863" s="11"/>
      <c r="M1863" s="11"/>
      <c r="N1863" s="11"/>
      <c r="O1863" s="11"/>
      <c r="P1863" s="11"/>
      <c r="Q1863" s="11"/>
      <c r="R1863" s="11"/>
      <c r="S1863" s="11"/>
      <c r="T1863" s="11"/>
      <c r="U1863" s="11"/>
      <c r="V1863" s="11"/>
      <c r="W1863" s="11"/>
      <c r="X1863" s="11"/>
      <c r="Y1863" s="11"/>
      <c r="Z1863" s="11"/>
      <c r="AA1863" s="11"/>
      <c r="AB1863" s="11"/>
      <c r="AC1863" s="11"/>
    </row>
    <row r="1864" spans="1:29" x14ac:dyDescent="0.3">
      <c r="A1864" s="11"/>
      <c r="B1864" s="11"/>
      <c r="C1864" s="11"/>
      <c r="D1864" s="11"/>
      <c r="E1864" s="11"/>
      <c r="F1864" s="11"/>
      <c r="G1864" s="11"/>
      <c r="H1864" s="11"/>
      <c r="I1864" s="11"/>
      <c r="J1864" s="11"/>
      <c r="K1864" s="11"/>
      <c r="L1864" s="11"/>
      <c r="M1864" s="11"/>
      <c r="N1864" s="11"/>
      <c r="O1864" s="11"/>
      <c r="P1864" s="11"/>
      <c r="Q1864" s="11"/>
      <c r="R1864" s="11"/>
      <c r="S1864" s="11"/>
      <c r="T1864" s="11"/>
      <c r="U1864" s="11"/>
      <c r="V1864" s="11"/>
      <c r="W1864" s="11"/>
      <c r="X1864" s="11"/>
      <c r="Y1864" s="11"/>
      <c r="Z1864" s="11"/>
      <c r="AA1864" s="11"/>
      <c r="AB1864" s="11"/>
      <c r="AC1864" s="11"/>
    </row>
    <row r="1865" spans="1:29" x14ac:dyDescent="0.3">
      <c r="A1865" s="11"/>
      <c r="B1865" s="11"/>
      <c r="C1865" s="11"/>
      <c r="D1865" s="11"/>
      <c r="E1865" s="11"/>
      <c r="F1865" s="11"/>
      <c r="G1865" s="11"/>
      <c r="H1865" s="11"/>
      <c r="I1865" s="11"/>
      <c r="J1865" s="11"/>
      <c r="K1865" s="11"/>
      <c r="L1865" s="11"/>
      <c r="M1865" s="11"/>
      <c r="N1865" s="11"/>
      <c r="O1865" s="11"/>
      <c r="P1865" s="11"/>
      <c r="Q1865" s="11"/>
      <c r="R1865" s="11"/>
      <c r="S1865" s="11"/>
      <c r="T1865" s="11"/>
      <c r="U1865" s="11"/>
      <c r="V1865" s="11"/>
      <c r="W1865" s="11"/>
      <c r="X1865" s="11"/>
      <c r="Y1865" s="11"/>
      <c r="Z1865" s="11"/>
      <c r="AA1865" s="11"/>
      <c r="AB1865" s="11"/>
      <c r="AC1865" s="11"/>
    </row>
    <row r="1866" spans="1:29" x14ac:dyDescent="0.3">
      <c r="A1866" s="11"/>
      <c r="B1866" s="11"/>
      <c r="C1866" s="11"/>
      <c r="D1866" s="11"/>
      <c r="E1866" s="11"/>
      <c r="F1866" s="11"/>
      <c r="G1866" s="11"/>
      <c r="H1866" s="11"/>
      <c r="I1866" s="11"/>
      <c r="J1866" s="11"/>
      <c r="K1866" s="11"/>
      <c r="L1866" s="11"/>
      <c r="M1866" s="11"/>
      <c r="N1866" s="11"/>
      <c r="O1866" s="11"/>
      <c r="P1866" s="11"/>
      <c r="Q1866" s="11"/>
      <c r="R1866" s="11"/>
      <c r="S1866" s="11"/>
      <c r="T1866" s="11"/>
      <c r="U1866" s="11"/>
      <c r="V1866" s="11"/>
      <c r="W1866" s="11"/>
      <c r="X1866" s="11"/>
      <c r="Y1866" s="11"/>
      <c r="Z1866" s="11"/>
      <c r="AA1866" s="11"/>
      <c r="AB1866" s="11"/>
      <c r="AC1866" s="11"/>
    </row>
    <row r="1867" spans="1:29" x14ac:dyDescent="0.3">
      <c r="A1867" s="11"/>
      <c r="B1867" s="11"/>
      <c r="C1867" s="11"/>
      <c r="D1867" s="11"/>
      <c r="E1867" s="11"/>
      <c r="F1867" s="11"/>
      <c r="G1867" s="11"/>
      <c r="H1867" s="11"/>
      <c r="I1867" s="11"/>
      <c r="J1867" s="11"/>
      <c r="K1867" s="11"/>
      <c r="L1867" s="11"/>
      <c r="M1867" s="11"/>
      <c r="N1867" s="11"/>
      <c r="O1867" s="11"/>
      <c r="P1867" s="11"/>
      <c r="Q1867" s="11"/>
      <c r="R1867" s="11"/>
      <c r="S1867" s="11"/>
      <c r="T1867" s="11"/>
      <c r="U1867" s="11"/>
      <c r="V1867" s="11"/>
      <c r="W1867" s="11"/>
      <c r="X1867" s="11"/>
      <c r="Y1867" s="11"/>
      <c r="Z1867" s="11"/>
      <c r="AA1867" s="11"/>
      <c r="AB1867" s="11"/>
      <c r="AC1867" s="11"/>
    </row>
    <row r="1868" spans="1:29" x14ac:dyDescent="0.3">
      <c r="A1868" s="11"/>
      <c r="B1868" s="11"/>
      <c r="C1868" s="11"/>
      <c r="D1868" s="11"/>
      <c r="E1868" s="11"/>
      <c r="F1868" s="11"/>
      <c r="G1868" s="11"/>
      <c r="H1868" s="11"/>
      <c r="I1868" s="11"/>
      <c r="J1868" s="11"/>
      <c r="K1868" s="11"/>
      <c r="L1868" s="11"/>
      <c r="M1868" s="11"/>
      <c r="N1868" s="11"/>
      <c r="O1868" s="11"/>
      <c r="P1868" s="11"/>
      <c r="Q1868" s="11"/>
      <c r="R1868" s="11"/>
      <c r="S1868" s="11"/>
      <c r="T1868" s="11"/>
      <c r="U1868" s="11"/>
      <c r="V1868" s="11"/>
      <c r="W1868" s="11"/>
      <c r="X1868" s="11"/>
      <c r="Y1868" s="11"/>
      <c r="Z1868" s="11"/>
      <c r="AA1868" s="11"/>
      <c r="AB1868" s="11"/>
      <c r="AC1868" s="11"/>
    </row>
    <row r="1869" spans="1:29" x14ac:dyDescent="0.3">
      <c r="A1869" s="11"/>
      <c r="B1869" s="11"/>
      <c r="C1869" s="11"/>
      <c r="D1869" s="11"/>
      <c r="E1869" s="11"/>
      <c r="F1869" s="11"/>
      <c r="G1869" s="11"/>
      <c r="H1869" s="11"/>
      <c r="I1869" s="11"/>
      <c r="J1869" s="11"/>
      <c r="K1869" s="11"/>
      <c r="L1869" s="11"/>
      <c r="M1869" s="11"/>
      <c r="N1869" s="11"/>
      <c r="O1869" s="11"/>
      <c r="P1869" s="11"/>
      <c r="Q1869" s="11"/>
      <c r="R1869" s="11"/>
      <c r="S1869" s="11"/>
      <c r="T1869" s="11"/>
      <c r="U1869" s="11"/>
      <c r="V1869" s="11"/>
      <c r="W1869" s="11"/>
      <c r="X1869" s="11"/>
      <c r="Y1869" s="11"/>
      <c r="Z1869" s="11"/>
      <c r="AA1869" s="11"/>
      <c r="AB1869" s="11"/>
      <c r="AC1869" s="11"/>
    </row>
    <row r="1870" spans="1:29" x14ac:dyDescent="0.3">
      <c r="A1870" s="11"/>
      <c r="B1870" s="11"/>
      <c r="C1870" s="11"/>
      <c r="D1870" s="11"/>
      <c r="E1870" s="11"/>
      <c r="F1870" s="11"/>
      <c r="G1870" s="11"/>
      <c r="H1870" s="11"/>
      <c r="I1870" s="11"/>
      <c r="J1870" s="11"/>
      <c r="K1870" s="11"/>
      <c r="L1870" s="11"/>
      <c r="M1870" s="11"/>
      <c r="N1870" s="11"/>
      <c r="O1870" s="11"/>
      <c r="P1870" s="11"/>
      <c r="Q1870" s="11"/>
      <c r="R1870" s="11"/>
      <c r="S1870" s="11"/>
      <c r="T1870" s="11"/>
      <c r="U1870" s="11"/>
      <c r="V1870" s="11"/>
      <c r="W1870" s="11"/>
      <c r="X1870" s="11"/>
      <c r="Y1870" s="11"/>
      <c r="Z1870" s="11"/>
      <c r="AA1870" s="11"/>
      <c r="AB1870" s="11"/>
      <c r="AC1870" s="11"/>
    </row>
    <row r="1871" spans="1:29" x14ac:dyDescent="0.3">
      <c r="A1871" s="11"/>
      <c r="B1871" s="11"/>
      <c r="C1871" s="11"/>
      <c r="D1871" s="11"/>
      <c r="E1871" s="11"/>
      <c r="F1871" s="11"/>
      <c r="G1871" s="11"/>
      <c r="H1871" s="11"/>
      <c r="I1871" s="11"/>
      <c r="J1871" s="11"/>
      <c r="K1871" s="11"/>
      <c r="L1871" s="11"/>
      <c r="M1871" s="11"/>
      <c r="N1871" s="11"/>
      <c r="O1871" s="11"/>
      <c r="P1871" s="11"/>
      <c r="Q1871" s="11"/>
      <c r="R1871" s="11"/>
      <c r="S1871" s="11"/>
      <c r="T1871" s="11"/>
      <c r="U1871" s="11"/>
      <c r="V1871" s="11"/>
      <c r="W1871" s="11"/>
      <c r="X1871" s="11"/>
      <c r="Y1871" s="11"/>
      <c r="Z1871" s="11"/>
      <c r="AA1871" s="11"/>
      <c r="AB1871" s="11"/>
      <c r="AC1871" s="11"/>
    </row>
    <row r="1872" spans="1:29" x14ac:dyDescent="0.3">
      <c r="A1872" s="11"/>
      <c r="B1872" s="11"/>
      <c r="C1872" s="11"/>
      <c r="D1872" s="11"/>
      <c r="E1872" s="11"/>
      <c r="F1872" s="11"/>
      <c r="G1872" s="11"/>
      <c r="H1872" s="11"/>
      <c r="I1872" s="11"/>
      <c r="J1872" s="11"/>
      <c r="K1872" s="11"/>
      <c r="L1872" s="11"/>
      <c r="M1872" s="11"/>
      <c r="N1872" s="11"/>
      <c r="O1872" s="11"/>
      <c r="P1872" s="11"/>
      <c r="Q1872" s="11"/>
      <c r="R1872" s="11"/>
      <c r="S1872" s="11"/>
      <c r="T1872" s="11"/>
      <c r="U1872" s="11"/>
      <c r="V1872" s="11"/>
      <c r="W1872" s="11"/>
      <c r="X1872" s="11"/>
      <c r="Y1872" s="11"/>
      <c r="Z1872" s="11"/>
      <c r="AA1872" s="11"/>
      <c r="AB1872" s="11"/>
      <c r="AC1872" s="11"/>
    </row>
    <row r="1873" spans="1:29" x14ac:dyDescent="0.3">
      <c r="A1873" s="11"/>
      <c r="B1873" s="11"/>
      <c r="C1873" s="11"/>
      <c r="D1873" s="11"/>
      <c r="E1873" s="11"/>
      <c r="F1873" s="11"/>
      <c r="G1873" s="11"/>
      <c r="H1873" s="11"/>
      <c r="I1873" s="11"/>
      <c r="J1873" s="11"/>
      <c r="K1873" s="11"/>
      <c r="L1873" s="11"/>
      <c r="M1873" s="11"/>
      <c r="N1873" s="11"/>
      <c r="O1873" s="11"/>
      <c r="P1873" s="11"/>
      <c r="Q1873" s="11"/>
      <c r="R1873" s="11"/>
      <c r="S1873" s="11"/>
      <c r="T1873" s="11"/>
      <c r="U1873" s="11"/>
      <c r="V1873" s="11"/>
      <c r="W1873" s="11"/>
      <c r="X1873" s="11"/>
      <c r="Y1873" s="11"/>
      <c r="Z1873" s="11"/>
      <c r="AA1873" s="11"/>
      <c r="AB1873" s="11"/>
      <c r="AC1873" s="11"/>
    </row>
    <row r="1874" spans="1:29" x14ac:dyDescent="0.3">
      <c r="A1874" s="11"/>
      <c r="B1874" s="11"/>
      <c r="C1874" s="11"/>
      <c r="D1874" s="11"/>
      <c r="E1874" s="11"/>
      <c r="F1874" s="11"/>
      <c r="G1874" s="11"/>
      <c r="H1874" s="11"/>
      <c r="I1874" s="11"/>
      <c r="J1874" s="11"/>
      <c r="K1874" s="11"/>
      <c r="L1874" s="11"/>
      <c r="M1874" s="11"/>
      <c r="N1874" s="11"/>
      <c r="O1874" s="11"/>
      <c r="P1874" s="11"/>
      <c r="Q1874" s="11"/>
      <c r="R1874" s="11"/>
      <c r="S1874" s="11"/>
      <c r="T1874" s="11"/>
      <c r="U1874" s="11"/>
      <c r="V1874" s="11"/>
      <c r="W1874" s="11"/>
      <c r="X1874" s="11"/>
      <c r="Y1874" s="11"/>
      <c r="Z1874" s="11"/>
      <c r="AA1874" s="11"/>
      <c r="AB1874" s="11"/>
      <c r="AC1874" s="11"/>
    </row>
    <row r="1875" spans="1:29" x14ac:dyDescent="0.3">
      <c r="A1875" s="11"/>
      <c r="B1875" s="11"/>
      <c r="C1875" s="11"/>
      <c r="D1875" s="11"/>
      <c r="E1875" s="11"/>
      <c r="F1875" s="11"/>
      <c r="G1875" s="11"/>
      <c r="H1875" s="11"/>
      <c r="I1875" s="11"/>
      <c r="J1875" s="11"/>
      <c r="K1875" s="11"/>
      <c r="L1875" s="11"/>
      <c r="M1875" s="11"/>
      <c r="N1875" s="11"/>
      <c r="O1875" s="11"/>
      <c r="P1875" s="11"/>
      <c r="Q1875" s="11"/>
      <c r="R1875" s="11"/>
      <c r="S1875" s="11"/>
      <c r="T1875" s="11"/>
      <c r="U1875" s="11"/>
      <c r="V1875" s="11"/>
      <c r="W1875" s="11"/>
      <c r="X1875" s="11"/>
      <c r="Y1875" s="11"/>
      <c r="Z1875" s="11"/>
      <c r="AA1875" s="11"/>
      <c r="AB1875" s="11"/>
      <c r="AC1875" s="11"/>
    </row>
    <row r="1876" spans="1:29" x14ac:dyDescent="0.3">
      <c r="A1876" s="11"/>
      <c r="B1876" s="11"/>
      <c r="C1876" s="11"/>
      <c r="D1876" s="11"/>
      <c r="E1876" s="11"/>
      <c r="F1876" s="11"/>
      <c r="G1876" s="11"/>
      <c r="H1876" s="11"/>
      <c r="I1876" s="11"/>
      <c r="J1876" s="11"/>
      <c r="K1876" s="11"/>
      <c r="L1876" s="11"/>
      <c r="M1876" s="11"/>
      <c r="N1876" s="11"/>
      <c r="O1876" s="11"/>
      <c r="P1876" s="11"/>
      <c r="Q1876" s="11"/>
      <c r="R1876" s="11"/>
      <c r="S1876" s="11"/>
      <c r="T1876" s="11"/>
      <c r="U1876" s="11"/>
      <c r="V1876" s="11"/>
      <c r="W1876" s="11"/>
      <c r="X1876" s="11"/>
      <c r="Y1876" s="11"/>
      <c r="Z1876" s="11"/>
      <c r="AA1876" s="11"/>
      <c r="AB1876" s="11"/>
      <c r="AC1876" s="11"/>
    </row>
    <row r="1877" spans="1:29" x14ac:dyDescent="0.3">
      <c r="A1877" s="11"/>
      <c r="B1877" s="11"/>
      <c r="C1877" s="11"/>
      <c r="D1877" s="11"/>
      <c r="E1877" s="11"/>
      <c r="F1877" s="11"/>
      <c r="G1877" s="11"/>
      <c r="H1877" s="11"/>
      <c r="I1877" s="11"/>
      <c r="J1877" s="11"/>
      <c r="K1877" s="11"/>
      <c r="L1877" s="11"/>
      <c r="M1877" s="11"/>
      <c r="N1877" s="11"/>
      <c r="O1877" s="11"/>
      <c r="P1877" s="11"/>
      <c r="Q1877" s="11"/>
      <c r="R1877" s="11"/>
      <c r="S1877" s="11"/>
      <c r="T1877" s="11"/>
      <c r="U1877" s="11"/>
      <c r="V1877" s="11"/>
      <c r="W1877" s="11"/>
      <c r="X1877" s="11"/>
      <c r="Y1877" s="11"/>
      <c r="Z1877" s="11"/>
      <c r="AA1877" s="11"/>
      <c r="AB1877" s="11"/>
      <c r="AC1877" s="11"/>
    </row>
    <row r="1878" spans="1:29" x14ac:dyDescent="0.3">
      <c r="A1878" s="11"/>
      <c r="B1878" s="11"/>
      <c r="C1878" s="11"/>
      <c r="D1878" s="11"/>
      <c r="E1878" s="11"/>
      <c r="F1878" s="11"/>
      <c r="G1878" s="11"/>
      <c r="H1878" s="11"/>
      <c r="I1878" s="11"/>
      <c r="J1878" s="11"/>
      <c r="K1878" s="11"/>
      <c r="L1878" s="11"/>
      <c r="M1878" s="11"/>
      <c r="N1878" s="11"/>
      <c r="O1878" s="11"/>
      <c r="P1878" s="11"/>
      <c r="Q1878" s="11"/>
      <c r="R1878" s="11"/>
      <c r="S1878" s="11"/>
      <c r="T1878" s="11"/>
      <c r="U1878" s="11"/>
      <c r="V1878" s="11"/>
      <c r="W1878" s="11"/>
      <c r="X1878" s="11"/>
      <c r="Y1878" s="11"/>
      <c r="Z1878" s="11"/>
      <c r="AA1878" s="11"/>
      <c r="AB1878" s="11"/>
      <c r="AC1878" s="11"/>
    </row>
    <row r="1879" spans="1:29" x14ac:dyDescent="0.3">
      <c r="A1879" s="11"/>
      <c r="B1879" s="11"/>
      <c r="C1879" s="11"/>
      <c r="D1879" s="11"/>
      <c r="E1879" s="11"/>
      <c r="F1879" s="11"/>
      <c r="G1879" s="11"/>
      <c r="H1879" s="11"/>
      <c r="I1879" s="11"/>
      <c r="J1879" s="11"/>
      <c r="K1879" s="11"/>
      <c r="L1879" s="11"/>
      <c r="M1879" s="11"/>
      <c r="N1879" s="11"/>
      <c r="O1879" s="11"/>
      <c r="P1879" s="11"/>
      <c r="Q1879" s="11"/>
      <c r="R1879" s="11"/>
      <c r="S1879" s="11"/>
      <c r="T1879" s="11"/>
      <c r="U1879" s="11"/>
      <c r="V1879" s="11"/>
      <c r="W1879" s="11"/>
      <c r="X1879" s="11"/>
      <c r="Y1879" s="11"/>
      <c r="Z1879" s="11"/>
      <c r="AA1879" s="11"/>
      <c r="AB1879" s="11"/>
      <c r="AC1879" s="11"/>
    </row>
    <row r="1880" spans="1:29" x14ac:dyDescent="0.3">
      <c r="A1880" s="11"/>
      <c r="B1880" s="11"/>
      <c r="C1880" s="11"/>
      <c r="D1880" s="11"/>
      <c r="E1880" s="11"/>
      <c r="F1880" s="11"/>
      <c r="G1880" s="11"/>
      <c r="H1880" s="11"/>
      <c r="I1880" s="11"/>
      <c r="J1880" s="11"/>
      <c r="K1880" s="11"/>
      <c r="L1880" s="11"/>
      <c r="M1880" s="11"/>
      <c r="N1880" s="11"/>
      <c r="O1880" s="11"/>
      <c r="P1880" s="11"/>
      <c r="Q1880" s="11"/>
      <c r="R1880" s="11"/>
      <c r="S1880" s="11"/>
      <c r="T1880" s="11"/>
      <c r="U1880" s="11"/>
      <c r="V1880" s="11"/>
      <c r="W1880" s="11"/>
      <c r="X1880" s="11"/>
      <c r="Y1880" s="11"/>
      <c r="Z1880" s="11"/>
      <c r="AA1880" s="11"/>
      <c r="AB1880" s="11"/>
      <c r="AC1880" s="11"/>
    </row>
    <row r="1881" spans="1:29" x14ac:dyDescent="0.3">
      <c r="A1881" s="11"/>
      <c r="B1881" s="11"/>
      <c r="C1881" s="11"/>
      <c r="D1881" s="11"/>
      <c r="E1881" s="11"/>
      <c r="F1881" s="11"/>
      <c r="G1881" s="11"/>
      <c r="H1881" s="11"/>
      <c r="I1881" s="11"/>
      <c r="J1881" s="11"/>
      <c r="K1881" s="11"/>
      <c r="L1881" s="11"/>
      <c r="M1881" s="11"/>
      <c r="N1881" s="11"/>
      <c r="O1881" s="11"/>
      <c r="P1881" s="11"/>
      <c r="Q1881" s="11"/>
      <c r="R1881" s="11"/>
      <c r="S1881" s="11"/>
      <c r="T1881" s="11"/>
      <c r="U1881" s="11"/>
      <c r="V1881" s="11"/>
      <c r="W1881" s="11"/>
      <c r="X1881" s="11"/>
      <c r="Y1881" s="11"/>
      <c r="Z1881" s="11"/>
      <c r="AA1881" s="11"/>
      <c r="AB1881" s="11"/>
      <c r="AC1881" s="11"/>
    </row>
    <row r="1882" spans="1:29" x14ac:dyDescent="0.3">
      <c r="A1882" s="11"/>
      <c r="B1882" s="11"/>
      <c r="C1882" s="11"/>
      <c r="D1882" s="11"/>
      <c r="E1882" s="11"/>
      <c r="F1882" s="11"/>
      <c r="G1882" s="11"/>
      <c r="H1882" s="11"/>
      <c r="I1882" s="11"/>
      <c r="J1882" s="11"/>
      <c r="K1882" s="11"/>
      <c r="L1882" s="11"/>
      <c r="M1882" s="11"/>
      <c r="N1882" s="11"/>
      <c r="O1882" s="11"/>
      <c r="P1882" s="11"/>
      <c r="Q1882" s="11"/>
      <c r="R1882" s="11"/>
      <c r="S1882" s="11"/>
      <c r="T1882" s="11"/>
      <c r="U1882" s="11"/>
      <c r="V1882" s="11"/>
      <c r="W1882" s="11"/>
      <c r="X1882" s="11"/>
      <c r="Y1882" s="11"/>
      <c r="Z1882" s="11"/>
      <c r="AA1882" s="11"/>
      <c r="AB1882" s="11"/>
      <c r="AC1882" s="11"/>
    </row>
    <row r="1883" spans="1:29" x14ac:dyDescent="0.3">
      <c r="A1883" s="11"/>
      <c r="B1883" s="11"/>
      <c r="C1883" s="11"/>
      <c r="D1883" s="11"/>
      <c r="E1883" s="11"/>
      <c r="F1883" s="11"/>
      <c r="G1883" s="11"/>
      <c r="H1883" s="11"/>
      <c r="I1883" s="11"/>
      <c r="J1883" s="11"/>
      <c r="K1883" s="11"/>
      <c r="L1883" s="11"/>
      <c r="M1883" s="11"/>
      <c r="N1883" s="11"/>
      <c r="O1883" s="11"/>
      <c r="P1883" s="11"/>
      <c r="Q1883" s="11"/>
      <c r="R1883" s="11"/>
      <c r="S1883" s="11"/>
      <c r="T1883" s="11"/>
      <c r="U1883" s="11"/>
      <c r="V1883" s="11"/>
      <c r="W1883" s="11"/>
      <c r="X1883" s="11"/>
      <c r="Y1883" s="11"/>
      <c r="Z1883" s="11"/>
      <c r="AA1883" s="11"/>
      <c r="AB1883" s="11"/>
      <c r="AC1883" s="11"/>
    </row>
    <row r="1884" spans="1:29" x14ac:dyDescent="0.3">
      <c r="A1884" s="11"/>
      <c r="B1884" s="11"/>
      <c r="C1884" s="11"/>
      <c r="D1884" s="11"/>
      <c r="E1884" s="11"/>
      <c r="F1884" s="11"/>
      <c r="G1884" s="11"/>
      <c r="H1884" s="11"/>
      <c r="I1884" s="11"/>
      <c r="J1884" s="11"/>
      <c r="K1884" s="11"/>
      <c r="L1884" s="11"/>
      <c r="M1884" s="11"/>
      <c r="N1884" s="11"/>
      <c r="O1884" s="11"/>
      <c r="P1884" s="11"/>
      <c r="Q1884" s="11"/>
      <c r="R1884" s="11"/>
      <c r="S1884" s="11"/>
      <c r="T1884" s="11"/>
      <c r="U1884" s="11"/>
      <c r="V1884" s="11"/>
      <c r="W1884" s="11"/>
      <c r="X1884" s="11"/>
      <c r="Y1884" s="11"/>
      <c r="Z1884" s="11"/>
      <c r="AA1884" s="11"/>
      <c r="AB1884" s="11"/>
      <c r="AC1884" s="11"/>
    </row>
    <row r="1885" spans="1:29" x14ac:dyDescent="0.3">
      <c r="A1885" s="11"/>
      <c r="B1885" s="11"/>
      <c r="C1885" s="11"/>
      <c r="D1885" s="11"/>
      <c r="E1885" s="11"/>
      <c r="F1885" s="11"/>
      <c r="G1885" s="11"/>
      <c r="H1885" s="11"/>
      <c r="I1885" s="11"/>
      <c r="J1885" s="11"/>
      <c r="K1885" s="11"/>
      <c r="L1885" s="11"/>
      <c r="M1885" s="11"/>
      <c r="N1885" s="11"/>
      <c r="O1885" s="11"/>
      <c r="P1885" s="11"/>
      <c r="Q1885" s="11"/>
      <c r="R1885" s="11"/>
      <c r="S1885" s="11"/>
      <c r="T1885" s="11"/>
      <c r="U1885" s="11"/>
      <c r="V1885" s="11"/>
      <c r="W1885" s="11"/>
      <c r="X1885" s="11"/>
      <c r="Y1885" s="11"/>
      <c r="Z1885" s="11"/>
      <c r="AA1885" s="11"/>
      <c r="AB1885" s="11"/>
      <c r="AC1885" s="11"/>
    </row>
    <row r="1886" spans="1:29" x14ac:dyDescent="0.3">
      <c r="A1886" s="11"/>
      <c r="B1886" s="11"/>
      <c r="C1886" s="11"/>
      <c r="D1886" s="11"/>
      <c r="E1886" s="11"/>
      <c r="F1886" s="11"/>
      <c r="G1886" s="11"/>
      <c r="H1886" s="11"/>
      <c r="I1886" s="11"/>
      <c r="J1886" s="11"/>
      <c r="K1886" s="11"/>
      <c r="L1886" s="11"/>
      <c r="M1886" s="11"/>
      <c r="N1886" s="11"/>
      <c r="O1886" s="11"/>
      <c r="P1886" s="11"/>
      <c r="Q1886" s="11"/>
      <c r="R1886" s="11"/>
      <c r="S1886" s="11"/>
      <c r="T1886" s="11"/>
      <c r="U1886" s="11"/>
      <c r="V1886" s="11"/>
      <c r="W1886" s="11"/>
      <c r="X1886" s="11"/>
      <c r="Y1886" s="11"/>
      <c r="Z1886" s="11"/>
      <c r="AA1886" s="11"/>
      <c r="AB1886" s="11"/>
      <c r="AC1886" s="11"/>
    </row>
    <row r="1887" spans="1:29" x14ac:dyDescent="0.3">
      <c r="A1887" s="11"/>
      <c r="B1887" s="11"/>
      <c r="C1887" s="11"/>
      <c r="D1887" s="11"/>
      <c r="E1887" s="11"/>
      <c r="F1887" s="11"/>
      <c r="G1887" s="11"/>
      <c r="H1887" s="11"/>
      <c r="I1887" s="11"/>
      <c r="J1887" s="11"/>
      <c r="K1887" s="11"/>
      <c r="L1887" s="11"/>
      <c r="M1887" s="11"/>
      <c r="N1887" s="11"/>
      <c r="O1887" s="11"/>
      <c r="P1887" s="11"/>
      <c r="Q1887" s="11"/>
      <c r="R1887" s="11"/>
      <c r="S1887" s="11"/>
      <c r="T1887" s="11"/>
      <c r="U1887" s="11"/>
      <c r="V1887" s="11"/>
      <c r="W1887" s="11"/>
      <c r="X1887" s="11"/>
      <c r="Y1887" s="11"/>
      <c r="Z1887" s="11"/>
      <c r="AA1887" s="11"/>
      <c r="AB1887" s="11"/>
      <c r="AC1887" s="11"/>
    </row>
    <row r="1888" spans="1:29" x14ac:dyDescent="0.3">
      <c r="A1888" s="11"/>
      <c r="B1888" s="11"/>
      <c r="C1888" s="11"/>
      <c r="D1888" s="11"/>
      <c r="E1888" s="11"/>
      <c r="F1888" s="11"/>
      <c r="G1888" s="11"/>
      <c r="H1888" s="11"/>
      <c r="I1888" s="11"/>
      <c r="J1888" s="11"/>
      <c r="K1888" s="11"/>
      <c r="L1888" s="11"/>
      <c r="M1888" s="11"/>
      <c r="N1888" s="11"/>
      <c r="O1888" s="11"/>
      <c r="P1888" s="11"/>
      <c r="Q1888" s="11"/>
      <c r="R1888" s="11"/>
      <c r="S1888" s="11"/>
      <c r="T1888" s="11"/>
      <c r="U1888" s="11"/>
      <c r="V1888" s="11"/>
      <c r="W1888" s="11"/>
      <c r="X1888" s="11"/>
      <c r="Y1888" s="11"/>
      <c r="Z1888" s="11"/>
      <c r="AA1888" s="11"/>
      <c r="AB1888" s="11"/>
      <c r="AC1888" s="11"/>
    </row>
    <row r="1889" spans="1:29" x14ac:dyDescent="0.3">
      <c r="A1889" s="11"/>
      <c r="B1889" s="11"/>
      <c r="C1889" s="11"/>
      <c r="D1889" s="11"/>
      <c r="E1889" s="11"/>
      <c r="F1889" s="11"/>
      <c r="G1889" s="11"/>
      <c r="H1889" s="11"/>
      <c r="I1889" s="11"/>
      <c r="J1889" s="11"/>
      <c r="K1889" s="11"/>
      <c r="L1889" s="11"/>
      <c r="M1889" s="11"/>
      <c r="N1889" s="11"/>
      <c r="O1889" s="11"/>
      <c r="P1889" s="11"/>
      <c r="Q1889" s="11"/>
      <c r="R1889" s="11"/>
      <c r="S1889" s="11"/>
      <c r="T1889" s="11"/>
      <c r="U1889" s="11"/>
      <c r="V1889" s="11"/>
      <c r="W1889" s="11"/>
      <c r="X1889" s="11"/>
      <c r="Y1889" s="11"/>
      <c r="Z1889" s="11"/>
      <c r="AA1889" s="11"/>
      <c r="AB1889" s="11"/>
      <c r="AC1889" s="11"/>
    </row>
    <row r="1890" spans="1:29" x14ac:dyDescent="0.3">
      <c r="A1890" s="11"/>
      <c r="B1890" s="11"/>
      <c r="C1890" s="11"/>
      <c r="D1890" s="11"/>
      <c r="E1890" s="11"/>
      <c r="F1890" s="11"/>
      <c r="G1890" s="11"/>
      <c r="H1890" s="11"/>
      <c r="I1890" s="11"/>
      <c r="J1890" s="11"/>
      <c r="K1890" s="11"/>
      <c r="L1890" s="11"/>
      <c r="M1890" s="11"/>
      <c r="N1890" s="11"/>
      <c r="O1890" s="11"/>
      <c r="P1890" s="11"/>
      <c r="Q1890" s="11"/>
      <c r="R1890" s="11"/>
      <c r="S1890" s="11"/>
      <c r="T1890" s="11"/>
      <c r="U1890" s="11"/>
      <c r="V1890" s="11"/>
      <c r="W1890" s="11"/>
      <c r="X1890" s="11"/>
      <c r="Y1890" s="11"/>
      <c r="Z1890" s="11"/>
      <c r="AA1890" s="11"/>
      <c r="AB1890" s="11"/>
      <c r="AC1890" s="11"/>
    </row>
    <row r="1891" spans="1:29" x14ac:dyDescent="0.3">
      <c r="A1891" s="11"/>
      <c r="B1891" s="11"/>
      <c r="C1891" s="11"/>
      <c r="D1891" s="11"/>
      <c r="E1891" s="11"/>
      <c r="F1891" s="11"/>
      <c r="G1891" s="11"/>
      <c r="H1891" s="11"/>
      <c r="I1891" s="11"/>
      <c r="J1891" s="11"/>
      <c r="K1891" s="11"/>
      <c r="L1891" s="11"/>
      <c r="M1891" s="11"/>
      <c r="N1891" s="11"/>
      <c r="O1891" s="11"/>
      <c r="P1891" s="11"/>
      <c r="Q1891" s="11"/>
      <c r="R1891" s="11"/>
      <c r="S1891" s="11"/>
      <c r="T1891" s="11"/>
      <c r="U1891" s="11"/>
      <c r="V1891" s="11"/>
      <c r="W1891" s="11"/>
      <c r="X1891" s="11"/>
      <c r="Y1891" s="11"/>
      <c r="Z1891" s="11"/>
      <c r="AA1891" s="11"/>
      <c r="AB1891" s="11"/>
      <c r="AC1891" s="11"/>
    </row>
    <row r="1892" spans="1:29" x14ac:dyDescent="0.3">
      <c r="A1892" s="11"/>
      <c r="B1892" s="11"/>
      <c r="C1892" s="11"/>
      <c r="D1892" s="11"/>
      <c r="E1892" s="11"/>
      <c r="F1892" s="11"/>
      <c r="G1892" s="11"/>
      <c r="H1892" s="11"/>
      <c r="I1892" s="11"/>
      <c r="J1892" s="11"/>
      <c r="K1892" s="11"/>
      <c r="L1892" s="11"/>
      <c r="M1892" s="11"/>
      <c r="N1892" s="11"/>
      <c r="O1892" s="11"/>
      <c r="P1892" s="11"/>
      <c r="Q1892" s="11"/>
      <c r="R1892" s="11"/>
      <c r="S1892" s="11"/>
      <c r="T1892" s="11"/>
      <c r="U1892" s="11"/>
      <c r="V1892" s="11"/>
      <c r="W1892" s="11"/>
      <c r="X1892" s="11"/>
      <c r="Y1892" s="11"/>
      <c r="Z1892" s="11"/>
      <c r="AA1892" s="11"/>
      <c r="AB1892" s="11"/>
      <c r="AC1892" s="11"/>
    </row>
    <row r="1893" spans="1:29" x14ac:dyDescent="0.3">
      <c r="A1893" s="11"/>
      <c r="B1893" s="11"/>
      <c r="C1893" s="11"/>
      <c r="D1893" s="11"/>
      <c r="E1893" s="11"/>
      <c r="F1893" s="11"/>
      <c r="G1893" s="11"/>
      <c r="H1893" s="11"/>
      <c r="I1893" s="11"/>
      <c r="J1893" s="11"/>
      <c r="K1893" s="11"/>
      <c r="L1893" s="11"/>
      <c r="M1893" s="11"/>
      <c r="N1893" s="11"/>
      <c r="O1893" s="11"/>
      <c r="P1893" s="11"/>
      <c r="Q1893" s="11"/>
      <c r="R1893" s="11"/>
      <c r="S1893" s="11"/>
      <c r="T1893" s="11"/>
      <c r="U1893" s="11"/>
      <c r="V1893" s="11"/>
      <c r="W1893" s="11"/>
      <c r="X1893" s="11"/>
      <c r="Y1893" s="11"/>
      <c r="Z1893" s="11"/>
      <c r="AA1893" s="11"/>
      <c r="AB1893" s="11"/>
      <c r="AC1893" s="11"/>
    </row>
    <row r="1894" spans="1:29" x14ac:dyDescent="0.3">
      <c r="A1894" s="11"/>
      <c r="B1894" s="11"/>
      <c r="C1894" s="11"/>
      <c r="D1894" s="11"/>
      <c r="E1894" s="11"/>
      <c r="F1894" s="11"/>
      <c r="G1894" s="11"/>
      <c r="H1894" s="11"/>
      <c r="I1894" s="11"/>
      <c r="J1894" s="11"/>
      <c r="K1894" s="11"/>
      <c r="L1894" s="11"/>
      <c r="M1894" s="11"/>
      <c r="N1894" s="11"/>
      <c r="O1894" s="11"/>
      <c r="P1894" s="11"/>
      <c r="Q1894" s="11"/>
      <c r="R1894" s="11"/>
      <c r="S1894" s="11"/>
      <c r="T1894" s="11"/>
      <c r="U1894" s="11"/>
      <c r="V1894" s="11"/>
      <c r="W1894" s="11"/>
      <c r="X1894" s="11"/>
      <c r="Y1894" s="11"/>
      <c r="Z1894" s="11"/>
      <c r="AA1894" s="11"/>
      <c r="AB1894" s="11"/>
      <c r="AC1894" s="11"/>
    </row>
    <row r="1895" spans="1:29" x14ac:dyDescent="0.3">
      <c r="A1895" s="11"/>
      <c r="B1895" s="11"/>
      <c r="C1895" s="11"/>
      <c r="D1895" s="11"/>
      <c r="E1895" s="11"/>
      <c r="F1895" s="11"/>
      <c r="G1895" s="11"/>
      <c r="H1895" s="11"/>
      <c r="I1895" s="11"/>
      <c r="J1895" s="11"/>
      <c r="K1895" s="11"/>
      <c r="L1895" s="11"/>
      <c r="M1895" s="11"/>
      <c r="N1895" s="11"/>
      <c r="O1895" s="11"/>
      <c r="P1895" s="11"/>
      <c r="Q1895" s="11"/>
      <c r="R1895" s="11"/>
      <c r="S1895" s="11"/>
      <c r="T1895" s="11"/>
      <c r="U1895" s="11"/>
      <c r="V1895" s="11"/>
      <c r="W1895" s="11"/>
      <c r="X1895" s="11"/>
      <c r="Y1895" s="11"/>
      <c r="Z1895" s="11"/>
      <c r="AA1895" s="11"/>
      <c r="AB1895" s="11"/>
      <c r="AC1895" s="11"/>
    </row>
    <row r="1896" spans="1:29" x14ac:dyDescent="0.3">
      <c r="A1896" s="11"/>
      <c r="B1896" s="11"/>
      <c r="C1896" s="11"/>
      <c r="D1896" s="11"/>
      <c r="E1896" s="11"/>
      <c r="F1896" s="11"/>
      <c r="G1896" s="11"/>
      <c r="H1896" s="11"/>
      <c r="I1896" s="11"/>
      <c r="J1896" s="11"/>
      <c r="K1896" s="11"/>
      <c r="L1896" s="11"/>
      <c r="M1896" s="11"/>
      <c r="N1896" s="11"/>
      <c r="O1896" s="11"/>
      <c r="P1896" s="11"/>
      <c r="Q1896" s="11"/>
      <c r="R1896" s="11"/>
      <c r="S1896" s="11"/>
      <c r="T1896" s="11"/>
      <c r="U1896" s="11"/>
      <c r="V1896" s="11"/>
      <c r="W1896" s="11"/>
      <c r="X1896" s="11"/>
      <c r="Y1896" s="11"/>
      <c r="Z1896" s="11"/>
      <c r="AA1896" s="11"/>
      <c r="AB1896" s="11"/>
      <c r="AC1896" s="11"/>
    </row>
    <row r="1897" spans="1:29" x14ac:dyDescent="0.3">
      <c r="A1897" s="11"/>
      <c r="B1897" s="11"/>
      <c r="C1897" s="11"/>
      <c r="D1897" s="11"/>
      <c r="E1897" s="11"/>
      <c r="F1897" s="11"/>
      <c r="G1897" s="11"/>
      <c r="H1897" s="11"/>
      <c r="I1897" s="11"/>
      <c r="J1897" s="11"/>
      <c r="K1897" s="11"/>
      <c r="L1897" s="11"/>
      <c r="M1897" s="11"/>
      <c r="N1897" s="11"/>
      <c r="O1897" s="11"/>
      <c r="P1897" s="11"/>
      <c r="Q1897" s="11"/>
      <c r="R1897" s="11"/>
      <c r="S1897" s="11"/>
      <c r="T1897" s="11"/>
      <c r="U1897" s="11"/>
      <c r="V1897" s="11"/>
      <c r="W1897" s="11"/>
      <c r="X1897" s="11"/>
      <c r="Y1897" s="11"/>
      <c r="Z1897" s="11"/>
      <c r="AA1897" s="11"/>
      <c r="AB1897" s="11"/>
      <c r="AC1897" s="11"/>
    </row>
    <row r="1898" spans="1:29" x14ac:dyDescent="0.3">
      <c r="A1898" s="11"/>
      <c r="B1898" s="11"/>
      <c r="C1898" s="11"/>
      <c r="D1898" s="11"/>
      <c r="E1898" s="11"/>
      <c r="F1898" s="11"/>
      <c r="G1898" s="11"/>
      <c r="H1898" s="11"/>
      <c r="I1898" s="11"/>
      <c r="J1898" s="11"/>
      <c r="K1898" s="11"/>
      <c r="L1898" s="11"/>
      <c r="M1898" s="11"/>
      <c r="N1898" s="11"/>
      <c r="O1898" s="11"/>
      <c r="P1898" s="11"/>
      <c r="Q1898" s="11"/>
      <c r="R1898" s="11"/>
      <c r="S1898" s="11"/>
      <c r="T1898" s="11"/>
      <c r="U1898" s="11"/>
      <c r="V1898" s="11"/>
      <c r="W1898" s="11"/>
      <c r="X1898" s="11"/>
      <c r="Y1898" s="11"/>
      <c r="Z1898" s="11"/>
      <c r="AA1898" s="11"/>
      <c r="AB1898" s="11"/>
      <c r="AC1898" s="11"/>
    </row>
    <row r="1899" spans="1:29" x14ac:dyDescent="0.3">
      <c r="A1899" s="11"/>
      <c r="B1899" s="11"/>
      <c r="C1899" s="11"/>
      <c r="D1899" s="11"/>
      <c r="E1899" s="11"/>
      <c r="F1899" s="11"/>
      <c r="G1899" s="11"/>
      <c r="H1899" s="11"/>
      <c r="I1899" s="11"/>
      <c r="J1899" s="11"/>
      <c r="K1899" s="11"/>
      <c r="L1899" s="11"/>
      <c r="M1899" s="11"/>
      <c r="N1899" s="11"/>
      <c r="O1899" s="11"/>
      <c r="P1899" s="11"/>
      <c r="Q1899" s="11"/>
      <c r="R1899" s="11"/>
      <c r="S1899" s="11"/>
      <c r="T1899" s="11"/>
      <c r="U1899" s="11"/>
      <c r="V1899" s="11"/>
      <c r="W1899" s="11"/>
      <c r="X1899" s="11"/>
      <c r="Y1899" s="11"/>
      <c r="Z1899" s="11"/>
      <c r="AA1899" s="11"/>
      <c r="AB1899" s="11"/>
      <c r="AC1899" s="11"/>
    </row>
    <row r="1900" spans="1:29" x14ac:dyDescent="0.3">
      <c r="A1900" s="11"/>
      <c r="B1900" s="11"/>
      <c r="C1900" s="11"/>
      <c r="D1900" s="11"/>
      <c r="E1900" s="11"/>
      <c r="F1900" s="11"/>
      <c r="G1900" s="11"/>
      <c r="H1900" s="11"/>
      <c r="I1900" s="11"/>
      <c r="J1900" s="11"/>
      <c r="K1900" s="11"/>
      <c r="L1900" s="11"/>
      <c r="M1900" s="11"/>
      <c r="N1900" s="11"/>
      <c r="O1900" s="11"/>
      <c r="P1900" s="11"/>
      <c r="Q1900" s="11"/>
      <c r="R1900" s="11"/>
      <c r="S1900" s="11"/>
      <c r="T1900" s="11"/>
      <c r="U1900" s="11"/>
      <c r="V1900" s="11"/>
      <c r="W1900" s="11"/>
      <c r="X1900" s="11"/>
      <c r="Y1900" s="11"/>
      <c r="Z1900" s="11"/>
      <c r="AA1900" s="11"/>
      <c r="AB1900" s="11"/>
      <c r="AC1900" s="11"/>
    </row>
    <row r="1901" spans="1:29" x14ac:dyDescent="0.3">
      <c r="A1901" s="11"/>
      <c r="B1901" s="11"/>
      <c r="C1901" s="11"/>
      <c r="D1901" s="11"/>
      <c r="E1901" s="11"/>
      <c r="F1901" s="11"/>
      <c r="G1901" s="11"/>
      <c r="H1901" s="11"/>
      <c r="I1901" s="11"/>
      <c r="J1901" s="11"/>
      <c r="K1901" s="11"/>
      <c r="L1901" s="11"/>
      <c r="M1901" s="11"/>
      <c r="N1901" s="11"/>
      <c r="O1901" s="11"/>
      <c r="P1901" s="11"/>
      <c r="Q1901" s="11"/>
      <c r="R1901" s="11"/>
      <c r="S1901" s="11"/>
      <c r="T1901" s="11"/>
      <c r="U1901" s="11"/>
      <c r="V1901" s="11"/>
      <c r="W1901" s="11"/>
      <c r="X1901" s="11"/>
      <c r="Y1901" s="11"/>
      <c r="Z1901" s="11"/>
      <c r="AA1901" s="11"/>
      <c r="AB1901" s="11"/>
      <c r="AC1901" s="11"/>
    </row>
    <row r="1902" spans="1:29" x14ac:dyDescent="0.3">
      <c r="A1902" s="11"/>
      <c r="B1902" s="11"/>
      <c r="C1902" s="11"/>
      <c r="D1902" s="11"/>
      <c r="E1902" s="11"/>
      <c r="F1902" s="11"/>
      <c r="G1902" s="11"/>
      <c r="H1902" s="11"/>
      <c r="I1902" s="11"/>
      <c r="J1902" s="11"/>
      <c r="K1902" s="11"/>
      <c r="L1902" s="11"/>
      <c r="M1902" s="11"/>
      <c r="N1902" s="11"/>
      <c r="O1902" s="11"/>
      <c r="P1902" s="11"/>
      <c r="Q1902" s="11"/>
      <c r="R1902" s="11"/>
      <c r="S1902" s="11"/>
      <c r="T1902" s="11"/>
      <c r="U1902" s="11"/>
      <c r="V1902" s="11"/>
      <c r="W1902" s="11"/>
      <c r="X1902" s="11"/>
      <c r="Y1902" s="11"/>
      <c r="Z1902" s="11"/>
      <c r="AA1902" s="11"/>
      <c r="AB1902" s="11"/>
      <c r="AC1902" s="11"/>
    </row>
    <row r="1903" spans="1:29" x14ac:dyDescent="0.3">
      <c r="A1903" s="11"/>
      <c r="B1903" s="11"/>
      <c r="C1903" s="11"/>
      <c r="D1903" s="11"/>
      <c r="E1903" s="11"/>
      <c r="F1903" s="11"/>
      <c r="G1903" s="11"/>
      <c r="H1903" s="11"/>
      <c r="I1903" s="11"/>
      <c r="J1903" s="11"/>
      <c r="K1903" s="11"/>
      <c r="L1903" s="11"/>
      <c r="M1903" s="11"/>
      <c r="N1903" s="11"/>
      <c r="O1903" s="11"/>
      <c r="P1903" s="11"/>
      <c r="Q1903" s="11"/>
      <c r="R1903" s="11"/>
      <c r="S1903" s="11"/>
      <c r="T1903" s="11"/>
      <c r="U1903" s="11"/>
      <c r="V1903" s="11"/>
      <c r="W1903" s="11"/>
      <c r="X1903" s="11"/>
      <c r="Y1903" s="11"/>
      <c r="Z1903" s="11"/>
      <c r="AA1903" s="11"/>
      <c r="AB1903" s="11"/>
      <c r="AC1903" s="11"/>
    </row>
    <row r="1904" spans="1:29" x14ac:dyDescent="0.3">
      <c r="A1904" s="11"/>
      <c r="B1904" s="11"/>
      <c r="C1904" s="11"/>
      <c r="D1904" s="11"/>
      <c r="E1904" s="11"/>
      <c r="F1904" s="11"/>
      <c r="G1904" s="11"/>
      <c r="H1904" s="11"/>
      <c r="I1904" s="11"/>
      <c r="J1904" s="11"/>
      <c r="K1904" s="11"/>
      <c r="L1904" s="11"/>
      <c r="M1904" s="11"/>
      <c r="N1904" s="11"/>
      <c r="O1904" s="11"/>
      <c r="P1904" s="11"/>
      <c r="Q1904" s="11"/>
      <c r="R1904" s="11"/>
      <c r="S1904" s="11"/>
      <c r="T1904" s="11"/>
      <c r="U1904" s="11"/>
      <c r="V1904" s="11"/>
      <c r="W1904" s="11"/>
      <c r="X1904" s="11"/>
      <c r="Y1904" s="11"/>
      <c r="Z1904" s="11"/>
      <c r="AA1904" s="11"/>
      <c r="AB1904" s="11"/>
      <c r="AC1904" s="11"/>
    </row>
    <row r="1905" spans="1:29" x14ac:dyDescent="0.3">
      <c r="A1905" s="11"/>
      <c r="B1905" s="11"/>
      <c r="C1905" s="11"/>
      <c r="D1905" s="11"/>
      <c r="E1905" s="11"/>
      <c r="F1905" s="11"/>
      <c r="G1905" s="11"/>
      <c r="H1905" s="11"/>
      <c r="I1905" s="11"/>
      <c r="J1905" s="11"/>
      <c r="K1905" s="11"/>
      <c r="L1905" s="11"/>
      <c r="M1905" s="11"/>
      <c r="N1905" s="11"/>
      <c r="O1905" s="11"/>
      <c r="P1905" s="11"/>
      <c r="Q1905" s="11"/>
      <c r="R1905" s="11"/>
      <c r="S1905" s="11"/>
      <c r="T1905" s="11"/>
      <c r="U1905" s="11"/>
      <c r="V1905" s="11"/>
      <c r="W1905" s="11"/>
      <c r="X1905" s="11"/>
      <c r="Y1905" s="11"/>
      <c r="Z1905" s="11"/>
      <c r="AA1905" s="11"/>
      <c r="AB1905" s="11"/>
      <c r="AC1905" s="11"/>
    </row>
    <row r="1906" spans="1:29" x14ac:dyDescent="0.3">
      <c r="A1906" s="11"/>
      <c r="B1906" s="11"/>
      <c r="C1906" s="11"/>
      <c r="D1906" s="11"/>
      <c r="E1906" s="11"/>
      <c r="F1906" s="11"/>
      <c r="G1906" s="11"/>
      <c r="H1906" s="11"/>
      <c r="I1906" s="11"/>
      <c r="J1906" s="11"/>
      <c r="K1906" s="11"/>
      <c r="L1906" s="11"/>
      <c r="M1906" s="11"/>
      <c r="N1906" s="11"/>
      <c r="O1906" s="11"/>
      <c r="P1906" s="11"/>
      <c r="Q1906" s="11"/>
      <c r="R1906" s="11"/>
      <c r="S1906" s="11"/>
      <c r="T1906" s="11"/>
      <c r="U1906" s="11"/>
      <c r="V1906" s="11"/>
      <c r="W1906" s="11"/>
      <c r="X1906" s="11"/>
      <c r="Y1906" s="11"/>
      <c r="Z1906" s="11"/>
      <c r="AA1906" s="11"/>
      <c r="AB1906" s="11"/>
      <c r="AC1906" s="11"/>
    </row>
    <row r="1907" spans="1:29" x14ac:dyDescent="0.3">
      <c r="A1907" s="11"/>
      <c r="B1907" s="11"/>
      <c r="C1907" s="11"/>
      <c r="D1907" s="11"/>
      <c r="E1907" s="11"/>
      <c r="F1907" s="11"/>
      <c r="G1907" s="11"/>
      <c r="H1907" s="11"/>
      <c r="I1907" s="11"/>
      <c r="J1907" s="11"/>
      <c r="K1907" s="11"/>
      <c r="L1907" s="11"/>
      <c r="M1907" s="11"/>
      <c r="N1907" s="11"/>
      <c r="O1907" s="11"/>
      <c r="P1907" s="11"/>
      <c r="Q1907" s="11"/>
      <c r="R1907" s="11"/>
      <c r="S1907" s="11"/>
      <c r="T1907" s="11"/>
      <c r="U1907" s="11"/>
      <c r="V1907" s="11"/>
      <c r="W1907" s="11"/>
      <c r="X1907" s="11"/>
      <c r="Y1907" s="11"/>
      <c r="Z1907" s="11"/>
      <c r="AA1907" s="11"/>
      <c r="AB1907" s="11"/>
      <c r="AC1907" s="11"/>
    </row>
    <row r="1908" spans="1:29" x14ac:dyDescent="0.3">
      <c r="A1908" s="11"/>
      <c r="B1908" s="11"/>
      <c r="C1908" s="11"/>
      <c r="D1908" s="11"/>
      <c r="E1908" s="11"/>
      <c r="F1908" s="11"/>
      <c r="G1908" s="11"/>
      <c r="H1908" s="11"/>
      <c r="I1908" s="11"/>
      <c r="J1908" s="11"/>
      <c r="K1908" s="11"/>
      <c r="L1908" s="11"/>
      <c r="M1908" s="11"/>
      <c r="N1908" s="11"/>
      <c r="O1908" s="11"/>
      <c r="P1908" s="11"/>
      <c r="Q1908" s="11"/>
      <c r="R1908" s="11"/>
      <c r="S1908" s="11"/>
      <c r="T1908" s="11"/>
      <c r="U1908" s="11"/>
      <c r="V1908" s="11"/>
      <c r="W1908" s="11"/>
      <c r="X1908" s="11"/>
      <c r="Y1908" s="11"/>
      <c r="Z1908" s="11"/>
      <c r="AA1908" s="11"/>
      <c r="AB1908" s="11"/>
      <c r="AC1908" s="11"/>
    </row>
    <row r="1909" spans="1:29" x14ac:dyDescent="0.3">
      <c r="A1909" s="11"/>
      <c r="B1909" s="11"/>
      <c r="C1909" s="11"/>
      <c r="D1909" s="11"/>
      <c r="E1909" s="11"/>
      <c r="F1909" s="11"/>
      <c r="G1909" s="11"/>
      <c r="H1909" s="11"/>
      <c r="I1909" s="11"/>
      <c r="J1909" s="11"/>
      <c r="K1909" s="11"/>
      <c r="L1909" s="11"/>
      <c r="M1909" s="11"/>
      <c r="N1909" s="11"/>
      <c r="O1909" s="11"/>
      <c r="P1909" s="11"/>
      <c r="Q1909" s="11"/>
      <c r="R1909" s="11"/>
      <c r="S1909" s="11"/>
      <c r="T1909" s="11"/>
      <c r="U1909" s="11"/>
      <c r="V1909" s="11"/>
      <c r="W1909" s="11"/>
      <c r="X1909" s="11"/>
      <c r="Y1909" s="11"/>
      <c r="Z1909" s="11"/>
      <c r="AA1909" s="11"/>
      <c r="AB1909" s="11"/>
      <c r="AC1909" s="11"/>
    </row>
    <row r="1910" spans="1:29" x14ac:dyDescent="0.3">
      <c r="A1910" s="11"/>
      <c r="B1910" s="11"/>
      <c r="C1910" s="11"/>
      <c r="D1910" s="11"/>
      <c r="E1910" s="11"/>
      <c r="F1910" s="11"/>
      <c r="G1910" s="11"/>
      <c r="H1910" s="11"/>
      <c r="I1910" s="11"/>
      <c r="J1910" s="11"/>
      <c r="K1910" s="11"/>
      <c r="L1910" s="11"/>
      <c r="M1910" s="11"/>
      <c r="N1910" s="11"/>
      <c r="O1910" s="11"/>
      <c r="P1910" s="11"/>
      <c r="Q1910" s="11"/>
      <c r="R1910" s="11"/>
      <c r="S1910" s="11"/>
      <c r="T1910" s="11"/>
      <c r="U1910" s="11"/>
      <c r="V1910" s="11"/>
      <c r="W1910" s="11"/>
      <c r="X1910" s="11"/>
      <c r="Y1910" s="11"/>
      <c r="Z1910" s="11"/>
      <c r="AA1910" s="11"/>
      <c r="AB1910" s="11"/>
      <c r="AC1910" s="11"/>
    </row>
    <row r="1911" spans="1:29" x14ac:dyDescent="0.3">
      <c r="A1911" s="11"/>
      <c r="B1911" s="11"/>
      <c r="C1911" s="11"/>
      <c r="D1911" s="11"/>
      <c r="E1911" s="11"/>
      <c r="F1911" s="11"/>
      <c r="G1911" s="11"/>
      <c r="H1911" s="11"/>
      <c r="I1911" s="11"/>
      <c r="J1911" s="11"/>
      <c r="K1911" s="11"/>
      <c r="L1911" s="11"/>
      <c r="M1911" s="11"/>
      <c r="N1911" s="11"/>
      <c r="O1911" s="11"/>
      <c r="P1911" s="11"/>
      <c r="Q1911" s="11"/>
      <c r="R1911" s="11"/>
      <c r="S1911" s="11"/>
      <c r="T1911" s="11"/>
      <c r="U1911" s="11"/>
      <c r="V1911" s="11"/>
      <c r="W1911" s="11"/>
      <c r="X1911" s="11"/>
      <c r="Y1911" s="11"/>
      <c r="Z1911" s="11"/>
      <c r="AA1911" s="11"/>
      <c r="AB1911" s="11"/>
      <c r="AC1911" s="11"/>
    </row>
    <row r="1912" spans="1:29" x14ac:dyDescent="0.3">
      <c r="A1912" s="11"/>
      <c r="B1912" s="11"/>
      <c r="C1912" s="11"/>
      <c r="D1912" s="11"/>
      <c r="E1912" s="11"/>
      <c r="F1912" s="11"/>
      <c r="G1912" s="11"/>
      <c r="H1912" s="11"/>
      <c r="I1912" s="11"/>
      <c r="J1912" s="11"/>
      <c r="K1912" s="11"/>
      <c r="L1912" s="11"/>
      <c r="M1912" s="11"/>
      <c r="N1912" s="11"/>
      <c r="O1912" s="11"/>
      <c r="P1912" s="11"/>
      <c r="Q1912" s="11"/>
      <c r="R1912" s="11"/>
      <c r="S1912" s="11"/>
      <c r="T1912" s="11"/>
      <c r="U1912" s="11"/>
      <c r="V1912" s="11"/>
      <c r="W1912" s="11"/>
      <c r="X1912" s="11"/>
      <c r="Y1912" s="11"/>
      <c r="Z1912" s="11"/>
      <c r="AA1912" s="11"/>
      <c r="AB1912" s="11"/>
      <c r="AC1912" s="11"/>
    </row>
    <row r="1913" spans="1:29" x14ac:dyDescent="0.3">
      <c r="A1913" s="11"/>
      <c r="B1913" s="11"/>
      <c r="C1913" s="11"/>
      <c r="D1913" s="11"/>
      <c r="E1913" s="11"/>
      <c r="F1913" s="11"/>
      <c r="G1913" s="11"/>
      <c r="H1913" s="11"/>
      <c r="I1913" s="11"/>
      <c r="J1913" s="11"/>
      <c r="K1913" s="11"/>
      <c r="L1913" s="11"/>
      <c r="M1913" s="11"/>
      <c r="N1913" s="11"/>
      <c r="O1913" s="11"/>
      <c r="P1913" s="11"/>
      <c r="Q1913" s="11"/>
      <c r="R1913" s="11"/>
      <c r="S1913" s="11"/>
      <c r="T1913" s="11"/>
      <c r="U1913" s="11"/>
      <c r="V1913" s="11"/>
      <c r="W1913" s="11"/>
      <c r="X1913" s="11"/>
      <c r="Y1913" s="11"/>
      <c r="Z1913" s="11"/>
      <c r="AA1913" s="11"/>
      <c r="AB1913" s="11"/>
      <c r="AC1913" s="11"/>
    </row>
    <row r="1914" spans="1:29" x14ac:dyDescent="0.3">
      <c r="A1914" s="11"/>
      <c r="B1914" s="11"/>
      <c r="C1914" s="11"/>
      <c r="D1914" s="11"/>
      <c r="E1914" s="11"/>
      <c r="F1914" s="11"/>
      <c r="G1914" s="11"/>
      <c r="H1914" s="11"/>
      <c r="I1914" s="11"/>
      <c r="J1914" s="11"/>
      <c r="K1914" s="11"/>
      <c r="L1914" s="11"/>
      <c r="M1914" s="11"/>
      <c r="N1914" s="11"/>
      <c r="O1914" s="11"/>
      <c r="P1914" s="11"/>
      <c r="Q1914" s="11"/>
      <c r="R1914" s="11"/>
      <c r="S1914" s="11"/>
      <c r="T1914" s="11"/>
      <c r="U1914" s="11"/>
      <c r="V1914" s="11"/>
      <c r="W1914" s="11"/>
      <c r="X1914" s="11"/>
      <c r="Y1914" s="11"/>
      <c r="Z1914" s="11"/>
      <c r="AA1914" s="11"/>
      <c r="AB1914" s="11"/>
      <c r="AC1914" s="11"/>
    </row>
    <row r="1915" spans="1:29" x14ac:dyDescent="0.3">
      <c r="A1915" s="11"/>
      <c r="B1915" s="11"/>
      <c r="C1915" s="11"/>
      <c r="D1915" s="11"/>
      <c r="E1915" s="11"/>
      <c r="F1915" s="11"/>
      <c r="G1915" s="11"/>
      <c r="H1915" s="11"/>
      <c r="I1915" s="11"/>
      <c r="J1915" s="11"/>
      <c r="K1915" s="11"/>
      <c r="L1915" s="11"/>
      <c r="M1915" s="11"/>
      <c r="N1915" s="11"/>
      <c r="O1915" s="11"/>
      <c r="P1915" s="11"/>
      <c r="Q1915" s="11"/>
      <c r="R1915" s="11"/>
      <c r="S1915" s="11"/>
      <c r="T1915" s="11"/>
      <c r="U1915" s="11"/>
      <c r="V1915" s="11"/>
      <c r="W1915" s="11"/>
      <c r="X1915" s="11"/>
      <c r="Y1915" s="11"/>
      <c r="Z1915" s="11"/>
      <c r="AA1915" s="11"/>
      <c r="AB1915" s="11"/>
      <c r="AC1915" s="11"/>
    </row>
    <row r="1916" spans="1:29" x14ac:dyDescent="0.3">
      <c r="A1916" s="11"/>
      <c r="B1916" s="11"/>
      <c r="C1916" s="11"/>
      <c r="D1916" s="11"/>
      <c r="E1916" s="11"/>
      <c r="F1916" s="11"/>
      <c r="G1916" s="11"/>
      <c r="H1916" s="11"/>
      <c r="I1916" s="11"/>
      <c r="J1916" s="11"/>
      <c r="K1916" s="11"/>
      <c r="L1916" s="11"/>
      <c r="M1916" s="11"/>
      <c r="N1916" s="11"/>
      <c r="O1916" s="11"/>
      <c r="P1916" s="11"/>
      <c r="Q1916" s="11"/>
      <c r="R1916" s="11"/>
      <c r="S1916" s="11"/>
      <c r="T1916" s="11"/>
      <c r="U1916" s="11"/>
      <c r="V1916" s="11"/>
      <c r="W1916" s="11"/>
      <c r="X1916" s="11"/>
      <c r="Y1916" s="11"/>
      <c r="Z1916" s="11"/>
      <c r="AA1916" s="11"/>
      <c r="AB1916" s="11"/>
      <c r="AC1916" s="11"/>
    </row>
    <row r="1917" spans="1:29" x14ac:dyDescent="0.3">
      <c r="A1917" s="11"/>
      <c r="B1917" s="11"/>
      <c r="C1917" s="11"/>
      <c r="D1917" s="11"/>
      <c r="E1917" s="11"/>
      <c r="F1917" s="11"/>
      <c r="G1917" s="11"/>
      <c r="H1917" s="11"/>
      <c r="I1917" s="11"/>
      <c r="J1917" s="11"/>
      <c r="K1917" s="11"/>
      <c r="L1917" s="11"/>
      <c r="M1917" s="11"/>
      <c r="N1917" s="11"/>
      <c r="O1917" s="11"/>
      <c r="P1917" s="11"/>
      <c r="Q1917" s="11"/>
      <c r="R1917" s="11"/>
      <c r="S1917" s="11"/>
      <c r="T1917" s="11"/>
      <c r="U1917" s="11"/>
      <c r="V1917" s="11"/>
      <c r="W1917" s="11"/>
      <c r="X1917" s="11"/>
      <c r="Y1917" s="11"/>
      <c r="Z1917" s="11"/>
      <c r="AA1917" s="11"/>
      <c r="AB1917" s="11"/>
      <c r="AC1917" s="11"/>
    </row>
    <row r="1918" spans="1:29" x14ac:dyDescent="0.3">
      <c r="A1918" s="11"/>
      <c r="B1918" s="11"/>
      <c r="C1918" s="11"/>
      <c r="D1918" s="11"/>
      <c r="E1918" s="11"/>
      <c r="F1918" s="11"/>
      <c r="G1918" s="11"/>
      <c r="H1918" s="11"/>
      <c r="I1918" s="11"/>
      <c r="J1918" s="11"/>
      <c r="K1918" s="11"/>
      <c r="L1918" s="11"/>
      <c r="M1918" s="11"/>
      <c r="N1918" s="11"/>
      <c r="O1918" s="11"/>
      <c r="P1918" s="11"/>
      <c r="Q1918" s="11"/>
      <c r="R1918" s="11"/>
      <c r="S1918" s="11"/>
      <c r="T1918" s="11"/>
      <c r="U1918" s="11"/>
      <c r="V1918" s="11"/>
      <c r="W1918" s="11"/>
      <c r="X1918" s="11"/>
      <c r="Y1918" s="11"/>
      <c r="Z1918" s="11"/>
      <c r="AA1918" s="11"/>
      <c r="AB1918" s="11"/>
      <c r="AC1918" s="11"/>
    </row>
    <row r="1919" spans="1:29" x14ac:dyDescent="0.3">
      <c r="A1919" s="11"/>
      <c r="B1919" s="11"/>
      <c r="C1919" s="11"/>
      <c r="D1919" s="11"/>
      <c r="E1919" s="11"/>
      <c r="F1919" s="11"/>
      <c r="G1919" s="11"/>
      <c r="H1919" s="11"/>
      <c r="I1919" s="11"/>
      <c r="J1919" s="11"/>
      <c r="K1919" s="11"/>
      <c r="L1919" s="11"/>
      <c r="M1919" s="11"/>
      <c r="N1919" s="11"/>
      <c r="O1919" s="11"/>
      <c r="P1919" s="11"/>
      <c r="Q1919" s="11"/>
      <c r="R1919" s="11"/>
      <c r="S1919" s="11"/>
      <c r="T1919" s="11"/>
      <c r="U1919" s="11"/>
      <c r="V1919" s="11"/>
      <c r="W1919" s="11"/>
      <c r="X1919" s="11"/>
      <c r="Y1919" s="11"/>
      <c r="Z1919" s="11"/>
      <c r="AA1919" s="11"/>
      <c r="AB1919" s="11"/>
      <c r="AC1919" s="11"/>
    </row>
    <row r="1920" spans="1:29" x14ac:dyDescent="0.3">
      <c r="A1920" s="11"/>
      <c r="B1920" s="11"/>
      <c r="C1920" s="11"/>
      <c r="D1920" s="11"/>
      <c r="E1920" s="11"/>
      <c r="F1920" s="11"/>
      <c r="G1920" s="11"/>
      <c r="H1920" s="11"/>
      <c r="I1920" s="11"/>
      <c r="J1920" s="11"/>
      <c r="K1920" s="11"/>
      <c r="L1920" s="11"/>
      <c r="M1920" s="11"/>
      <c r="N1920" s="11"/>
      <c r="O1920" s="11"/>
      <c r="P1920" s="11"/>
      <c r="Q1920" s="11"/>
      <c r="R1920" s="11"/>
      <c r="S1920" s="11"/>
      <c r="T1920" s="11"/>
      <c r="U1920" s="11"/>
      <c r="V1920" s="11"/>
      <c r="W1920" s="11"/>
      <c r="X1920" s="11"/>
      <c r="Y1920" s="11"/>
      <c r="Z1920" s="11"/>
      <c r="AA1920" s="11"/>
      <c r="AB1920" s="11"/>
      <c r="AC1920" s="11"/>
    </row>
    <row r="1921" spans="1:29" x14ac:dyDescent="0.3">
      <c r="A1921" s="11"/>
      <c r="B1921" s="11"/>
      <c r="C1921" s="11"/>
      <c r="D1921" s="11"/>
      <c r="E1921" s="11"/>
      <c r="F1921" s="11"/>
      <c r="G1921" s="11"/>
      <c r="H1921" s="11"/>
      <c r="I1921" s="11"/>
      <c r="J1921" s="11"/>
      <c r="K1921" s="11"/>
      <c r="L1921" s="11"/>
      <c r="M1921" s="11"/>
      <c r="N1921" s="11"/>
      <c r="O1921" s="11"/>
      <c r="P1921" s="11"/>
      <c r="Q1921" s="11"/>
      <c r="R1921" s="11"/>
      <c r="S1921" s="11"/>
      <c r="T1921" s="11"/>
      <c r="U1921" s="11"/>
      <c r="V1921" s="11"/>
      <c r="W1921" s="11"/>
      <c r="X1921" s="11"/>
      <c r="Y1921" s="11"/>
      <c r="Z1921" s="11"/>
      <c r="AA1921" s="11"/>
      <c r="AB1921" s="11"/>
      <c r="AC1921" s="11"/>
    </row>
    <row r="1922" spans="1:29" x14ac:dyDescent="0.3">
      <c r="A1922" s="11"/>
      <c r="B1922" s="11"/>
      <c r="C1922" s="11"/>
      <c r="D1922" s="11"/>
      <c r="E1922" s="11"/>
      <c r="F1922" s="11"/>
      <c r="G1922" s="11"/>
      <c r="H1922" s="11"/>
      <c r="I1922" s="11"/>
      <c r="J1922" s="11"/>
      <c r="K1922" s="11"/>
      <c r="L1922" s="11"/>
      <c r="M1922" s="11"/>
      <c r="N1922" s="11"/>
      <c r="O1922" s="11"/>
      <c r="P1922" s="11"/>
      <c r="Q1922" s="11"/>
      <c r="R1922" s="11"/>
      <c r="S1922" s="11"/>
      <c r="T1922" s="11"/>
      <c r="U1922" s="11"/>
      <c r="V1922" s="11"/>
      <c r="W1922" s="11"/>
      <c r="X1922" s="11"/>
      <c r="Y1922" s="11"/>
      <c r="Z1922" s="11"/>
      <c r="AA1922" s="11"/>
      <c r="AB1922" s="11"/>
      <c r="AC1922" s="11"/>
    </row>
    <row r="1923" spans="1:29" x14ac:dyDescent="0.3">
      <c r="A1923" s="11"/>
      <c r="B1923" s="11"/>
      <c r="C1923" s="11"/>
      <c r="D1923" s="11"/>
      <c r="E1923" s="11"/>
      <c r="F1923" s="11"/>
      <c r="G1923" s="11"/>
      <c r="H1923" s="11"/>
      <c r="I1923" s="11"/>
      <c r="J1923" s="11"/>
      <c r="K1923" s="11"/>
      <c r="L1923" s="11"/>
      <c r="M1923" s="11"/>
      <c r="N1923" s="11"/>
      <c r="O1923" s="11"/>
      <c r="P1923" s="11"/>
      <c r="Q1923" s="11"/>
      <c r="R1923" s="11"/>
      <c r="S1923" s="11"/>
      <c r="T1923" s="11"/>
      <c r="U1923" s="11"/>
      <c r="V1923" s="11"/>
      <c r="W1923" s="11"/>
      <c r="X1923" s="11"/>
      <c r="Y1923" s="11"/>
      <c r="Z1923" s="11"/>
      <c r="AA1923" s="11"/>
      <c r="AB1923" s="11"/>
      <c r="AC1923" s="11"/>
    </row>
    <row r="1924" spans="1:29" x14ac:dyDescent="0.3">
      <c r="A1924" s="11"/>
      <c r="B1924" s="11"/>
      <c r="C1924" s="11"/>
      <c r="D1924" s="11"/>
      <c r="E1924" s="11"/>
      <c r="F1924" s="11"/>
      <c r="G1924" s="11"/>
      <c r="H1924" s="11"/>
      <c r="I1924" s="11"/>
      <c r="J1924" s="11"/>
      <c r="K1924" s="11"/>
      <c r="L1924" s="11"/>
      <c r="M1924" s="11"/>
      <c r="N1924" s="11"/>
      <c r="O1924" s="11"/>
      <c r="P1924" s="11"/>
      <c r="Q1924" s="11"/>
      <c r="R1924" s="11"/>
      <c r="S1924" s="11"/>
      <c r="T1924" s="11"/>
      <c r="U1924" s="11"/>
      <c r="V1924" s="11"/>
      <c r="W1924" s="11"/>
      <c r="X1924" s="11"/>
      <c r="Y1924" s="11"/>
      <c r="Z1924" s="11"/>
      <c r="AA1924" s="11"/>
      <c r="AB1924" s="11"/>
      <c r="AC1924" s="11"/>
    </row>
    <row r="1925" spans="1:29" x14ac:dyDescent="0.3">
      <c r="A1925" s="11"/>
      <c r="B1925" s="11"/>
      <c r="C1925" s="11"/>
      <c r="D1925" s="11"/>
      <c r="E1925" s="11"/>
      <c r="F1925" s="11"/>
      <c r="G1925" s="11"/>
      <c r="H1925" s="11"/>
      <c r="I1925" s="11"/>
      <c r="J1925" s="11"/>
      <c r="K1925" s="11"/>
      <c r="L1925" s="11"/>
      <c r="M1925" s="11"/>
      <c r="N1925" s="11"/>
      <c r="O1925" s="11"/>
      <c r="P1925" s="11"/>
      <c r="Q1925" s="11"/>
      <c r="R1925" s="11"/>
      <c r="S1925" s="11"/>
      <c r="T1925" s="11"/>
      <c r="U1925" s="11"/>
      <c r="V1925" s="11"/>
      <c r="W1925" s="11"/>
      <c r="X1925" s="11"/>
      <c r="Y1925" s="11"/>
      <c r="Z1925" s="11"/>
      <c r="AA1925" s="11"/>
      <c r="AB1925" s="11"/>
      <c r="AC1925" s="11"/>
    </row>
    <row r="1926" spans="1:29" x14ac:dyDescent="0.3">
      <c r="A1926" s="11"/>
      <c r="B1926" s="11"/>
      <c r="C1926" s="11"/>
      <c r="D1926" s="11"/>
      <c r="E1926" s="11"/>
      <c r="F1926" s="11"/>
      <c r="G1926" s="11"/>
      <c r="H1926" s="11"/>
      <c r="I1926" s="11"/>
      <c r="J1926" s="11"/>
      <c r="K1926" s="11"/>
      <c r="L1926" s="11"/>
      <c r="M1926" s="11"/>
      <c r="N1926" s="11"/>
      <c r="O1926" s="11"/>
      <c r="P1926" s="11"/>
      <c r="Q1926" s="11"/>
      <c r="R1926" s="11"/>
      <c r="S1926" s="11"/>
      <c r="T1926" s="11"/>
      <c r="U1926" s="11"/>
      <c r="V1926" s="11"/>
      <c r="W1926" s="11"/>
      <c r="X1926" s="11"/>
      <c r="Y1926" s="11"/>
      <c r="Z1926" s="11"/>
      <c r="AA1926" s="11"/>
      <c r="AB1926" s="11"/>
      <c r="AC1926" s="11"/>
    </row>
    <row r="1927" spans="1:29" x14ac:dyDescent="0.3">
      <c r="A1927" s="11"/>
      <c r="B1927" s="11"/>
      <c r="C1927" s="11"/>
      <c r="D1927" s="11"/>
      <c r="E1927" s="11"/>
      <c r="F1927" s="11"/>
      <c r="G1927" s="11"/>
      <c r="H1927" s="11"/>
      <c r="I1927" s="11"/>
      <c r="J1927" s="11"/>
      <c r="K1927" s="11"/>
      <c r="L1927" s="11"/>
      <c r="M1927" s="11"/>
      <c r="N1927" s="11"/>
      <c r="O1927" s="11"/>
      <c r="P1927" s="11"/>
      <c r="Q1927" s="11"/>
      <c r="R1927" s="11"/>
      <c r="S1927" s="11"/>
      <c r="T1927" s="11"/>
      <c r="U1927" s="11"/>
      <c r="V1927" s="11"/>
      <c r="W1927" s="11"/>
      <c r="X1927" s="11"/>
      <c r="Y1927" s="11"/>
      <c r="Z1927" s="11"/>
      <c r="AA1927" s="11"/>
      <c r="AB1927" s="11"/>
      <c r="AC1927" s="11"/>
    </row>
    <row r="1928" spans="1:29" x14ac:dyDescent="0.3">
      <c r="A1928" s="11"/>
      <c r="B1928" s="11"/>
      <c r="C1928" s="11"/>
      <c r="D1928" s="11"/>
      <c r="E1928" s="11"/>
      <c r="F1928" s="11"/>
      <c r="G1928" s="11"/>
      <c r="H1928" s="11"/>
      <c r="I1928" s="11"/>
      <c r="J1928" s="11"/>
      <c r="K1928" s="11"/>
      <c r="L1928" s="11"/>
      <c r="M1928" s="11"/>
      <c r="N1928" s="11"/>
      <c r="O1928" s="11"/>
      <c r="P1928" s="11"/>
      <c r="Q1928" s="11"/>
      <c r="R1928" s="11"/>
      <c r="S1928" s="11"/>
      <c r="T1928" s="11"/>
      <c r="U1928" s="11"/>
      <c r="V1928" s="11"/>
      <c r="W1928" s="11"/>
      <c r="X1928" s="11"/>
      <c r="Y1928" s="11"/>
      <c r="Z1928" s="11"/>
      <c r="AA1928" s="11"/>
      <c r="AB1928" s="11"/>
      <c r="AC1928" s="11"/>
    </row>
    <row r="1929" spans="1:29" x14ac:dyDescent="0.3">
      <c r="A1929" s="11"/>
      <c r="B1929" s="11"/>
      <c r="C1929" s="11"/>
      <c r="D1929" s="11"/>
      <c r="E1929" s="11"/>
      <c r="F1929" s="11"/>
      <c r="G1929" s="11"/>
      <c r="H1929" s="11"/>
      <c r="I1929" s="11"/>
      <c r="J1929" s="11"/>
      <c r="K1929" s="11"/>
      <c r="L1929" s="11"/>
      <c r="M1929" s="11"/>
      <c r="N1929" s="11"/>
      <c r="O1929" s="11"/>
      <c r="P1929" s="11"/>
      <c r="Q1929" s="11"/>
      <c r="R1929" s="11"/>
      <c r="S1929" s="11"/>
      <c r="T1929" s="11"/>
      <c r="U1929" s="11"/>
      <c r="V1929" s="11"/>
      <c r="W1929" s="11"/>
      <c r="X1929" s="11"/>
      <c r="Y1929" s="11"/>
      <c r="Z1929" s="11"/>
      <c r="AA1929" s="11"/>
      <c r="AB1929" s="11"/>
      <c r="AC1929" s="11"/>
    </row>
    <row r="1930" spans="1:29" x14ac:dyDescent="0.3">
      <c r="A1930" s="11"/>
      <c r="B1930" s="11"/>
      <c r="C1930" s="11"/>
      <c r="D1930" s="11"/>
      <c r="E1930" s="11"/>
      <c r="F1930" s="11"/>
      <c r="G1930" s="11"/>
      <c r="H1930" s="11"/>
      <c r="I1930" s="11"/>
      <c r="J1930" s="11"/>
      <c r="K1930" s="11"/>
      <c r="L1930" s="11"/>
      <c r="M1930" s="11"/>
      <c r="N1930" s="11"/>
      <c r="O1930" s="11"/>
      <c r="P1930" s="11"/>
      <c r="Q1930" s="11"/>
      <c r="R1930" s="11"/>
      <c r="S1930" s="11"/>
      <c r="T1930" s="11"/>
      <c r="U1930" s="11"/>
      <c r="V1930" s="11"/>
      <c r="W1930" s="11"/>
      <c r="X1930" s="11"/>
      <c r="Y1930" s="11"/>
      <c r="Z1930" s="11"/>
      <c r="AA1930" s="11"/>
      <c r="AB1930" s="11"/>
      <c r="AC1930" s="11"/>
    </row>
    <row r="1931" spans="1:29" x14ac:dyDescent="0.3">
      <c r="A1931" s="11"/>
      <c r="B1931" s="11"/>
      <c r="C1931" s="11"/>
      <c r="D1931" s="11"/>
      <c r="E1931" s="11"/>
      <c r="F1931" s="11"/>
      <c r="G1931" s="11"/>
      <c r="H1931" s="11"/>
      <c r="I1931" s="11"/>
      <c r="J1931" s="11"/>
      <c r="K1931" s="11"/>
      <c r="L1931" s="11"/>
      <c r="M1931" s="11"/>
      <c r="N1931" s="11"/>
      <c r="O1931" s="11"/>
      <c r="P1931" s="11"/>
      <c r="Q1931" s="11"/>
      <c r="R1931" s="11"/>
      <c r="S1931" s="11"/>
      <c r="T1931" s="11"/>
      <c r="U1931" s="11"/>
      <c r="V1931" s="11"/>
      <c r="W1931" s="11"/>
      <c r="X1931" s="11"/>
      <c r="Y1931" s="11"/>
      <c r="Z1931" s="11"/>
      <c r="AA1931" s="11"/>
      <c r="AB1931" s="11"/>
      <c r="AC1931" s="11"/>
    </row>
    <row r="1932" spans="1:29" x14ac:dyDescent="0.3">
      <c r="A1932" s="11"/>
      <c r="B1932" s="11"/>
      <c r="C1932" s="11"/>
      <c r="D1932" s="11"/>
      <c r="E1932" s="11"/>
      <c r="F1932" s="11"/>
      <c r="G1932" s="11"/>
      <c r="H1932" s="11"/>
      <c r="I1932" s="11"/>
      <c r="J1932" s="11"/>
      <c r="K1932" s="11"/>
      <c r="L1932" s="11"/>
      <c r="M1932" s="11"/>
      <c r="N1932" s="11"/>
      <c r="O1932" s="11"/>
      <c r="P1932" s="11"/>
      <c r="Q1932" s="11"/>
      <c r="R1932" s="11"/>
      <c r="S1932" s="11"/>
      <c r="T1932" s="11"/>
      <c r="U1932" s="11"/>
      <c r="V1932" s="11"/>
      <c r="W1932" s="11"/>
      <c r="X1932" s="11"/>
      <c r="Y1932" s="11"/>
      <c r="Z1932" s="11"/>
      <c r="AA1932" s="11"/>
      <c r="AB1932" s="11"/>
      <c r="AC1932" s="11"/>
    </row>
    <row r="1933" spans="1:29" x14ac:dyDescent="0.3">
      <c r="A1933" s="11"/>
      <c r="B1933" s="11"/>
      <c r="C1933" s="11"/>
      <c r="D1933" s="11"/>
      <c r="E1933" s="11"/>
      <c r="F1933" s="11"/>
      <c r="G1933" s="11"/>
      <c r="H1933" s="11"/>
      <c r="I1933" s="11"/>
      <c r="J1933" s="11"/>
      <c r="K1933" s="11"/>
      <c r="L1933" s="11"/>
      <c r="M1933" s="11"/>
      <c r="N1933" s="11"/>
      <c r="O1933" s="11"/>
      <c r="P1933" s="11"/>
      <c r="Q1933" s="11"/>
      <c r="R1933" s="11"/>
      <c r="S1933" s="11"/>
      <c r="T1933" s="11"/>
      <c r="U1933" s="11"/>
      <c r="V1933" s="11"/>
      <c r="W1933" s="11"/>
      <c r="X1933" s="11"/>
      <c r="Y1933" s="11"/>
      <c r="Z1933" s="11"/>
      <c r="AA1933" s="11"/>
      <c r="AB1933" s="11"/>
      <c r="AC1933" s="11"/>
    </row>
    <row r="1934" spans="1:29" x14ac:dyDescent="0.3">
      <c r="A1934" s="11"/>
      <c r="B1934" s="11"/>
      <c r="C1934" s="11"/>
      <c r="D1934" s="11"/>
      <c r="E1934" s="11"/>
      <c r="F1934" s="11"/>
      <c r="G1934" s="11"/>
      <c r="H1934" s="11"/>
      <c r="I1934" s="11"/>
      <c r="J1934" s="11"/>
      <c r="K1934" s="11"/>
      <c r="L1934" s="11"/>
      <c r="M1934" s="11"/>
      <c r="N1934" s="11"/>
      <c r="O1934" s="11"/>
      <c r="P1934" s="11"/>
      <c r="Q1934" s="11"/>
      <c r="R1934" s="11"/>
      <c r="S1934" s="11"/>
      <c r="T1934" s="11"/>
      <c r="U1934" s="11"/>
      <c r="V1934" s="11"/>
      <c r="W1934" s="11"/>
      <c r="X1934" s="11"/>
      <c r="Y1934" s="11"/>
      <c r="Z1934" s="11"/>
      <c r="AA1934" s="11"/>
      <c r="AB1934" s="11"/>
      <c r="AC1934" s="11"/>
    </row>
    <row r="1935" spans="1:29" x14ac:dyDescent="0.3">
      <c r="A1935" s="11"/>
      <c r="B1935" s="11"/>
      <c r="C1935" s="11"/>
      <c r="D1935" s="11"/>
      <c r="E1935" s="11"/>
      <c r="F1935" s="11"/>
      <c r="G1935" s="11"/>
      <c r="H1935" s="11"/>
      <c r="I1935" s="11"/>
      <c r="J1935" s="11"/>
      <c r="K1935" s="11"/>
      <c r="L1935" s="11"/>
      <c r="M1935" s="11"/>
      <c r="N1935" s="11"/>
      <c r="O1935" s="11"/>
      <c r="P1935" s="11"/>
      <c r="Q1935" s="11"/>
      <c r="R1935" s="11"/>
      <c r="S1935" s="11"/>
      <c r="T1935" s="11"/>
      <c r="U1935" s="11"/>
      <c r="V1935" s="11"/>
      <c r="W1935" s="11"/>
      <c r="X1935" s="11"/>
      <c r="Y1935" s="11"/>
      <c r="Z1935" s="11"/>
      <c r="AA1935" s="11"/>
      <c r="AB1935" s="11"/>
      <c r="AC1935" s="11"/>
    </row>
    <row r="1936" spans="1:29" x14ac:dyDescent="0.3">
      <c r="A1936" s="11"/>
      <c r="B1936" s="11"/>
      <c r="C1936" s="11"/>
      <c r="D1936" s="11"/>
      <c r="E1936" s="11"/>
      <c r="F1936" s="11"/>
      <c r="G1936" s="11"/>
      <c r="H1936" s="11"/>
      <c r="I1936" s="11"/>
      <c r="J1936" s="11"/>
      <c r="K1936" s="11"/>
      <c r="L1936" s="11"/>
      <c r="M1936" s="11"/>
      <c r="N1936" s="11"/>
      <c r="O1936" s="11"/>
      <c r="P1936" s="11"/>
      <c r="Q1936" s="11"/>
      <c r="R1936" s="11"/>
      <c r="S1936" s="11"/>
      <c r="T1936" s="11"/>
      <c r="U1936" s="11"/>
      <c r="V1936" s="11"/>
      <c r="W1936" s="11"/>
      <c r="X1936" s="11"/>
      <c r="Y1936" s="11"/>
      <c r="Z1936" s="11"/>
      <c r="AA1936" s="11"/>
      <c r="AB1936" s="11"/>
      <c r="AC1936" s="11"/>
    </row>
    <row r="1937" spans="1:29" x14ac:dyDescent="0.3">
      <c r="A1937" s="11"/>
      <c r="B1937" s="11"/>
      <c r="C1937" s="11"/>
      <c r="D1937" s="11"/>
      <c r="E1937" s="11"/>
      <c r="F1937" s="11"/>
      <c r="G1937" s="11"/>
      <c r="H1937" s="11"/>
      <c r="I1937" s="11"/>
      <c r="J1937" s="11"/>
      <c r="K1937" s="11"/>
      <c r="L1937" s="11"/>
      <c r="M1937" s="11"/>
      <c r="N1937" s="11"/>
      <c r="O1937" s="11"/>
      <c r="P1937" s="11"/>
      <c r="Q1937" s="11"/>
      <c r="R1937" s="11"/>
      <c r="S1937" s="11"/>
      <c r="T1937" s="11"/>
      <c r="U1937" s="11"/>
      <c r="V1937" s="11"/>
      <c r="W1937" s="11"/>
      <c r="X1937" s="11"/>
      <c r="Y1937" s="11"/>
      <c r="Z1937" s="11"/>
      <c r="AA1937" s="11"/>
      <c r="AB1937" s="11"/>
      <c r="AC1937" s="11"/>
    </row>
    <row r="1938" spans="1:29" x14ac:dyDescent="0.3">
      <c r="A1938" s="11"/>
      <c r="B1938" s="11"/>
      <c r="C1938" s="11"/>
      <c r="D1938" s="11"/>
      <c r="E1938" s="11"/>
      <c r="F1938" s="11"/>
      <c r="G1938" s="11"/>
      <c r="H1938" s="11"/>
      <c r="I1938" s="11"/>
      <c r="J1938" s="11"/>
      <c r="K1938" s="11"/>
      <c r="L1938" s="11"/>
      <c r="M1938" s="11"/>
      <c r="N1938" s="11"/>
      <c r="O1938" s="11"/>
      <c r="P1938" s="11"/>
      <c r="Q1938" s="11"/>
      <c r="R1938" s="11"/>
      <c r="S1938" s="11"/>
      <c r="T1938" s="11"/>
      <c r="U1938" s="11"/>
      <c r="V1938" s="11"/>
      <c r="W1938" s="11"/>
      <c r="X1938" s="11"/>
      <c r="Y1938" s="11"/>
      <c r="Z1938" s="11"/>
      <c r="AA1938" s="11"/>
      <c r="AB1938" s="11"/>
      <c r="AC1938" s="11"/>
    </row>
    <row r="1939" spans="1:29" x14ac:dyDescent="0.3">
      <c r="A1939" s="11"/>
      <c r="B1939" s="11"/>
      <c r="C1939" s="11"/>
      <c r="D1939" s="11"/>
      <c r="E1939" s="11"/>
      <c r="F1939" s="11"/>
      <c r="G1939" s="11"/>
      <c r="H1939" s="11"/>
      <c r="I1939" s="11"/>
      <c r="J1939" s="11"/>
      <c r="K1939" s="11"/>
      <c r="L1939" s="11"/>
      <c r="M1939" s="11"/>
      <c r="N1939" s="11"/>
      <c r="O1939" s="11"/>
      <c r="P1939" s="11"/>
      <c r="Q1939" s="11"/>
      <c r="R1939" s="11"/>
      <c r="S1939" s="11"/>
      <c r="T1939" s="11"/>
      <c r="U1939" s="11"/>
      <c r="V1939" s="11"/>
      <c r="W1939" s="11"/>
      <c r="X1939" s="11"/>
      <c r="Y1939" s="11"/>
      <c r="Z1939" s="11"/>
      <c r="AA1939" s="11"/>
      <c r="AB1939" s="11"/>
      <c r="AC1939" s="11"/>
    </row>
    <row r="1940" spans="1:29" x14ac:dyDescent="0.3">
      <c r="A1940" s="11"/>
      <c r="B1940" s="11"/>
      <c r="C1940" s="11"/>
      <c r="D1940" s="11"/>
      <c r="E1940" s="11"/>
      <c r="F1940" s="11"/>
      <c r="G1940" s="11"/>
      <c r="H1940" s="11"/>
      <c r="I1940" s="11"/>
      <c r="J1940" s="11"/>
      <c r="K1940" s="11"/>
      <c r="L1940" s="11"/>
      <c r="M1940" s="11"/>
      <c r="N1940" s="11"/>
      <c r="O1940" s="11"/>
      <c r="P1940" s="11"/>
      <c r="Q1940" s="11"/>
      <c r="R1940" s="11"/>
      <c r="S1940" s="11"/>
      <c r="T1940" s="11"/>
      <c r="U1940" s="11"/>
      <c r="V1940" s="11"/>
      <c r="W1940" s="11"/>
      <c r="X1940" s="11"/>
      <c r="Y1940" s="11"/>
      <c r="Z1940" s="11"/>
      <c r="AA1940" s="11"/>
      <c r="AB1940" s="11"/>
      <c r="AC1940" s="11"/>
    </row>
    <row r="1941" spans="1:29" x14ac:dyDescent="0.3">
      <c r="A1941" s="11"/>
      <c r="B1941" s="11"/>
      <c r="C1941" s="11"/>
      <c r="D1941" s="11"/>
      <c r="E1941" s="11"/>
      <c r="F1941" s="11"/>
      <c r="G1941" s="11"/>
      <c r="H1941" s="11"/>
      <c r="I1941" s="11"/>
      <c r="J1941" s="11"/>
      <c r="K1941" s="11"/>
      <c r="L1941" s="11"/>
      <c r="M1941" s="11"/>
      <c r="N1941" s="11"/>
      <c r="O1941" s="11"/>
      <c r="P1941" s="11"/>
      <c r="Q1941" s="11"/>
      <c r="R1941" s="11"/>
      <c r="S1941" s="11"/>
      <c r="T1941" s="11"/>
      <c r="U1941" s="11"/>
      <c r="V1941" s="11"/>
      <c r="W1941" s="11"/>
      <c r="X1941" s="11"/>
      <c r="Y1941" s="11"/>
      <c r="Z1941" s="11"/>
      <c r="AA1941" s="11"/>
      <c r="AB1941" s="11"/>
      <c r="AC1941" s="11"/>
    </row>
    <row r="1942" spans="1:29" x14ac:dyDescent="0.3">
      <c r="A1942" s="11"/>
      <c r="B1942" s="11"/>
      <c r="C1942" s="11"/>
      <c r="D1942" s="11"/>
      <c r="E1942" s="11"/>
      <c r="F1942" s="11"/>
      <c r="G1942" s="11"/>
      <c r="H1942" s="11"/>
      <c r="I1942" s="11"/>
      <c r="J1942" s="11"/>
      <c r="K1942" s="11"/>
      <c r="L1942" s="11"/>
      <c r="M1942" s="11"/>
      <c r="N1942" s="11"/>
      <c r="O1942" s="11"/>
      <c r="P1942" s="11"/>
      <c r="Q1942" s="11"/>
      <c r="R1942" s="11"/>
      <c r="S1942" s="11"/>
      <c r="T1942" s="11"/>
      <c r="U1942" s="11"/>
      <c r="V1942" s="11"/>
      <c r="W1942" s="11"/>
      <c r="X1942" s="11"/>
      <c r="Y1942" s="11"/>
      <c r="Z1942" s="11"/>
      <c r="AA1942" s="11"/>
      <c r="AB1942" s="11"/>
      <c r="AC1942" s="11"/>
    </row>
    <row r="1943" spans="1:29" x14ac:dyDescent="0.3">
      <c r="A1943" s="11"/>
      <c r="B1943" s="11"/>
      <c r="C1943" s="11"/>
      <c r="D1943" s="11"/>
      <c r="E1943" s="11"/>
      <c r="F1943" s="11"/>
      <c r="G1943" s="11"/>
      <c r="H1943" s="11"/>
      <c r="I1943" s="11"/>
      <c r="J1943" s="11"/>
      <c r="K1943" s="11"/>
      <c r="L1943" s="11"/>
      <c r="M1943" s="11"/>
      <c r="N1943" s="11"/>
      <c r="O1943" s="11"/>
      <c r="P1943" s="11"/>
      <c r="Q1943" s="11"/>
      <c r="R1943" s="11"/>
      <c r="S1943" s="11"/>
      <c r="T1943" s="11"/>
      <c r="U1943" s="11"/>
      <c r="V1943" s="11"/>
      <c r="W1943" s="11"/>
      <c r="X1943" s="11"/>
      <c r="Y1943" s="11"/>
      <c r="Z1943" s="11"/>
      <c r="AA1943" s="11"/>
      <c r="AB1943" s="11"/>
      <c r="AC1943" s="11"/>
    </row>
    <row r="1944" spans="1:29" x14ac:dyDescent="0.3">
      <c r="A1944" s="11"/>
      <c r="B1944" s="11"/>
      <c r="C1944" s="11"/>
      <c r="D1944" s="11"/>
      <c r="E1944" s="11"/>
      <c r="F1944" s="11"/>
      <c r="G1944" s="11"/>
      <c r="H1944" s="11"/>
      <c r="I1944" s="11"/>
      <c r="J1944" s="11"/>
      <c r="K1944" s="11"/>
      <c r="L1944" s="11"/>
      <c r="M1944" s="11"/>
      <c r="N1944" s="11"/>
      <c r="O1944" s="11"/>
      <c r="P1944" s="11"/>
      <c r="Q1944" s="11"/>
      <c r="R1944" s="11"/>
      <c r="S1944" s="11"/>
      <c r="T1944" s="11"/>
      <c r="U1944" s="11"/>
      <c r="V1944" s="11"/>
      <c r="W1944" s="11"/>
      <c r="X1944" s="11"/>
      <c r="Y1944" s="11"/>
      <c r="Z1944" s="11"/>
      <c r="AA1944" s="11"/>
      <c r="AB1944" s="11"/>
      <c r="AC1944" s="11"/>
    </row>
    <row r="1945" spans="1:29" x14ac:dyDescent="0.3">
      <c r="A1945" s="11"/>
      <c r="B1945" s="11"/>
      <c r="C1945" s="11"/>
      <c r="D1945" s="11"/>
      <c r="E1945" s="11"/>
      <c r="F1945" s="11"/>
      <c r="G1945" s="11"/>
      <c r="H1945" s="11"/>
      <c r="I1945" s="11"/>
      <c r="J1945" s="11"/>
      <c r="K1945" s="11"/>
      <c r="L1945" s="11"/>
      <c r="M1945" s="11"/>
      <c r="N1945" s="11"/>
      <c r="O1945" s="11"/>
      <c r="P1945" s="11"/>
      <c r="Q1945" s="11"/>
      <c r="R1945" s="11"/>
      <c r="S1945" s="11"/>
      <c r="T1945" s="11"/>
      <c r="U1945" s="11"/>
      <c r="V1945" s="11"/>
      <c r="W1945" s="11"/>
      <c r="X1945" s="11"/>
      <c r="Y1945" s="11"/>
      <c r="Z1945" s="11"/>
      <c r="AA1945" s="11"/>
      <c r="AB1945" s="11"/>
      <c r="AC1945" s="11"/>
    </row>
    <row r="1946" spans="1:29" x14ac:dyDescent="0.3">
      <c r="A1946" s="11"/>
      <c r="B1946" s="11"/>
      <c r="C1946" s="11"/>
      <c r="D1946" s="11"/>
      <c r="E1946" s="11"/>
      <c r="F1946" s="11"/>
      <c r="G1946" s="11"/>
      <c r="H1946" s="11"/>
      <c r="I1946" s="11"/>
      <c r="J1946" s="11"/>
      <c r="K1946" s="11"/>
      <c r="L1946" s="11"/>
      <c r="M1946" s="11"/>
      <c r="N1946" s="11"/>
      <c r="O1946" s="11"/>
      <c r="P1946" s="11"/>
      <c r="Q1946" s="11"/>
      <c r="R1946" s="11"/>
      <c r="S1946" s="11"/>
      <c r="T1946" s="11"/>
      <c r="U1946" s="11"/>
      <c r="V1946" s="11"/>
      <c r="W1946" s="11"/>
      <c r="X1946" s="11"/>
      <c r="Y1946" s="11"/>
      <c r="Z1946" s="11"/>
      <c r="AA1946" s="11"/>
      <c r="AB1946" s="11"/>
      <c r="AC1946" s="11"/>
    </row>
    <row r="1947" spans="1:29" x14ac:dyDescent="0.3">
      <c r="A1947" s="11"/>
      <c r="B1947" s="11"/>
      <c r="C1947" s="11"/>
      <c r="D1947" s="11"/>
      <c r="E1947" s="11"/>
      <c r="F1947" s="11"/>
      <c r="G1947" s="11"/>
      <c r="H1947" s="11"/>
      <c r="I1947" s="11"/>
      <c r="J1947" s="11"/>
      <c r="K1947" s="11"/>
      <c r="L1947" s="11"/>
      <c r="M1947" s="11"/>
      <c r="N1947" s="11"/>
      <c r="O1947" s="11"/>
      <c r="P1947" s="11"/>
      <c r="Q1947" s="11"/>
      <c r="R1947" s="11"/>
      <c r="S1947" s="11"/>
      <c r="T1947" s="11"/>
      <c r="U1947" s="11"/>
      <c r="V1947" s="11"/>
      <c r="W1947" s="11"/>
      <c r="X1947" s="11"/>
      <c r="Y1947" s="11"/>
      <c r="Z1947" s="11"/>
      <c r="AA1947" s="11"/>
      <c r="AB1947" s="11"/>
      <c r="AC1947" s="11"/>
    </row>
    <row r="1948" spans="1:29" x14ac:dyDescent="0.3">
      <c r="A1948" s="11"/>
      <c r="B1948" s="11"/>
      <c r="C1948" s="11"/>
      <c r="D1948" s="11"/>
      <c r="E1948" s="11"/>
      <c r="F1948" s="11"/>
      <c r="G1948" s="11"/>
      <c r="H1948" s="11"/>
      <c r="I1948" s="11"/>
      <c r="J1948" s="11"/>
      <c r="K1948" s="11"/>
      <c r="L1948" s="11"/>
      <c r="M1948" s="11"/>
      <c r="N1948" s="11"/>
      <c r="O1948" s="11"/>
      <c r="P1948" s="11"/>
      <c r="Q1948" s="11"/>
      <c r="R1948" s="11"/>
      <c r="S1948" s="11"/>
      <c r="T1948" s="11"/>
      <c r="U1948" s="11"/>
      <c r="V1948" s="11"/>
      <c r="W1948" s="11"/>
      <c r="X1948" s="11"/>
      <c r="Y1948" s="11"/>
      <c r="Z1948" s="11"/>
      <c r="AA1948" s="11"/>
      <c r="AB1948" s="11"/>
      <c r="AC1948" s="11"/>
    </row>
    <row r="1949" spans="1:29" x14ac:dyDescent="0.3">
      <c r="A1949" s="11"/>
      <c r="B1949" s="11"/>
      <c r="C1949" s="11"/>
      <c r="D1949" s="11"/>
      <c r="E1949" s="11"/>
      <c r="F1949" s="11"/>
      <c r="G1949" s="11"/>
      <c r="H1949" s="11"/>
      <c r="I1949" s="11"/>
      <c r="J1949" s="11"/>
      <c r="K1949" s="11"/>
      <c r="L1949" s="11"/>
      <c r="M1949" s="11"/>
      <c r="N1949" s="11"/>
      <c r="O1949" s="11"/>
      <c r="P1949" s="11"/>
      <c r="Q1949" s="11"/>
      <c r="R1949" s="11"/>
      <c r="S1949" s="11"/>
      <c r="T1949" s="11"/>
      <c r="U1949" s="11"/>
      <c r="V1949" s="11"/>
      <c r="W1949" s="11"/>
      <c r="X1949" s="11"/>
      <c r="Y1949" s="11"/>
      <c r="Z1949" s="11"/>
      <c r="AA1949" s="11"/>
      <c r="AB1949" s="11"/>
      <c r="AC1949" s="11"/>
    </row>
    <row r="1950" spans="1:29" x14ac:dyDescent="0.3">
      <c r="A1950" s="11"/>
      <c r="B1950" s="11"/>
      <c r="C1950" s="11"/>
      <c r="D1950" s="11"/>
      <c r="E1950" s="11"/>
      <c r="F1950" s="11"/>
      <c r="G1950" s="11"/>
      <c r="H1950" s="11"/>
      <c r="I1950" s="11"/>
      <c r="J1950" s="11"/>
      <c r="K1950" s="11"/>
      <c r="L1950" s="11"/>
      <c r="M1950" s="11"/>
      <c r="N1950" s="11"/>
      <c r="O1950" s="11"/>
      <c r="P1950" s="11"/>
      <c r="Q1950" s="11"/>
      <c r="R1950" s="11"/>
      <c r="S1950" s="11"/>
      <c r="T1950" s="11"/>
      <c r="U1950" s="11"/>
      <c r="V1950" s="11"/>
      <c r="W1950" s="11"/>
      <c r="X1950" s="11"/>
      <c r="Y1950" s="11"/>
      <c r="Z1950" s="11"/>
      <c r="AA1950" s="11"/>
      <c r="AB1950" s="11"/>
      <c r="AC1950" s="11"/>
    </row>
    <row r="1951" spans="1:29" x14ac:dyDescent="0.3">
      <c r="A1951" s="11"/>
      <c r="B1951" s="11"/>
      <c r="C1951" s="11"/>
      <c r="D1951" s="11"/>
      <c r="E1951" s="11"/>
      <c r="F1951" s="11"/>
      <c r="G1951" s="11"/>
      <c r="H1951" s="11"/>
      <c r="I1951" s="11"/>
      <c r="J1951" s="11"/>
      <c r="K1951" s="11"/>
      <c r="L1951" s="11"/>
      <c r="M1951" s="11"/>
      <c r="N1951" s="11"/>
      <c r="O1951" s="11"/>
      <c r="P1951" s="11"/>
      <c r="Q1951" s="11"/>
      <c r="R1951" s="11"/>
      <c r="S1951" s="11"/>
      <c r="T1951" s="11"/>
      <c r="U1951" s="11"/>
      <c r="V1951" s="11"/>
      <c r="W1951" s="11"/>
      <c r="X1951" s="11"/>
      <c r="Y1951" s="11"/>
      <c r="Z1951" s="11"/>
      <c r="AA1951" s="11"/>
      <c r="AB1951" s="11"/>
      <c r="AC1951" s="11"/>
    </row>
    <row r="1952" spans="1:29" x14ac:dyDescent="0.3">
      <c r="A1952" s="11"/>
      <c r="B1952" s="11"/>
      <c r="C1952" s="11"/>
      <c r="D1952" s="11"/>
      <c r="E1952" s="11"/>
      <c r="F1952" s="11"/>
      <c r="G1952" s="11"/>
      <c r="H1952" s="11"/>
      <c r="I1952" s="11"/>
      <c r="J1952" s="11"/>
      <c r="K1952" s="11"/>
      <c r="L1952" s="11"/>
      <c r="M1952" s="11"/>
      <c r="N1952" s="11"/>
      <c r="O1952" s="11"/>
      <c r="P1952" s="11"/>
      <c r="Q1952" s="11"/>
      <c r="R1952" s="11"/>
      <c r="S1952" s="11"/>
      <c r="T1952" s="11"/>
      <c r="U1952" s="11"/>
      <c r="V1952" s="11"/>
      <c r="W1952" s="11"/>
      <c r="X1952" s="11"/>
      <c r="Y1952" s="11"/>
      <c r="Z1952" s="11"/>
      <c r="AA1952" s="11"/>
      <c r="AB1952" s="11"/>
      <c r="AC1952" s="11"/>
    </row>
    <row r="1953" spans="1:29" x14ac:dyDescent="0.3">
      <c r="A1953" s="11"/>
      <c r="B1953" s="11"/>
      <c r="C1953" s="11"/>
      <c r="D1953" s="11"/>
      <c r="E1953" s="11"/>
      <c r="F1953" s="11"/>
      <c r="G1953" s="11"/>
      <c r="H1953" s="11"/>
      <c r="I1953" s="11"/>
      <c r="J1953" s="11"/>
      <c r="K1953" s="11"/>
      <c r="L1953" s="11"/>
      <c r="M1953" s="11"/>
      <c r="N1953" s="11"/>
      <c r="O1953" s="11"/>
      <c r="P1953" s="11"/>
      <c r="Q1953" s="11"/>
      <c r="R1953" s="11"/>
      <c r="S1953" s="11"/>
      <c r="T1953" s="11"/>
      <c r="U1953" s="11"/>
      <c r="V1953" s="11"/>
      <c r="W1953" s="11"/>
      <c r="X1953" s="11"/>
      <c r="Y1953" s="11"/>
      <c r="Z1953" s="11"/>
      <c r="AA1953" s="11"/>
      <c r="AB1953" s="11"/>
      <c r="AC1953" s="11"/>
    </row>
    <row r="1954" spans="1:29" x14ac:dyDescent="0.3">
      <c r="A1954" s="11"/>
      <c r="B1954" s="11"/>
      <c r="C1954" s="11"/>
      <c r="D1954" s="11"/>
      <c r="E1954" s="11"/>
      <c r="F1954" s="11"/>
      <c r="G1954" s="11"/>
      <c r="H1954" s="11"/>
      <c r="I1954" s="11"/>
      <c r="J1954" s="11"/>
      <c r="K1954" s="11"/>
      <c r="L1954" s="11"/>
      <c r="M1954" s="11"/>
      <c r="N1954" s="11"/>
      <c r="O1954" s="11"/>
      <c r="P1954" s="11"/>
      <c r="Q1954" s="11"/>
      <c r="R1954" s="11"/>
      <c r="S1954" s="11"/>
      <c r="T1954" s="11"/>
      <c r="U1954" s="11"/>
      <c r="V1954" s="11"/>
      <c r="W1954" s="11"/>
      <c r="X1954" s="11"/>
      <c r="Y1954" s="11"/>
      <c r="Z1954" s="11"/>
      <c r="AA1954" s="11"/>
      <c r="AB1954" s="11"/>
      <c r="AC1954" s="11"/>
    </row>
    <row r="1955" spans="1:29" x14ac:dyDescent="0.3">
      <c r="A1955" s="11"/>
      <c r="B1955" s="11"/>
      <c r="C1955" s="11"/>
      <c r="D1955" s="11"/>
      <c r="E1955" s="11"/>
      <c r="F1955" s="11"/>
      <c r="G1955" s="11"/>
      <c r="H1955" s="11"/>
      <c r="I1955" s="11"/>
      <c r="J1955" s="11"/>
      <c r="K1955" s="11"/>
      <c r="L1955" s="11"/>
      <c r="M1955" s="11"/>
      <c r="N1955" s="11"/>
      <c r="O1955" s="11"/>
      <c r="P1955" s="11"/>
      <c r="Q1955" s="11"/>
      <c r="R1955" s="11"/>
      <c r="S1955" s="11"/>
      <c r="T1955" s="11"/>
      <c r="U1955" s="11"/>
      <c r="V1955" s="11"/>
      <c r="W1955" s="11"/>
      <c r="X1955" s="11"/>
      <c r="Y1955" s="11"/>
      <c r="Z1955" s="11"/>
      <c r="AA1955" s="11"/>
      <c r="AB1955" s="11"/>
      <c r="AC1955" s="11"/>
    </row>
    <row r="1956" spans="1:29" x14ac:dyDescent="0.3">
      <c r="A1956" s="11"/>
      <c r="B1956" s="11"/>
      <c r="C1956" s="11"/>
      <c r="D1956" s="11"/>
      <c r="E1956" s="11"/>
      <c r="F1956" s="11"/>
      <c r="G1956" s="11"/>
      <c r="H1956" s="11"/>
      <c r="I1956" s="11"/>
      <c r="J1956" s="11"/>
      <c r="K1956" s="11"/>
      <c r="L1956" s="11"/>
      <c r="M1956" s="11"/>
      <c r="N1956" s="11"/>
      <c r="O1956" s="11"/>
      <c r="P1956" s="11"/>
      <c r="Q1956" s="11"/>
      <c r="R1956" s="11"/>
      <c r="S1956" s="11"/>
      <c r="T1956" s="11"/>
      <c r="U1956" s="11"/>
      <c r="V1956" s="11"/>
      <c r="W1956" s="11"/>
      <c r="X1956" s="11"/>
      <c r="Y1956" s="11"/>
      <c r="Z1956" s="11"/>
      <c r="AA1956" s="11"/>
      <c r="AB1956" s="11"/>
      <c r="AC1956" s="11"/>
    </row>
    <row r="1957" spans="1:29" x14ac:dyDescent="0.3">
      <c r="A1957" s="11"/>
      <c r="B1957" s="11"/>
      <c r="C1957" s="11"/>
      <c r="D1957" s="11"/>
      <c r="E1957" s="11"/>
      <c r="F1957" s="11"/>
      <c r="G1957" s="11"/>
      <c r="H1957" s="11"/>
      <c r="I1957" s="11"/>
      <c r="J1957" s="11"/>
      <c r="K1957" s="11"/>
      <c r="L1957" s="11"/>
      <c r="M1957" s="11"/>
      <c r="N1957" s="11"/>
      <c r="O1957" s="11"/>
      <c r="P1957" s="11"/>
      <c r="Q1957" s="11"/>
      <c r="R1957" s="11"/>
      <c r="S1957" s="11"/>
      <c r="T1957" s="11"/>
      <c r="U1957" s="11"/>
      <c r="V1957" s="11"/>
      <c r="W1957" s="11"/>
      <c r="X1957" s="11"/>
      <c r="Y1957" s="11"/>
      <c r="Z1957" s="11"/>
      <c r="AA1957" s="11"/>
      <c r="AB1957" s="11"/>
      <c r="AC1957" s="11"/>
    </row>
    <row r="1958" spans="1:29" x14ac:dyDescent="0.3">
      <c r="A1958" s="11"/>
      <c r="B1958" s="11"/>
      <c r="C1958" s="11"/>
      <c r="D1958" s="11"/>
      <c r="E1958" s="11"/>
      <c r="F1958" s="11"/>
      <c r="G1958" s="11"/>
      <c r="H1958" s="11"/>
      <c r="I1958" s="11"/>
      <c r="J1958" s="11"/>
      <c r="K1958" s="11"/>
      <c r="L1958" s="11"/>
      <c r="M1958" s="11"/>
      <c r="N1958" s="11"/>
      <c r="O1958" s="11"/>
      <c r="P1958" s="11"/>
      <c r="Q1958" s="11"/>
      <c r="R1958" s="11"/>
      <c r="S1958" s="11"/>
      <c r="T1958" s="11"/>
      <c r="U1958" s="11"/>
      <c r="V1958" s="11"/>
      <c r="W1958" s="11"/>
      <c r="X1958" s="11"/>
      <c r="Y1958" s="11"/>
      <c r="Z1958" s="11"/>
      <c r="AA1958" s="11"/>
      <c r="AB1958" s="11"/>
      <c r="AC1958" s="11"/>
    </row>
    <row r="1959" spans="1:29" x14ac:dyDescent="0.3">
      <c r="A1959" s="11"/>
      <c r="B1959" s="11"/>
      <c r="C1959" s="11"/>
      <c r="D1959" s="11"/>
      <c r="E1959" s="11"/>
      <c r="F1959" s="11"/>
      <c r="G1959" s="11"/>
      <c r="H1959" s="11"/>
      <c r="I1959" s="11"/>
      <c r="J1959" s="11"/>
      <c r="K1959" s="11"/>
      <c r="L1959" s="11"/>
      <c r="M1959" s="11"/>
      <c r="N1959" s="11"/>
      <c r="O1959" s="11"/>
      <c r="P1959" s="11"/>
      <c r="Q1959" s="11"/>
      <c r="R1959" s="11"/>
      <c r="S1959" s="11"/>
      <c r="T1959" s="11"/>
      <c r="U1959" s="11"/>
      <c r="V1959" s="11"/>
      <c r="W1959" s="11"/>
      <c r="X1959" s="11"/>
      <c r="Y1959" s="11"/>
      <c r="Z1959" s="11"/>
      <c r="AA1959" s="11"/>
      <c r="AB1959" s="11"/>
      <c r="AC1959" s="11"/>
    </row>
    <row r="1960" spans="1:29" x14ac:dyDescent="0.3">
      <c r="A1960" s="11"/>
      <c r="B1960" s="11"/>
      <c r="C1960" s="11"/>
      <c r="D1960" s="11"/>
      <c r="E1960" s="11"/>
      <c r="F1960" s="11"/>
      <c r="G1960" s="11"/>
      <c r="H1960" s="11"/>
      <c r="I1960" s="11"/>
      <c r="J1960" s="11"/>
      <c r="K1960" s="11"/>
      <c r="L1960" s="11"/>
      <c r="M1960" s="11"/>
      <c r="N1960" s="11"/>
      <c r="O1960" s="11"/>
      <c r="P1960" s="11"/>
      <c r="Q1960" s="11"/>
      <c r="R1960" s="11"/>
      <c r="S1960" s="11"/>
      <c r="T1960" s="11"/>
      <c r="U1960" s="11"/>
      <c r="V1960" s="11"/>
      <c r="W1960" s="11"/>
      <c r="X1960" s="11"/>
      <c r="Y1960" s="11"/>
      <c r="Z1960" s="11"/>
      <c r="AA1960" s="11"/>
      <c r="AB1960" s="11"/>
      <c r="AC1960" s="11"/>
    </row>
    <row r="1961" spans="1:29" x14ac:dyDescent="0.3">
      <c r="A1961" s="11"/>
      <c r="B1961" s="11"/>
      <c r="C1961" s="11"/>
      <c r="D1961" s="11"/>
      <c r="E1961" s="11"/>
      <c r="F1961" s="11"/>
      <c r="G1961" s="11"/>
      <c r="H1961" s="11"/>
      <c r="I1961" s="11"/>
      <c r="J1961" s="11"/>
      <c r="K1961" s="11"/>
      <c r="L1961" s="11"/>
      <c r="M1961" s="11"/>
      <c r="N1961" s="11"/>
      <c r="O1961" s="11"/>
      <c r="P1961" s="11"/>
      <c r="Q1961" s="11"/>
      <c r="R1961" s="11"/>
      <c r="S1961" s="11"/>
      <c r="T1961" s="11"/>
      <c r="U1961" s="11"/>
      <c r="V1961" s="11"/>
      <c r="W1961" s="11"/>
      <c r="X1961" s="11"/>
      <c r="Y1961" s="11"/>
      <c r="Z1961" s="11"/>
      <c r="AA1961" s="11"/>
      <c r="AB1961" s="11"/>
      <c r="AC1961" s="11"/>
    </row>
    <row r="1962" spans="1:29" x14ac:dyDescent="0.3">
      <c r="A1962" s="11"/>
      <c r="B1962" s="11"/>
      <c r="C1962" s="11"/>
      <c r="D1962" s="11"/>
      <c r="E1962" s="11"/>
      <c r="F1962" s="11"/>
      <c r="G1962" s="11"/>
      <c r="H1962" s="11"/>
      <c r="I1962" s="11"/>
      <c r="J1962" s="11"/>
      <c r="K1962" s="11"/>
      <c r="L1962" s="11"/>
      <c r="M1962" s="11"/>
      <c r="N1962" s="11"/>
      <c r="O1962" s="11"/>
      <c r="P1962" s="11"/>
      <c r="Q1962" s="11"/>
      <c r="R1962" s="11"/>
      <c r="S1962" s="11"/>
      <c r="T1962" s="11"/>
      <c r="U1962" s="11"/>
      <c r="V1962" s="11"/>
      <c r="W1962" s="11"/>
      <c r="X1962" s="11"/>
      <c r="Y1962" s="11"/>
      <c r="Z1962" s="11"/>
      <c r="AA1962" s="11"/>
      <c r="AB1962" s="11"/>
      <c r="AC1962" s="11"/>
    </row>
    <row r="1963" spans="1:29" x14ac:dyDescent="0.3">
      <c r="A1963" s="11"/>
      <c r="B1963" s="11"/>
      <c r="C1963" s="11"/>
      <c r="D1963" s="11"/>
      <c r="E1963" s="11"/>
      <c r="F1963" s="11"/>
      <c r="G1963" s="11"/>
      <c r="H1963" s="11"/>
      <c r="I1963" s="11"/>
      <c r="J1963" s="11"/>
      <c r="K1963" s="11"/>
      <c r="L1963" s="11"/>
      <c r="M1963" s="11"/>
      <c r="N1963" s="11"/>
      <c r="O1963" s="11"/>
      <c r="P1963" s="11"/>
      <c r="Q1963" s="11"/>
      <c r="R1963" s="11"/>
      <c r="S1963" s="11"/>
      <c r="T1963" s="11"/>
      <c r="U1963" s="11"/>
      <c r="V1963" s="11"/>
      <c r="W1963" s="11"/>
      <c r="X1963" s="11"/>
      <c r="Y1963" s="11"/>
      <c r="Z1963" s="11"/>
      <c r="AA1963" s="11"/>
      <c r="AB1963" s="11"/>
      <c r="AC1963" s="11"/>
    </row>
    <row r="1964" spans="1:29" x14ac:dyDescent="0.3">
      <c r="A1964" s="11"/>
      <c r="B1964" s="11"/>
      <c r="C1964" s="11"/>
      <c r="D1964" s="11"/>
      <c r="E1964" s="11"/>
      <c r="F1964" s="11"/>
      <c r="G1964" s="11"/>
      <c r="H1964" s="11"/>
      <c r="I1964" s="11"/>
      <c r="J1964" s="11"/>
      <c r="K1964" s="11"/>
      <c r="L1964" s="11"/>
      <c r="M1964" s="11"/>
      <c r="N1964" s="11"/>
      <c r="O1964" s="11"/>
      <c r="P1964" s="11"/>
      <c r="Q1964" s="11"/>
      <c r="R1964" s="11"/>
      <c r="S1964" s="11"/>
      <c r="T1964" s="11"/>
      <c r="U1964" s="11"/>
      <c r="V1964" s="11"/>
      <c r="W1964" s="11"/>
      <c r="X1964" s="11"/>
      <c r="Y1964" s="11"/>
      <c r="Z1964" s="11"/>
      <c r="AA1964" s="11"/>
      <c r="AB1964" s="11"/>
      <c r="AC1964" s="11"/>
    </row>
    <row r="1965" spans="1:29" x14ac:dyDescent="0.3">
      <c r="A1965" s="11"/>
      <c r="B1965" s="11"/>
      <c r="C1965" s="11"/>
      <c r="D1965" s="11"/>
      <c r="E1965" s="11"/>
      <c r="F1965" s="11"/>
      <c r="G1965" s="11"/>
      <c r="H1965" s="11"/>
      <c r="I1965" s="11"/>
      <c r="J1965" s="11"/>
      <c r="K1965" s="11"/>
      <c r="L1965" s="11"/>
      <c r="M1965" s="11"/>
      <c r="N1965" s="11"/>
      <c r="O1965" s="11"/>
      <c r="P1965" s="11"/>
      <c r="Q1965" s="11"/>
      <c r="R1965" s="11"/>
      <c r="S1965" s="11"/>
      <c r="T1965" s="11"/>
      <c r="U1965" s="11"/>
      <c r="V1965" s="11"/>
      <c r="W1965" s="11"/>
      <c r="X1965" s="11"/>
      <c r="Y1965" s="11"/>
      <c r="Z1965" s="11"/>
      <c r="AA1965" s="11"/>
      <c r="AB1965" s="11"/>
      <c r="AC1965" s="11"/>
    </row>
    <row r="1966" spans="1:29" x14ac:dyDescent="0.3">
      <c r="A1966" s="11"/>
      <c r="B1966" s="11"/>
      <c r="C1966" s="11"/>
      <c r="D1966" s="11"/>
      <c r="E1966" s="11"/>
      <c r="F1966" s="11"/>
      <c r="G1966" s="11"/>
      <c r="H1966" s="11"/>
      <c r="I1966" s="11"/>
      <c r="J1966" s="11"/>
      <c r="K1966" s="11"/>
      <c r="L1966" s="11"/>
      <c r="M1966" s="11"/>
      <c r="N1966" s="11"/>
      <c r="O1966" s="11"/>
      <c r="P1966" s="11"/>
      <c r="Q1966" s="11"/>
      <c r="R1966" s="11"/>
      <c r="S1966" s="11"/>
      <c r="T1966" s="11"/>
      <c r="U1966" s="11"/>
      <c r="V1966" s="11"/>
      <c r="W1966" s="11"/>
      <c r="X1966" s="11"/>
      <c r="Y1966" s="11"/>
      <c r="Z1966" s="11"/>
      <c r="AA1966" s="11"/>
      <c r="AB1966" s="11"/>
      <c r="AC1966" s="11"/>
    </row>
    <row r="1967" spans="1:29" x14ac:dyDescent="0.3">
      <c r="A1967" s="11"/>
      <c r="B1967" s="11"/>
      <c r="C1967" s="11"/>
      <c r="D1967" s="11"/>
      <c r="E1967" s="11"/>
      <c r="F1967" s="11"/>
      <c r="G1967" s="11"/>
      <c r="H1967" s="11"/>
      <c r="I1967" s="11"/>
      <c r="J1967" s="11"/>
      <c r="K1967" s="11"/>
      <c r="L1967" s="11"/>
      <c r="M1967" s="11"/>
      <c r="N1967" s="11"/>
      <c r="O1967" s="11"/>
      <c r="P1967" s="11"/>
      <c r="Q1967" s="11"/>
      <c r="R1967" s="11"/>
      <c r="S1967" s="11"/>
      <c r="T1967" s="11"/>
      <c r="U1967" s="11"/>
      <c r="V1967" s="11"/>
      <c r="W1967" s="11"/>
      <c r="X1967" s="11"/>
      <c r="Y1967" s="11"/>
      <c r="Z1967" s="11"/>
      <c r="AA1967" s="11"/>
      <c r="AB1967" s="11"/>
      <c r="AC1967" s="11"/>
    </row>
    <row r="1968" spans="1:29" x14ac:dyDescent="0.3">
      <c r="A1968" s="11"/>
      <c r="B1968" s="11"/>
      <c r="C1968" s="11"/>
      <c r="D1968" s="11"/>
      <c r="E1968" s="11"/>
      <c r="F1968" s="11"/>
      <c r="G1968" s="11"/>
      <c r="H1968" s="11"/>
      <c r="I1968" s="11"/>
      <c r="J1968" s="11"/>
      <c r="K1968" s="11"/>
      <c r="L1968" s="11"/>
      <c r="M1968" s="11"/>
      <c r="N1968" s="11"/>
      <c r="O1968" s="11"/>
      <c r="P1968" s="11"/>
      <c r="Q1968" s="11"/>
      <c r="R1968" s="11"/>
      <c r="S1968" s="11"/>
      <c r="T1968" s="11"/>
      <c r="U1968" s="11"/>
      <c r="V1968" s="11"/>
      <c r="W1968" s="11"/>
      <c r="X1968" s="11"/>
      <c r="Y1968" s="11"/>
      <c r="Z1968" s="11"/>
      <c r="AA1968" s="11"/>
      <c r="AB1968" s="11"/>
      <c r="AC1968" s="11"/>
    </row>
    <row r="1969" spans="1:29" x14ac:dyDescent="0.3">
      <c r="A1969" s="11"/>
      <c r="B1969" s="11"/>
      <c r="C1969" s="11"/>
      <c r="D1969" s="11"/>
      <c r="E1969" s="11"/>
      <c r="F1969" s="11"/>
      <c r="G1969" s="11"/>
      <c r="H1969" s="11"/>
      <c r="I1969" s="11"/>
      <c r="J1969" s="11"/>
      <c r="K1969" s="11"/>
      <c r="L1969" s="11"/>
      <c r="M1969" s="11"/>
      <c r="N1969" s="11"/>
      <c r="O1969" s="11"/>
      <c r="P1969" s="11"/>
      <c r="Q1969" s="11"/>
      <c r="R1969" s="11"/>
      <c r="S1969" s="11"/>
      <c r="T1969" s="11"/>
      <c r="U1969" s="11"/>
      <c r="V1969" s="11"/>
      <c r="W1969" s="11"/>
      <c r="X1969" s="11"/>
      <c r="Y1969" s="11"/>
      <c r="Z1969" s="11"/>
      <c r="AA1969" s="11"/>
      <c r="AB1969" s="11"/>
      <c r="AC1969" s="11"/>
    </row>
    <row r="1970" spans="1:29" x14ac:dyDescent="0.3">
      <c r="A1970" s="11"/>
      <c r="B1970" s="11"/>
      <c r="C1970" s="11"/>
      <c r="D1970" s="11"/>
      <c r="E1970" s="11"/>
      <c r="F1970" s="11"/>
      <c r="G1970" s="11"/>
      <c r="H1970" s="11"/>
      <c r="I1970" s="11"/>
      <c r="J1970" s="11"/>
      <c r="K1970" s="11"/>
      <c r="L1970" s="11"/>
      <c r="M1970" s="11"/>
      <c r="N1970" s="11"/>
      <c r="O1970" s="11"/>
      <c r="P1970" s="11"/>
      <c r="Q1970" s="11"/>
      <c r="R1970" s="11"/>
      <c r="S1970" s="11"/>
      <c r="T1970" s="11"/>
      <c r="U1970" s="11"/>
      <c r="V1970" s="11"/>
      <c r="W1970" s="11"/>
      <c r="X1970" s="11"/>
      <c r="Y1970" s="11"/>
      <c r="Z1970" s="11"/>
      <c r="AA1970" s="11"/>
      <c r="AB1970" s="11"/>
      <c r="AC1970" s="11"/>
    </row>
    <row r="1971" spans="1:29" x14ac:dyDescent="0.3">
      <c r="A1971" s="11"/>
      <c r="B1971" s="11"/>
      <c r="C1971" s="11"/>
      <c r="D1971" s="11"/>
      <c r="E1971" s="11"/>
      <c r="F1971" s="11"/>
      <c r="G1971" s="11"/>
      <c r="H1971" s="11"/>
      <c r="I1971" s="11"/>
      <c r="J1971" s="11"/>
      <c r="K1971" s="11"/>
      <c r="L1971" s="11"/>
      <c r="M1971" s="11"/>
      <c r="N1971" s="11"/>
      <c r="O1971" s="11"/>
      <c r="P1971" s="11"/>
      <c r="Q1971" s="11"/>
      <c r="R1971" s="11"/>
      <c r="S1971" s="11"/>
      <c r="T1971" s="11"/>
      <c r="U1971" s="11"/>
      <c r="V1971" s="11"/>
      <c r="W1971" s="11"/>
      <c r="X1971" s="11"/>
      <c r="Y1971" s="11"/>
      <c r="Z1971" s="11"/>
      <c r="AA1971" s="11"/>
      <c r="AB1971" s="11"/>
      <c r="AC1971" s="11"/>
    </row>
    <row r="1972" spans="1:29" x14ac:dyDescent="0.3">
      <c r="A1972" s="11"/>
      <c r="B1972" s="11"/>
      <c r="C1972" s="11"/>
      <c r="D1972" s="11"/>
      <c r="E1972" s="11"/>
      <c r="F1972" s="11"/>
      <c r="G1972" s="11"/>
      <c r="H1972" s="11"/>
      <c r="I1972" s="11"/>
      <c r="J1972" s="11"/>
      <c r="K1972" s="11"/>
      <c r="L1972" s="11"/>
      <c r="M1972" s="11"/>
      <c r="N1972" s="11"/>
      <c r="O1972" s="11"/>
      <c r="P1972" s="11"/>
      <c r="Q1972" s="11"/>
      <c r="R1972" s="11"/>
      <c r="S1972" s="11"/>
      <c r="T1972" s="11"/>
      <c r="U1972" s="11"/>
      <c r="V1972" s="11"/>
      <c r="W1972" s="11"/>
      <c r="X1972" s="11"/>
      <c r="Y1972" s="11"/>
      <c r="Z1972" s="11"/>
      <c r="AA1972" s="11"/>
      <c r="AB1972" s="11"/>
      <c r="AC1972" s="11"/>
    </row>
    <row r="1973" spans="1:29" x14ac:dyDescent="0.3">
      <c r="A1973" s="11"/>
      <c r="B1973" s="11"/>
      <c r="C1973" s="11"/>
      <c r="D1973" s="11"/>
      <c r="E1973" s="11"/>
      <c r="F1973" s="11"/>
      <c r="G1973" s="11"/>
      <c r="H1973" s="11"/>
      <c r="I1973" s="11"/>
      <c r="J1973" s="11"/>
      <c r="K1973" s="11"/>
      <c r="L1973" s="11"/>
      <c r="M1973" s="11"/>
      <c r="N1973" s="11"/>
      <c r="O1973" s="11"/>
      <c r="P1973" s="11"/>
      <c r="Q1973" s="11"/>
      <c r="R1973" s="11"/>
      <c r="S1973" s="11"/>
      <c r="T1973" s="11"/>
      <c r="U1973" s="11"/>
      <c r="V1973" s="11"/>
      <c r="W1973" s="11"/>
      <c r="X1973" s="11"/>
      <c r="Y1973" s="11"/>
      <c r="Z1973" s="11"/>
      <c r="AA1973" s="11"/>
      <c r="AB1973" s="11"/>
      <c r="AC1973" s="11"/>
    </row>
    <row r="1974" spans="1:29" x14ac:dyDescent="0.3">
      <c r="A1974" s="11"/>
      <c r="B1974" s="11"/>
      <c r="C1974" s="11"/>
      <c r="D1974" s="11"/>
      <c r="E1974" s="11"/>
      <c r="F1974" s="11"/>
      <c r="G1974" s="11"/>
      <c r="H1974" s="11"/>
      <c r="I1974" s="11"/>
      <c r="J1974" s="11"/>
      <c r="K1974" s="11"/>
      <c r="L1974" s="11"/>
      <c r="M1974" s="11"/>
      <c r="N1974" s="11"/>
      <c r="O1974" s="11"/>
      <c r="P1974" s="11"/>
      <c r="Q1974" s="11"/>
      <c r="R1974" s="11"/>
      <c r="S1974" s="11"/>
      <c r="T1974" s="11"/>
      <c r="U1974" s="11"/>
      <c r="V1974" s="11"/>
      <c r="W1974" s="11"/>
      <c r="X1974" s="11"/>
      <c r="Y1974" s="11"/>
      <c r="Z1974" s="11"/>
      <c r="AA1974" s="11"/>
      <c r="AB1974" s="11"/>
      <c r="AC1974" s="11"/>
    </row>
    <row r="1975" spans="1:29" x14ac:dyDescent="0.3">
      <c r="A1975" s="11"/>
      <c r="B1975" s="11"/>
      <c r="C1975" s="11"/>
      <c r="D1975" s="11"/>
      <c r="E1975" s="11"/>
      <c r="F1975" s="11"/>
      <c r="G1975" s="11"/>
      <c r="H1975" s="11"/>
      <c r="I1975" s="11"/>
      <c r="J1975" s="11"/>
      <c r="K1975" s="11"/>
      <c r="L1975" s="11"/>
      <c r="M1975" s="11"/>
      <c r="N1975" s="11"/>
      <c r="O1975" s="11"/>
      <c r="P1975" s="11"/>
      <c r="Q1975" s="11"/>
      <c r="R1975" s="11"/>
      <c r="S1975" s="11"/>
      <c r="T1975" s="11"/>
      <c r="U1975" s="11"/>
      <c r="V1975" s="11"/>
      <c r="W1975" s="11"/>
      <c r="X1975" s="11"/>
      <c r="Y1975" s="11"/>
      <c r="Z1975" s="11"/>
      <c r="AA1975" s="11"/>
      <c r="AB1975" s="11"/>
      <c r="AC1975" s="11"/>
    </row>
    <row r="1976" spans="1:29" x14ac:dyDescent="0.3">
      <c r="A1976" s="11"/>
      <c r="B1976" s="11"/>
      <c r="C1976" s="11"/>
      <c r="D1976" s="11"/>
      <c r="E1976" s="11"/>
      <c r="F1976" s="11"/>
      <c r="G1976" s="11"/>
      <c r="H1976" s="11"/>
      <c r="I1976" s="11"/>
      <c r="J1976" s="11"/>
      <c r="K1976" s="11"/>
      <c r="L1976" s="11"/>
      <c r="M1976" s="11"/>
      <c r="N1976" s="11"/>
      <c r="O1976" s="11"/>
      <c r="P1976" s="11"/>
      <c r="Q1976" s="11"/>
      <c r="R1976" s="11"/>
      <c r="S1976" s="11"/>
      <c r="T1976" s="11"/>
      <c r="U1976" s="11"/>
      <c r="V1976" s="11"/>
      <c r="W1976" s="11"/>
      <c r="X1976" s="11"/>
      <c r="Y1976" s="11"/>
      <c r="Z1976" s="11"/>
      <c r="AA1976" s="11"/>
      <c r="AB1976" s="11"/>
      <c r="AC1976" s="11"/>
    </row>
    <row r="1977" spans="1:29" x14ac:dyDescent="0.3">
      <c r="A1977" s="11"/>
      <c r="B1977" s="11"/>
      <c r="C1977" s="11"/>
      <c r="D1977" s="11"/>
      <c r="E1977" s="11"/>
      <c r="F1977" s="11"/>
      <c r="G1977" s="11"/>
      <c r="H1977" s="11"/>
      <c r="I1977" s="11"/>
      <c r="J1977" s="11"/>
      <c r="K1977" s="11"/>
      <c r="L1977" s="11"/>
      <c r="M1977" s="11"/>
      <c r="N1977" s="11"/>
      <c r="O1977" s="11"/>
      <c r="P1977" s="11"/>
      <c r="Q1977" s="11"/>
      <c r="R1977" s="11"/>
      <c r="S1977" s="11"/>
      <c r="T1977" s="11"/>
      <c r="U1977" s="11"/>
      <c r="V1977" s="11"/>
      <c r="W1977" s="11"/>
      <c r="X1977" s="11"/>
      <c r="Y1977" s="11"/>
      <c r="Z1977" s="11"/>
      <c r="AA1977" s="11"/>
      <c r="AB1977" s="11"/>
      <c r="AC1977" s="11"/>
    </row>
    <row r="1978" spans="1:29" x14ac:dyDescent="0.3">
      <c r="A1978" s="11"/>
      <c r="B1978" s="11"/>
      <c r="C1978" s="11"/>
      <c r="D1978" s="11"/>
      <c r="E1978" s="11"/>
      <c r="F1978" s="11"/>
      <c r="G1978" s="11"/>
      <c r="H1978" s="11"/>
      <c r="I1978" s="11"/>
      <c r="J1978" s="11"/>
      <c r="K1978" s="11"/>
      <c r="L1978" s="11"/>
      <c r="M1978" s="11"/>
      <c r="N1978" s="11"/>
      <c r="O1978" s="11"/>
      <c r="P1978" s="11"/>
      <c r="Q1978" s="11"/>
      <c r="R1978" s="11"/>
      <c r="S1978" s="11"/>
      <c r="T1978" s="11"/>
      <c r="U1978" s="11"/>
      <c r="V1978" s="11"/>
      <c r="W1978" s="11"/>
      <c r="X1978" s="11"/>
      <c r="Y1978" s="11"/>
      <c r="Z1978" s="11"/>
      <c r="AA1978" s="11"/>
      <c r="AB1978" s="11"/>
      <c r="AC1978" s="11"/>
    </row>
    <row r="1979" spans="1:29" x14ac:dyDescent="0.3">
      <c r="A1979" s="11"/>
      <c r="B1979" s="11"/>
      <c r="C1979" s="11"/>
      <c r="D1979" s="11"/>
      <c r="E1979" s="11"/>
      <c r="F1979" s="11"/>
      <c r="G1979" s="11"/>
      <c r="H1979" s="11"/>
      <c r="I1979" s="11"/>
      <c r="J1979" s="11"/>
      <c r="K1979" s="11"/>
      <c r="L1979" s="11"/>
      <c r="M1979" s="11"/>
      <c r="N1979" s="11"/>
      <c r="O1979" s="11"/>
      <c r="P1979" s="11"/>
      <c r="Q1979" s="11"/>
      <c r="R1979" s="11"/>
      <c r="S1979" s="11"/>
      <c r="T1979" s="11"/>
      <c r="U1979" s="11"/>
      <c r="V1979" s="11"/>
      <c r="W1979" s="11"/>
      <c r="X1979" s="11"/>
      <c r="Y1979" s="11"/>
      <c r="Z1979" s="11"/>
      <c r="AA1979" s="11"/>
      <c r="AB1979" s="11"/>
      <c r="AC1979" s="11"/>
    </row>
    <row r="1980" spans="1:29" x14ac:dyDescent="0.3">
      <c r="A1980" s="11"/>
      <c r="B1980" s="11"/>
      <c r="C1980" s="11"/>
      <c r="D1980" s="11"/>
      <c r="E1980" s="11"/>
      <c r="F1980" s="11"/>
      <c r="G1980" s="11"/>
      <c r="H1980" s="11"/>
      <c r="I1980" s="11"/>
      <c r="J1980" s="11"/>
      <c r="K1980" s="11"/>
      <c r="L1980" s="11"/>
      <c r="M1980" s="11"/>
      <c r="N1980" s="11"/>
      <c r="O1980" s="11"/>
      <c r="P1980" s="11"/>
      <c r="Q1980" s="11"/>
      <c r="R1980" s="11"/>
      <c r="S1980" s="11"/>
      <c r="T1980" s="11"/>
      <c r="U1980" s="11"/>
      <c r="V1980" s="11"/>
      <c r="W1980" s="11"/>
      <c r="X1980" s="11"/>
      <c r="Y1980" s="11"/>
      <c r="Z1980" s="11"/>
      <c r="AA1980" s="11"/>
      <c r="AB1980" s="11"/>
      <c r="AC1980" s="11"/>
    </row>
    <row r="1981" spans="1:29" x14ac:dyDescent="0.3">
      <c r="A1981" s="11"/>
      <c r="B1981" s="11"/>
      <c r="C1981" s="11"/>
      <c r="D1981" s="11"/>
      <c r="E1981" s="11"/>
      <c r="F1981" s="11"/>
      <c r="G1981" s="11"/>
      <c r="H1981" s="11"/>
      <c r="I1981" s="11"/>
      <c r="J1981" s="11"/>
      <c r="K1981" s="11"/>
      <c r="L1981" s="11"/>
      <c r="M1981" s="11"/>
      <c r="N1981" s="11"/>
      <c r="O1981" s="11"/>
      <c r="P1981" s="11"/>
      <c r="Q1981" s="11"/>
      <c r="R1981" s="11"/>
      <c r="S1981" s="11"/>
      <c r="T1981" s="11"/>
      <c r="U1981" s="11"/>
      <c r="V1981" s="11"/>
      <c r="W1981" s="11"/>
      <c r="X1981" s="11"/>
      <c r="Y1981" s="11"/>
      <c r="Z1981" s="11"/>
      <c r="AA1981" s="11"/>
      <c r="AB1981" s="11"/>
      <c r="AC1981" s="11"/>
    </row>
    <row r="1982" spans="1:29" x14ac:dyDescent="0.3">
      <c r="A1982" s="11"/>
      <c r="B1982" s="11"/>
      <c r="C1982" s="11"/>
      <c r="D1982" s="11"/>
      <c r="E1982" s="11"/>
      <c r="F1982" s="11"/>
      <c r="G1982" s="11"/>
      <c r="H1982" s="11"/>
      <c r="I1982" s="11"/>
      <c r="J1982" s="11"/>
      <c r="K1982" s="11"/>
      <c r="L1982" s="11"/>
      <c r="M1982" s="11"/>
      <c r="N1982" s="11"/>
      <c r="O1982" s="11"/>
      <c r="P1982" s="11"/>
      <c r="Q1982" s="11"/>
      <c r="R1982" s="11"/>
      <c r="S1982" s="11"/>
      <c r="T1982" s="11"/>
      <c r="U1982" s="11"/>
      <c r="V1982" s="11"/>
      <c r="W1982" s="11"/>
      <c r="X1982" s="11"/>
      <c r="Y1982" s="11"/>
      <c r="Z1982" s="11"/>
      <c r="AA1982" s="11"/>
      <c r="AB1982" s="11"/>
      <c r="AC1982" s="11"/>
    </row>
    <row r="1983" spans="1:29" x14ac:dyDescent="0.3">
      <c r="A1983" s="11"/>
      <c r="B1983" s="11"/>
      <c r="C1983" s="11"/>
      <c r="D1983" s="11"/>
      <c r="E1983" s="11"/>
      <c r="F1983" s="11"/>
      <c r="G1983" s="11"/>
      <c r="H1983" s="11"/>
      <c r="I1983" s="11"/>
      <c r="J1983" s="11"/>
      <c r="K1983" s="11"/>
      <c r="L1983" s="11"/>
      <c r="M1983" s="11"/>
      <c r="N1983" s="11"/>
      <c r="O1983" s="11"/>
      <c r="P1983" s="11"/>
      <c r="Q1983" s="11"/>
      <c r="R1983" s="11"/>
      <c r="S1983" s="11"/>
      <c r="T1983" s="11"/>
      <c r="U1983" s="11"/>
      <c r="V1983" s="11"/>
      <c r="W1983" s="11"/>
      <c r="X1983" s="11"/>
      <c r="Y1983" s="11"/>
      <c r="Z1983" s="11"/>
      <c r="AA1983" s="11"/>
      <c r="AB1983" s="11"/>
      <c r="AC1983" s="11"/>
    </row>
    <row r="1984" spans="1:29" x14ac:dyDescent="0.3">
      <c r="A1984" s="11"/>
      <c r="B1984" s="11"/>
      <c r="C1984" s="11"/>
      <c r="D1984" s="11"/>
      <c r="E1984" s="11"/>
      <c r="F1984" s="11"/>
      <c r="G1984" s="11"/>
      <c r="H1984" s="11"/>
      <c r="I1984" s="11"/>
      <c r="J1984" s="11"/>
      <c r="K1984" s="11"/>
      <c r="L1984" s="11"/>
      <c r="M1984" s="11"/>
      <c r="N1984" s="11"/>
      <c r="O1984" s="11"/>
      <c r="P1984" s="11"/>
      <c r="Q1984" s="11"/>
      <c r="R1984" s="11"/>
      <c r="S1984" s="11"/>
      <c r="T1984" s="11"/>
      <c r="U1984" s="11"/>
      <c r="V1984" s="11"/>
      <c r="W1984" s="11"/>
      <c r="X1984" s="11"/>
      <c r="Y1984" s="11"/>
      <c r="Z1984" s="11"/>
      <c r="AA1984" s="11"/>
      <c r="AB1984" s="11"/>
      <c r="AC1984" s="11"/>
    </row>
    <row r="1985" spans="1:29" x14ac:dyDescent="0.3">
      <c r="A1985" s="11"/>
      <c r="B1985" s="11"/>
      <c r="C1985" s="11"/>
      <c r="D1985" s="11"/>
      <c r="E1985" s="11"/>
      <c r="F1985" s="11"/>
      <c r="G1985" s="11"/>
      <c r="H1985" s="11"/>
      <c r="I1985" s="11"/>
      <c r="J1985" s="11"/>
      <c r="K1985" s="11"/>
      <c r="L1985" s="11"/>
      <c r="M1985" s="11"/>
      <c r="N1985" s="11"/>
      <c r="O1985" s="11"/>
      <c r="P1985" s="11"/>
      <c r="Q1985" s="11"/>
      <c r="R1985" s="11"/>
      <c r="S1985" s="11"/>
      <c r="T1985" s="11"/>
      <c r="U1985" s="11"/>
      <c r="V1985" s="11"/>
      <c r="W1985" s="11"/>
      <c r="X1985" s="11"/>
      <c r="Y1985" s="11"/>
      <c r="Z1985" s="11"/>
      <c r="AA1985" s="11"/>
      <c r="AB1985" s="11"/>
      <c r="AC1985" s="11"/>
    </row>
    <row r="1986" spans="1:29" x14ac:dyDescent="0.3">
      <c r="A1986" s="11"/>
      <c r="B1986" s="11"/>
      <c r="C1986" s="11"/>
      <c r="D1986" s="11"/>
      <c r="E1986" s="11"/>
      <c r="F1986" s="11"/>
      <c r="G1986" s="11"/>
      <c r="H1986" s="11"/>
      <c r="I1986" s="11"/>
      <c r="J1986" s="11"/>
      <c r="K1986" s="11"/>
      <c r="L1986" s="11"/>
      <c r="M1986" s="11"/>
      <c r="N1986" s="11"/>
      <c r="O1986" s="11"/>
      <c r="P1986" s="11"/>
      <c r="Q1986" s="11"/>
      <c r="R1986" s="11"/>
      <c r="S1986" s="11"/>
      <c r="T1986" s="11"/>
      <c r="U1986" s="11"/>
      <c r="V1986" s="11"/>
      <c r="W1986" s="11"/>
      <c r="X1986" s="11"/>
      <c r="Y1986" s="11"/>
      <c r="Z1986" s="11"/>
      <c r="AA1986" s="11"/>
      <c r="AB1986" s="11"/>
      <c r="AC1986" s="11"/>
    </row>
    <row r="1987" spans="1:29" x14ac:dyDescent="0.3">
      <c r="A1987" s="11"/>
      <c r="B1987" s="11"/>
      <c r="C1987" s="11"/>
      <c r="D1987" s="11"/>
      <c r="E1987" s="11"/>
      <c r="F1987" s="11"/>
      <c r="G1987" s="11"/>
      <c r="H1987" s="11"/>
      <c r="I1987" s="11"/>
      <c r="J1987" s="11"/>
      <c r="K1987" s="11"/>
      <c r="L1987" s="11"/>
      <c r="M1987" s="11"/>
      <c r="N1987" s="11"/>
      <c r="O1987" s="11"/>
      <c r="P1987" s="11"/>
      <c r="Q1987" s="11"/>
      <c r="R1987" s="11"/>
      <c r="S1987" s="11"/>
      <c r="T1987" s="11"/>
      <c r="U1987" s="11"/>
      <c r="V1987" s="11"/>
      <c r="W1987" s="11"/>
      <c r="X1987" s="11"/>
      <c r="Y1987" s="11"/>
      <c r="Z1987" s="11"/>
      <c r="AA1987" s="11"/>
      <c r="AB1987" s="11"/>
      <c r="AC1987" s="11"/>
    </row>
    <row r="1988" spans="1:29" x14ac:dyDescent="0.3">
      <c r="A1988" s="11"/>
      <c r="B1988" s="11"/>
      <c r="C1988" s="11"/>
      <c r="D1988" s="11"/>
      <c r="E1988" s="11"/>
      <c r="F1988" s="11"/>
      <c r="G1988" s="11"/>
      <c r="H1988" s="11"/>
      <c r="I1988" s="11"/>
      <c r="J1988" s="11"/>
      <c r="K1988" s="11"/>
      <c r="L1988" s="11"/>
      <c r="M1988" s="11"/>
      <c r="N1988" s="11"/>
      <c r="O1988" s="11"/>
      <c r="P1988" s="11"/>
      <c r="Q1988" s="11"/>
      <c r="R1988" s="11"/>
      <c r="S1988" s="11"/>
      <c r="T1988" s="11"/>
      <c r="U1988" s="11"/>
      <c r="V1988" s="11"/>
      <c r="W1988" s="11"/>
      <c r="X1988" s="11"/>
      <c r="Y1988" s="11"/>
      <c r="Z1988" s="11"/>
      <c r="AA1988" s="11"/>
      <c r="AB1988" s="11"/>
      <c r="AC1988" s="11"/>
    </row>
    <row r="1989" spans="1:29" x14ac:dyDescent="0.3">
      <c r="A1989" s="11"/>
      <c r="B1989" s="11"/>
      <c r="C1989" s="11"/>
      <c r="D1989" s="11"/>
      <c r="E1989" s="11"/>
      <c r="F1989" s="11"/>
      <c r="G1989" s="11"/>
      <c r="H1989" s="11"/>
      <c r="I1989" s="11"/>
      <c r="J1989" s="11"/>
      <c r="K1989" s="11"/>
      <c r="L1989" s="11"/>
      <c r="M1989" s="11"/>
      <c r="N1989" s="11"/>
      <c r="O1989" s="11"/>
      <c r="P1989" s="11"/>
      <c r="Q1989" s="11"/>
      <c r="R1989" s="11"/>
      <c r="S1989" s="11"/>
      <c r="T1989" s="11"/>
      <c r="U1989" s="11"/>
      <c r="V1989" s="11"/>
      <c r="W1989" s="11"/>
      <c r="X1989" s="11"/>
      <c r="Y1989" s="11"/>
      <c r="Z1989" s="11"/>
      <c r="AA1989" s="11"/>
      <c r="AB1989" s="11"/>
      <c r="AC1989" s="11"/>
    </row>
    <row r="1990" spans="1:29" x14ac:dyDescent="0.3">
      <c r="A1990" s="11"/>
      <c r="B1990" s="11"/>
      <c r="C1990" s="11"/>
      <c r="D1990" s="11"/>
      <c r="E1990" s="11"/>
      <c r="F1990" s="11"/>
      <c r="G1990" s="11"/>
      <c r="H1990" s="11"/>
      <c r="I1990" s="11"/>
      <c r="J1990" s="11"/>
      <c r="K1990" s="11"/>
      <c r="L1990" s="11"/>
      <c r="M1990" s="11"/>
      <c r="N1990" s="11"/>
      <c r="O1990" s="11"/>
      <c r="P1990" s="11"/>
      <c r="Q1990" s="11"/>
      <c r="R1990" s="11"/>
      <c r="S1990" s="11"/>
      <c r="T1990" s="11"/>
      <c r="U1990" s="11"/>
      <c r="V1990" s="11"/>
      <c r="W1990" s="11"/>
      <c r="X1990" s="11"/>
      <c r="Y1990" s="11"/>
      <c r="Z1990" s="11"/>
      <c r="AA1990" s="11"/>
      <c r="AB1990" s="11"/>
      <c r="AC1990" s="11"/>
    </row>
    <row r="1991" spans="1:29" x14ac:dyDescent="0.3">
      <c r="A1991" s="11"/>
      <c r="B1991" s="11"/>
      <c r="C1991" s="11"/>
      <c r="D1991" s="11"/>
      <c r="E1991" s="11"/>
      <c r="F1991" s="11"/>
      <c r="G1991" s="11"/>
      <c r="H1991" s="11"/>
      <c r="I1991" s="11"/>
      <c r="J1991" s="11"/>
      <c r="K1991" s="11"/>
      <c r="L1991" s="11"/>
      <c r="M1991" s="11"/>
      <c r="N1991" s="11"/>
      <c r="O1991" s="11"/>
      <c r="P1991" s="11"/>
      <c r="Q1991" s="11"/>
      <c r="R1991" s="11"/>
      <c r="S1991" s="11"/>
      <c r="T1991" s="11"/>
      <c r="U1991" s="11"/>
      <c r="V1991" s="11"/>
      <c r="W1991" s="11"/>
      <c r="X1991" s="11"/>
      <c r="Y1991" s="11"/>
      <c r="Z1991" s="11"/>
      <c r="AA1991" s="11"/>
      <c r="AB1991" s="11"/>
      <c r="AC1991" s="11"/>
    </row>
    <row r="1992" spans="1:29" x14ac:dyDescent="0.3">
      <c r="A1992" s="11"/>
      <c r="B1992" s="11"/>
      <c r="C1992" s="11"/>
      <c r="D1992" s="11"/>
      <c r="E1992" s="11"/>
      <c r="F1992" s="11"/>
      <c r="G1992" s="11"/>
      <c r="H1992" s="11"/>
      <c r="I1992" s="11"/>
      <c r="J1992" s="11"/>
      <c r="K1992" s="11"/>
      <c r="L1992" s="11"/>
      <c r="M1992" s="11"/>
      <c r="N1992" s="11"/>
      <c r="O1992" s="11"/>
      <c r="P1992" s="11"/>
      <c r="Q1992" s="11"/>
      <c r="R1992" s="11"/>
      <c r="S1992" s="11"/>
      <c r="T1992" s="11"/>
      <c r="U1992" s="11"/>
      <c r="V1992" s="11"/>
      <c r="W1992" s="11"/>
      <c r="X1992" s="11"/>
      <c r="Y1992" s="11"/>
      <c r="Z1992" s="11"/>
      <c r="AA1992" s="11"/>
      <c r="AB1992" s="11"/>
      <c r="AC1992" s="11"/>
    </row>
    <row r="1993" spans="1:29" x14ac:dyDescent="0.3">
      <c r="A1993" s="11"/>
      <c r="B1993" s="11"/>
      <c r="C1993" s="11"/>
      <c r="D1993" s="11"/>
      <c r="E1993" s="11"/>
      <c r="F1993" s="11"/>
      <c r="G1993" s="11"/>
      <c r="H1993" s="11"/>
      <c r="I1993" s="11"/>
      <c r="J1993" s="11"/>
      <c r="K1993" s="11"/>
      <c r="L1993" s="11"/>
      <c r="M1993" s="11"/>
      <c r="N1993" s="11"/>
      <c r="O1993" s="11"/>
      <c r="P1993" s="11"/>
      <c r="Q1993" s="11"/>
      <c r="R1993" s="11"/>
      <c r="S1993" s="11"/>
      <c r="T1993" s="11"/>
      <c r="U1993" s="11"/>
      <c r="V1993" s="11"/>
      <c r="W1993" s="11"/>
      <c r="X1993" s="11"/>
      <c r="Y1993" s="11"/>
      <c r="Z1993" s="11"/>
      <c r="AA1993" s="11"/>
      <c r="AB1993" s="11"/>
      <c r="AC1993" s="11"/>
    </row>
    <row r="1994" spans="1:29" x14ac:dyDescent="0.3">
      <c r="A1994" s="11"/>
      <c r="B1994" s="11"/>
      <c r="C1994" s="11"/>
      <c r="D1994" s="11"/>
      <c r="E1994" s="11"/>
      <c r="F1994" s="11"/>
      <c r="G1994" s="11"/>
      <c r="H1994" s="11"/>
      <c r="I1994" s="11"/>
      <c r="J1994" s="11"/>
      <c r="K1994" s="11"/>
      <c r="L1994" s="11"/>
      <c r="M1994" s="11"/>
      <c r="N1994" s="11"/>
      <c r="O1994" s="11"/>
      <c r="P1994" s="11"/>
      <c r="Q1994" s="11"/>
      <c r="R1994" s="11"/>
      <c r="S1994" s="11"/>
      <c r="T1994" s="11"/>
      <c r="U1994" s="11"/>
      <c r="V1994" s="11"/>
      <c r="W1994" s="11"/>
      <c r="X1994" s="11"/>
      <c r="Y1994" s="11"/>
      <c r="Z1994" s="11"/>
      <c r="AA1994" s="11"/>
      <c r="AB1994" s="11"/>
      <c r="AC1994" s="11"/>
    </row>
    <row r="1995" spans="1:29" x14ac:dyDescent="0.3">
      <c r="A1995" s="11"/>
      <c r="B1995" s="11"/>
      <c r="C1995" s="11"/>
      <c r="D1995" s="11"/>
      <c r="E1995" s="11"/>
      <c r="F1995" s="11"/>
      <c r="G1995" s="11"/>
      <c r="H1995" s="11"/>
      <c r="I1995" s="11"/>
      <c r="J1995" s="11"/>
      <c r="K1995" s="11"/>
      <c r="L1995" s="11"/>
      <c r="M1995" s="11"/>
      <c r="N1995" s="11"/>
      <c r="O1995" s="11"/>
      <c r="P1995" s="11"/>
      <c r="Q1995" s="11"/>
      <c r="R1995" s="11"/>
      <c r="S1995" s="11"/>
      <c r="T1995" s="11"/>
      <c r="U1995" s="11"/>
      <c r="V1995" s="11"/>
      <c r="W1995" s="11"/>
      <c r="X1995" s="11"/>
      <c r="Y1995" s="11"/>
      <c r="Z1995" s="11"/>
      <c r="AA1995" s="11"/>
      <c r="AB1995" s="11"/>
      <c r="AC1995" s="11"/>
    </row>
    <row r="1996" spans="1:29" x14ac:dyDescent="0.3">
      <c r="A1996" s="11"/>
      <c r="B1996" s="11"/>
      <c r="C1996" s="11"/>
      <c r="D1996" s="11"/>
      <c r="E1996" s="11"/>
      <c r="F1996" s="11"/>
      <c r="G1996" s="11"/>
      <c r="H1996" s="11"/>
      <c r="I1996" s="11"/>
      <c r="J1996" s="11"/>
      <c r="K1996" s="11"/>
      <c r="L1996" s="11"/>
      <c r="M1996" s="11"/>
      <c r="N1996" s="11"/>
      <c r="O1996" s="11"/>
      <c r="P1996" s="11"/>
      <c r="Q1996" s="11"/>
      <c r="R1996" s="11"/>
      <c r="S1996" s="11"/>
      <c r="T1996" s="11"/>
      <c r="U1996" s="11"/>
      <c r="V1996" s="11"/>
      <c r="W1996" s="11"/>
      <c r="X1996" s="11"/>
      <c r="Y1996" s="11"/>
      <c r="Z1996" s="11"/>
      <c r="AA1996" s="11"/>
      <c r="AB1996" s="11"/>
      <c r="AC1996" s="11"/>
    </row>
    <row r="1997" spans="1:29" x14ac:dyDescent="0.3">
      <c r="A1997" s="11"/>
      <c r="B1997" s="11"/>
      <c r="C1997" s="11"/>
      <c r="D1997" s="11"/>
      <c r="E1997" s="11"/>
      <c r="F1997" s="11"/>
      <c r="G1997" s="11"/>
      <c r="H1997" s="11"/>
      <c r="I1997" s="11"/>
      <c r="J1997" s="11"/>
      <c r="K1997" s="11"/>
      <c r="L1997" s="11"/>
      <c r="M1997" s="11"/>
      <c r="N1997" s="11"/>
      <c r="O1997" s="11"/>
      <c r="P1997" s="11"/>
      <c r="Q1997" s="11"/>
      <c r="R1997" s="11"/>
      <c r="S1997" s="11"/>
      <c r="T1997" s="11"/>
      <c r="U1997" s="11"/>
      <c r="V1997" s="11"/>
      <c r="W1997" s="11"/>
      <c r="X1997" s="11"/>
      <c r="Y1997" s="11"/>
      <c r="Z1997" s="11"/>
      <c r="AA1997" s="11"/>
      <c r="AB1997" s="11"/>
      <c r="AC1997" s="11"/>
    </row>
    <row r="1998" spans="1:29" x14ac:dyDescent="0.3">
      <c r="A1998" s="11"/>
      <c r="B1998" s="11"/>
      <c r="C1998" s="11"/>
      <c r="D1998" s="11"/>
      <c r="E1998" s="11"/>
      <c r="F1998" s="11"/>
      <c r="G1998" s="11"/>
      <c r="H1998" s="11"/>
      <c r="I1998" s="11"/>
      <c r="J1998" s="11"/>
      <c r="K1998" s="11"/>
      <c r="L1998" s="11"/>
      <c r="M1998" s="11"/>
      <c r="N1998" s="11"/>
      <c r="O1998" s="11"/>
      <c r="P1998" s="11"/>
      <c r="Q1998" s="11"/>
      <c r="R1998" s="11"/>
      <c r="S1998" s="11"/>
      <c r="T1998" s="11"/>
      <c r="U1998" s="11"/>
      <c r="V1998" s="11"/>
      <c r="W1998" s="11"/>
      <c r="X1998" s="11"/>
      <c r="Y1998" s="11"/>
      <c r="Z1998" s="11"/>
      <c r="AA1998" s="11"/>
      <c r="AB1998" s="11"/>
      <c r="AC1998" s="11"/>
    </row>
    <row r="1999" spans="1:29" x14ac:dyDescent="0.3">
      <c r="A1999" s="11"/>
      <c r="B1999" s="11"/>
      <c r="C1999" s="11"/>
      <c r="D1999" s="11"/>
      <c r="E1999" s="11"/>
      <c r="F1999" s="11"/>
      <c r="G1999" s="11"/>
      <c r="H1999" s="11"/>
      <c r="I1999" s="11"/>
      <c r="J1999" s="11"/>
      <c r="K1999" s="11"/>
      <c r="L1999" s="11"/>
      <c r="M1999" s="11"/>
      <c r="N1999" s="11"/>
      <c r="O1999" s="11"/>
      <c r="P1999" s="11"/>
      <c r="Q1999" s="11"/>
      <c r="R1999" s="11"/>
      <c r="S1999" s="11"/>
      <c r="T1999" s="11"/>
      <c r="U1999" s="11"/>
      <c r="V1999" s="11"/>
      <c r="W1999" s="11"/>
      <c r="X1999" s="11"/>
      <c r="Y1999" s="11"/>
      <c r="Z1999" s="11"/>
      <c r="AA1999" s="11"/>
      <c r="AB1999" s="11"/>
      <c r="AC1999" s="11"/>
    </row>
    <row r="2000" spans="1:29" x14ac:dyDescent="0.3">
      <c r="A2000" s="11"/>
      <c r="B2000" s="11"/>
      <c r="C2000" s="11"/>
      <c r="D2000" s="11"/>
      <c r="E2000" s="11"/>
      <c r="F2000" s="11"/>
      <c r="G2000" s="11"/>
      <c r="H2000" s="11"/>
      <c r="I2000" s="11"/>
      <c r="J2000" s="11"/>
      <c r="K2000" s="11"/>
      <c r="L2000" s="11"/>
      <c r="M2000" s="11"/>
      <c r="N2000" s="11"/>
      <c r="O2000" s="11"/>
      <c r="P2000" s="11"/>
      <c r="Q2000" s="11"/>
      <c r="R2000" s="11"/>
      <c r="S2000" s="11"/>
      <c r="T2000" s="11"/>
      <c r="U2000" s="11"/>
      <c r="V2000" s="11"/>
      <c r="W2000" s="11"/>
      <c r="X2000" s="11"/>
      <c r="Y2000" s="11"/>
      <c r="Z2000" s="11"/>
      <c r="AA2000" s="11"/>
      <c r="AB2000" s="11"/>
      <c r="AC2000" s="11"/>
    </row>
    <row r="2001" spans="1:29" x14ac:dyDescent="0.3">
      <c r="A2001" s="11"/>
      <c r="B2001" s="11"/>
      <c r="C2001" s="11"/>
      <c r="D2001" s="11"/>
      <c r="E2001" s="11"/>
      <c r="F2001" s="11"/>
      <c r="G2001" s="11"/>
      <c r="H2001" s="11"/>
      <c r="I2001" s="11"/>
      <c r="J2001" s="11"/>
      <c r="K2001" s="11"/>
      <c r="L2001" s="11"/>
      <c r="M2001" s="11"/>
      <c r="N2001" s="11"/>
      <c r="O2001" s="11"/>
      <c r="P2001" s="11"/>
      <c r="Q2001" s="11"/>
      <c r="R2001" s="11"/>
      <c r="S2001" s="11"/>
      <c r="T2001" s="11"/>
      <c r="U2001" s="11"/>
      <c r="V2001" s="11"/>
      <c r="W2001" s="11"/>
      <c r="X2001" s="11"/>
      <c r="Y2001" s="11"/>
      <c r="Z2001" s="11"/>
      <c r="AA2001" s="11"/>
      <c r="AB2001" s="11"/>
      <c r="AC2001" s="11"/>
    </row>
    <row r="2002" spans="1:29" x14ac:dyDescent="0.3">
      <c r="A2002" s="11"/>
      <c r="B2002" s="11"/>
      <c r="C2002" s="11"/>
      <c r="D2002" s="11"/>
      <c r="E2002" s="11"/>
      <c r="F2002" s="11"/>
      <c r="G2002" s="11"/>
      <c r="H2002" s="11"/>
      <c r="I2002" s="11"/>
      <c r="J2002" s="11"/>
      <c r="K2002" s="11"/>
      <c r="L2002" s="11"/>
      <c r="M2002" s="11"/>
      <c r="N2002" s="11"/>
      <c r="O2002" s="11"/>
      <c r="P2002" s="11"/>
      <c r="Q2002" s="11"/>
      <c r="R2002" s="11"/>
      <c r="S2002" s="11"/>
      <c r="T2002" s="11"/>
      <c r="U2002" s="11"/>
      <c r="V2002" s="11"/>
      <c r="W2002" s="11"/>
      <c r="X2002" s="11"/>
      <c r="Y2002" s="11"/>
      <c r="Z2002" s="11"/>
      <c r="AA2002" s="11"/>
      <c r="AB2002" s="11"/>
      <c r="AC2002" s="11"/>
    </row>
    <row r="2003" spans="1:29" x14ac:dyDescent="0.3">
      <c r="A2003" s="11"/>
      <c r="B2003" s="11"/>
      <c r="C2003" s="11"/>
      <c r="D2003" s="11"/>
      <c r="E2003" s="11"/>
      <c r="F2003" s="11"/>
      <c r="G2003" s="11"/>
      <c r="H2003" s="11"/>
      <c r="I2003" s="11"/>
      <c r="J2003" s="11"/>
      <c r="K2003" s="11"/>
      <c r="L2003" s="11"/>
      <c r="M2003" s="11"/>
      <c r="N2003" s="11"/>
      <c r="O2003" s="11"/>
      <c r="P2003" s="11"/>
      <c r="Q2003" s="11"/>
      <c r="R2003" s="11"/>
      <c r="S2003" s="11"/>
      <c r="T2003" s="11"/>
      <c r="U2003" s="11"/>
      <c r="V2003" s="11"/>
      <c r="W2003" s="11"/>
      <c r="X2003" s="11"/>
      <c r="Y2003" s="11"/>
      <c r="Z2003" s="11"/>
      <c r="AA2003" s="11"/>
      <c r="AB2003" s="11"/>
      <c r="AC2003" s="11"/>
    </row>
    <row r="2004" spans="1:29" x14ac:dyDescent="0.3">
      <c r="A2004" s="11"/>
      <c r="B2004" s="11"/>
      <c r="C2004" s="11"/>
      <c r="D2004" s="11"/>
      <c r="E2004" s="11"/>
      <c r="F2004" s="11"/>
      <c r="G2004" s="11"/>
      <c r="H2004" s="11"/>
      <c r="I2004" s="11"/>
      <c r="J2004" s="11"/>
      <c r="K2004" s="11"/>
      <c r="L2004" s="11"/>
      <c r="M2004" s="11"/>
      <c r="N2004" s="11"/>
      <c r="O2004" s="11"/>
      <c r="P2004" s="11"/>
      <c r="Q2004" s="11"/>
      <c r="R2004" s="11"/>
      <c r="S2004" s="11"/>
      <c r="T2004" s="11"/>
      <c r="U2004" s="11"/>
      <c r="V2004" s="11"/>
      <c r="W2004" s="11"/>
      <c r="X2004" s="11"/>
      <c r="Y2004" s="11"/>
      <c r="Z2004" s="11"/>
      <c r="AA2004" s="11"/>
      <c r="AB2004" s="11"/>
      <c r="AC2004" s="11"/>
    </row>
    <row r="2005" spans="1:29" x14ac:dyDescent="0.3">
      <c r="A2005" s="11"/>
      <c r="B2005" s="11"/>
      <c r="C2005" s="11"/>
      <c r="D2005" s="11"/>
      <c r="E2005" s="11"/>
      <c r="F2005" s="11"/>
      <c r="G2005" s="11"/>
      <c r="H2005" s="11"/>
      <c r="I2005" s="11"/>
      <c r="J2005" s="11"/>
      <c r="K2005" s="11"/>
      <c r="L2005" s="11"/>
      <c r="M2005" s="11"/>
      <c r="N2005" s="11"/>
      <c r="O2005" s="11"/>
      <c r="P2005" s="11"/>
      <c r="Q2005" s="11"/>
      <c r="R2005" s="11"/>
      <c r="S2005" s="11"/>
      <c r="T2005" s="11"/>
      <c r="U2005" s="11"/>
      <c r="V2005" s="11"/>
      <c r="W2005" s="11"/>
      <c r="X2005" s="11"/>
      <c r="Y2005" s="11"/>
      <c r="Z2005" s="11"/>
      <c r="AA2005" s="11"/>
      <c r="AB2005" s="11"/>
      <c r="AC2005" s="11"/>
    </row>
    <row r="2006" spans="1:29" x14ac:dyDescent="0.3">
      <c r="A2006" s="11"/>
      <c r="B2006" s="11"/>
      <c r="C2006" s="11"/>
      <c r="D2006" s="11"/>
      <c r="E2006" s="11"/>
      <c r="F2006" s="11"/>
      <c r="G2006" s="11"/>
      <c r="H2006" s="11"/>
      <c r="I2006" s="11"/>
      <c r="J2006" s="11"/>
      <c r="K2006" s="11"/>
      <c r="L2006" s="11"/>
      <c r="M2006" s="11"/>
      <c r="N2006" s="11"/>
      <c r="O2006" s="11"/>
      <c r="P2006" s="11"/>
      <c r="Q2006" s="11"/>
      <c r="R2006" s="11"/>
      <c r="S2006" s="11"/>
      <c r="T2006" s="11"/>
      <c r="U2006" s="11"/>
      <c r="V2006" s="11"/>
      <c r="W2006" s="11"/>
      <c r="X2006" s="11"/>
      <c r="Y2006" s="11"/>
      <c r="Z2006" s="11"/>
      <c r="AA2006" s="11"/>
      <c r="AB2006" s="11"/>
      <c r="AC2006" s="11"/>
    </row>
    <row r="2007" spans="1:29" x14ac:dyDescent="0.3">
      <c r="A2007" s="11"/>
      <c r="B2007" s="11"/>
      <c r="C2007" s="11"/>
      <c r="D2007" s="11"/>
      <c r="E2007" s="11"/>
      <c r="F2007" s="11"/>
      <c r="G2007" s="11"/>
      <c r="H2007" s="11"/>
      <c r="I2007" s="11"/>
      <c r="J2007" s="11"/>
      <c r="K2007" s="11"/>
      <c r="L2007" s="11"/>
      <c r="M2007" s="11"/>
      <c r="N2007" s="11"/>
      <c r="O2007" s="11"/>
      <c r="P2007" s="11"/>
      <c r="Q2007" s="11"/>
      <c r="R2007" s="11"/>
      <c r="S2007" s="11"/>
      <c r="T2007" s="11"/>
      <c r="U2007" s="11"/>
      <c r="V2007" s="11"/>
      <c r="W2007" s="11"/>
      <c r="X2007" s="11"/>
      <c r="Y2007" s="11"/>
      <c r="Z2007" s="11"/>
      <c r="AA2007" s="11"/>
      <c r="AB2007" s="11"/>
      <c r="AC2007" s="11"/>
    </row>
    <row r="2008" spans="1:29" x14ac:dyDescent="0.3">
      <c r="A2008" s="11"/>
      <c r="B2008" s="11"/>
      <c r="C2008" s="11"/>
      <c r="D2008" s="11"/>
      <c r="E2008" s="11"/>
      <c r="F2008" s="11"/>
      <c r="G2008" s="11"/>
      <c r="H2008" s="11"/>
      <c r="I2008" s="11"/>
      <c r="J2008" s="11"/>
      <c r="K2008" s="11"/>
      <c r="L2008" s="11"/>
      <c r="M2008" s="11"/>
      <c r="N2008" s="11"/>
      <c r="O2008" s="11"/>
      <c r="P2008" s="11"/>
      <c r="Q2008" s="11"/>
      <c r="R2008" s="11"/>
      <c r="S2008" s="11"/>
      <c r="T2008" s="11"/>
      <c r="U2008" s="11"/>
      <c r="V2008" s="11"/>
      <c r="W2008" s="11"/>
      <c r="X2008" s="11"/>
      <c r="Y2008" s="11"/>
      <c r="Z2008" s="11"/>
      <c r="AA2008" s="11"/>
      <c r="AB2008" s="11"/>
      <c r="AC2008" s="11"/>
    </row>
    <row r="2009" spans="1:29" x14ac:dyDescent="0.3">
      <c r="A2009" s="11"/>
      <c r="B2009" s="11"/>
      <c r="C2009" s="11"/>
      <c r="D2009" s="11"/>
      <c r="E2009" s="11"/>
      <c r="F2009" s="11"/>
      <c r="G2009" s="11"/>
      <c r="H2009" s="11"/>
      <c r="I2009" s="11"/>
      <c r="J2009" s="11"/>
      <c r="K2009" s="11"/>
      <c r="L2009" s="11"/>
      <c r="M2009" s="11"/>
      <c r="N2009" s="11"/>
      <c r="O2009" s="11"/>
      <c r="P2009" s="11"/>
      <c r="Q2009" s="11"/>
      <c r="R2009" s="11"/>
      <c r="S2009" s="11"/>
      <c r="T2009" s="11"/>
      <c r="U2009" s="11"/>
      <c r="V2009" s="11"/>
      <c r="W2009" s="11"/>
      <c r="X2009" s="11"/>
      <c r="Y2009" s="11"/>
      <c r="Z2009" s="11"/>
      <c r="AA2009" s="11"/>
      <c r="AB2009" s="11"/>
      <c r="AC2009" s="11"/>
    </row>
    <row r="2010" spans="1:29" x14ac:dyDescent="0.3">
      <c r="A2010" s="11"/>
      <c r="B2010" s="11"/>
      <c r="C2010" s="11"/>
      <c r="D2010" s="11"/>
      <c r="E2010" s="11"/>
      <c r="F2010" s="11"/>
      <c r="G2010" s="11"/>
      <c r="H2010" s="11"/>
      <c r="I2010" s="11"/>
      <c r="J2010" s="11"/>
      <c r="K2010" s="11"/>
      <c r="L2010" s="11"/>
      <c r="M2010" s="11"/>
      <c r="N2010" s="11"/>
      <c r="O2010" s="11"/>
      <c r="P2010" s="11"/>
      <c r="Q2010" s="11"/>
      <c r="R2010" s="11"/>
      <c r="S2010" s="11"/>
      <c r="T2010" s="11"/>
      <c r="U2010" s="11"/>
      <c r="V2010" s="11"/>
      <c r="W2010" s="11"/>
      <c r="X2010" s="11"/>
      <c r="Y2010" s="11"/>
      <c r="Z2010" s="11"/>
      <c r="AA2010" s="11"/>
      <c r="AB2010" s="11"/>
      <c r="AC2010" s="11"/>
    </row>
    <row r="2011" spans="1:29" x14ac:dyDescent="0.3">
      <c r="A2011" s="11"/>
      <c r="B2011" s="11"/>
      <c r="C2011" s="11"/>
      <c r="D2011" s="11"/>
      <c r="E2011" s="11"/>
      <c r="F2011" s="11"/>
      <c r="G2011" s="11"/>
      <c r="H2011" s="11"/>
      <c r="I2011" s="11"/>
      <c r="J2011" s="11"/>
      <c r="K2011" s="11"/>
      <c r="L2011" s="11"/>
      <c r="M2011" s="11"/>
      <c r="N2011" s="11"/>
      <c r="O2011" s="11"/>
      <c r="P2011" s="11"/>
      <c r="Q2011" s="11"/>
      <c r="R2011" s="11"/>
      <c r="S2011" s="11"/>
      <c r="T2011" s="11"/>
      <c r="U2011" s="11"/>
      <c r="V2011" s="11"/>
      <c r="W2011" s="11"/>
      <c r="X2011" s="11"/>
      <c r="Y2011" s="11"/>
      <c r="Z2011" s="11"/>
      <c r="AA2011" s="11"/>
      <c r="AB2011" s="11"/>
      <c r="AC2011" s="11"/>
    </row>
    <row r="2012" spans="1:29" x14ac:dyDescent="0.3">
      <c r="A2012" s="11"/>
      <c r="B2012" s="11"/>
      <c r="C2012" s="11"/>
      <c r="D2012" s="11"/>
      <c r="E2012" s="11"/>
      <c r="F2012" s="11"/>
      <c r="G2012" s="11"/>
      <c r="H2012" s="11"/>
      <c r="I2012" s="11"/>
      <c r="J2012" s="11"/>
      <c r="K2012" s="11"/>
      <c r="L2012" s="11"/>
      <c r="M2012" s="11"/>
      <c r="N2012" s="11"/>
      <c r="O2012" s="11"/>
      <c r="P2012" s="11"/>
      <c r="Q2012" s="11"/>
      <c r="R2012" s="11"/>
      <c r="S2012" s="11"/>
      <c r="T2012" s="11"/>
      <c r="U2012" s="11"/>
      <c r="V2012" s="11"/>
      <c r="W2012" s="11"/>
      <c r="X2012" s="11"/>
      <c r="Y2012" s="11"/>
      <c r="Z2012" s="11"/>
      <c r="AA2012" s="11"/>
      <c r="AB2012" s="11"/>
      <c r="AC2012" s="11"/>
    </row>
    <row r="2013" spans="1:29" x14ac:dyDescent="0.3">
      <c r="A2013" s="11"/>
      <c r="B2013" s="11"/>
      <c r="C2013" s="11"/>
      <c r="D2013" s="11"/>
      <c r="E2013" s="11"/>
      <c r="F2013" s="11"/>
      <c r="G2013" s="11"/>
      <c r="H2013" s="11"/>
      <c r="I2013" s="11"/>
      <c r="J2013" s="11"/>
      <c r="K2013" s="11"/>
      <c r="L2013" s="11"/>
      <c r="M2013" s="11"/>
      <c r="N2013" s="11"/>
      <c r="O2013" s="11"/>
      <c r="P2013" s="11"/>
      <c r="Q2013" s="11"/>
      <c r="R2013" s="11"/>
      <c r="S2013" s="11"/>
      <c r="T2013" s="11"/>
      <c r="U2013" s="11"/>
      <c r="V2013" s="11"/>
      <c r="W2013" s="11"/>
      <c r="X2013" s="11"/>
      <c r="Y2013" s="11"/>
      <c r="Z2013" s="11"/>
      <c r="AA2013" s="11"/>
      <c r="AB2013" s="11"/>
      <c r="AC2013" s="11"/>
    </row>
    <row r="2014" spans="1:29" x14ac:dyDescent="0.3">
      <c r="A2014" s="11"/>
      <c r="B2014" s="11"/>
      <c r="C2014" s="11"/>
      <c r="D2014" s="11"/>
      <c r="E2014" s="11"/>
      <c r="F2014" s="11"/>
      <c r="G2014" s="11"/>
      <c r="H2014" s="11"/>
      <c r="I2014" s="11"/>
      <c r="J2014" s="11"/>
      <c r="K2014" s="11"/>
      <c r="L2014" s="11"/>
      <c r="M2014" s="11"/>
      <c r="N2014" s="11"/>
      <c r="O2014" s="11"/>
      <c r="P2014" s="11"/>
      <c r="Q2014" s="11"/>
      <c r="R2014" s="11"/>
      <c r="S2014" s="11"/>
      <c r="T2014" s="11"/>
      <c r="U2014" s="11"/>
      <c r="V2014" s="11"/>
      <c r="W2014" s="11"/>
      <c r="X2014" s="11"/>
      <c r="Y2014" s="11"/>
      <c r="Z2014" s="11"/>
      <c r="AA2014" s="11"/>
      <c r="AB2014" s="11"/>
      <c r="AC2014" s="11"/>
    </row>
    <row r="2015" spans="1:29" x14ac:dyDescent="0.3">
      <c r="A2015" s="11"/>
      <c r="B2015" s="11"/>
      <c r="C2015" s="11"/>
      <c r="D2015" s="11"/>
      <c r="E2015" s="11"/>
      <c r="F2015" s="11"/>
      <c r="G2015" s="11"/>
      <c r="H2015" s="11"/>
      <c r="I2015" s="11"/>
      <c r="J2015" s="11"/>
      <c r="K2015" s="11"/>
      <c r="L2015" s="11"/>
      <c r="M2015" s="11"/>
      <c r="N2015" s="11"/>
      <c r="O2015" s="11"/>
      <c r="P2015" s="11"/>
      <c r="Q2015" s="11"/>
      <c r="R2015" s="11"/>
      <c r="S2015" s="11"/>
      <c r="T2015" s="11"/>
      <c r="U2015" s="11"/>
      <c r="V2015" s="11"/>
      <c r="W2015" s="11"/>
      <c r="X2015" s="11"/>
      <c r="Y2015" s="11"/>
      <c r="Z2015" s="11"/>
      <c r="AA2015" s="11"/>
      <c r="AB2015" s="11"/>
      <c r="AC2015" s="11"/>
    </row>
    <row r="2016" spans="1:29" x14ac:dyDescent="0.3">
      <c r="A2016" s="11"/>
      <c r="B2016" s="11"/>
      <c r="C2016" s="11"/>
      <c r="D2016" s="11"/>
      <c r="E2016" s="11"/>
      <c r="F2016" s="11"/>
      <c r="G2016" s="11"/>
      <c r="H2016" s="11"/>
      <c r="I2016" s="11"/>
      <c r="J2016" s="11"/>
      <c r="K2016" s="11"/>
      <c r="L2016" s="11"/>
      <c r="M2016" s="11"/>
      <c r="N2016" s="11"/>
      <c r="O2016" s="11"/>
      <c r="P2016" s="11"/>
      <c r="Q2016" s="11"/>
      <c r="R2016" s="11"/>
      <c r="S2016" s="11"/>
      <c r="T2016" s="11"/>
      <c r="U2016" s="11"/>
      <c r="V2016" s="11"/>
      <c r="W2016" s="11"/>
      <c r="X2016" s="11"/>
      <c r="Y2016" s="11"/>
      <c r="Z2016" s="11"/>
      <c r="AA2016" s="11"/>
      <c r="AB2016" s="11"/>
      <c r="AC2016" s="11"/>
    </row>
    <row r="2017" spans="1:29" x14ac:dyDescent="0.3">
      <c r="A2017" s="11"/>
      <c r="B2017" s="11"/>
      <c r="C2017" s="11"/>
      <c r="D2017" s="11"/>
      <c r="E2017" s="11"/>
      <c r="F2017" s="11"/>
      <c r="G2017" s="11"/>
      <c r="H2017" s="11"/>
      <c r="I2017" s="11"/>
      <c r="J2017" s="11"/>
      <c r="K2017" s="11"/>
      <c r="L2017" s="11"/>
      <c r="M2017" s="11"/>
      <c r="N2017" s="11"/>
      <c r="O2017" s="11"/>
      <c r="P2017" s="11"/>
      <c r="Q2017" s="11"/>
      <c r="R2017" s="11"/>
      <c r="S2017" s="11"/>
      <c r="T2017" s="11"/>
      <c r="U2017" s="11"/>
      <c r="V2017" s="11"/>
      <c r="W2017" s="11"/>
      <c r="X2017" s="11"/>
      <c r="Y2017" s="11"/>
      <c r="Z2017" s="11"/>
      <c r="AA2017" s="11"/>
      <c r="AB2017" s="11"/>
      <c r="AC2017" s="11"/>
    </row>
    <row r="2018" spans="1:29" x14ac:dyDescent="0.3">
      <c r="A2018" s="11"/>
      <c r="B2018" s="11"/>
      <c r="C2018" s="11"/>
      <c r="D2018" s="11"/>
      <c r="E2018" s="11"/>
      <c r="F2018" s="11"/>
      <c r="G2018" s="11"/>
      <c r="H2018" s="11"/>
      <c r="I2018" s="11"/>
      <c r="J2018" s="11"/>
      <c r="K2018" s="11"/>
      <c r="L2018" s="11"/>
      <c r="M2018" s="11"/>
      <c r="N2018" s="11"/>
      <c r="O2018" s="11"/>
      <c r="P2018" s="11"/>
      <c r="Q2018" s="11"/>
      <c r="R2018" s="11"/>
      <c r="S2018" s="11"/>
      <c r="T2018" s="11"/>
      <c r="U2018" s="11"/>
      <c r="V2018" s="11"/>
      <c r="W2018" s="11"/>
      <c r="X2018" s="11"/>
      <c r="Y2018" s="11"/>
      <c r="Z2018" s="11"/>
      <c r="AA2018" s="11"/>
      <c r="AB2018" s="11"/>
      <c r="AC2018" s="11"/>
    </row>
    <row r="2019" spans="1:29" x14ac:dyDescent="0.3">
      <c r="A2019" s="11"/>
      <c r="B2019" s="11"/>
      <c r="C2019" s="11"/>
      <c r="D2019" s="11"/>
      <c r="E2019" s="11"/>
      <c r="F2019" s="11"/>
      <c r="G2019" s="11"/>
      <c r="H2019" s="11"/>
      <c r="I2019" s="11"/>
      <c r="J2019" s="11"/>
      <c r="K2019" s="11"/>
      <c r="L2019" s="11"/>
      <c r="M2019" s="11"/>
      <c r="N2019" s="11"/>
      <c r="O2019" s="11"/>
      <c r="P2019" s="11"/>
      <c r="Q2019" s="11"/>
      <c r="R2019" s="11"/>
      <c r="S2019" s="11"/>
      <c r="T2019" s="11"/>
      <c r="U2019" s="11"/>
      <c r="V2019" s="11"/>
      <c r="W2019" s="11"/>
      <c r="X2019" s="11"/>
      <c r="Y2019" s="11"/>
      <c r="Z2019" s="11"/>
      <c r="AA2019" s="11"/>
      <c r="AB2019" s="11"/>
      <c r="AC2019" s="11"/>
    </row>
    <row r="2020" spans="1:29" x14ac:dyDescent="0.3">
      <c r="A2020" s="11"/>
      <c r="B2020" s="11"/>
      <c r="C2020" s="11"/>
      <c r="D2020" s="11"/>
      <c r="E2020" s="11"/>
      <c r="F2020" s="11"/>
      <c r="G2020" s="11"/>
      <c r="H2020" s="11"/>
      <c r="I2020" s="11"/>
      <c r="J2020" s="11"/>
      <c r="K2020" s="11"/>
      <c r="L2020" s="11"/>
      <c r="M2020" s="11"/>
      <c r="N2020" s="11"/>
      <c r="O2020" s="11"/>
      <c r="P2020" s="11"/>
      <c r="Q2020" s="11"/>
      <c r="R2020" s="11"/>
      <c r="S2020" s="11"/>
      <c r="T2020" s="11"/>
      <c r="U2020" s="11"/>
      <c r="V2020" s="11"/>
      <c r="W2020" s="11"/>
      <c r="X2020" s="11"/>
      <c r="Y2020" s="11"/>
      <c r="Z2020" s="11"/>
      <c r="AA2020" s="11"/>
      <c r="AB2020" s="11"/>
      <c r="AC2020" s="11"/>
    </row>
    <row r="2021" spans="1:29" x14ac:dyDescent="0.3">
      <c r="A2021" s="11"/>
      <c r="B2021" s="11"/>
      <c r="C2021" s="11"/>
      <c r="D2021" s="11"/>
      <c r="E2021" s="11"/>
      <c r="F2021" s="11"/>
      <c r="G2021" s="11"/>
      <c r="H2021" s="11"/>
      <c r="I2021" s="11"/>
      <c r="J2021" s="11"/>
      <c r="K2021" s="11"/>
      <c r="L2021" s="11"/>
      <c r="M2021" s="11"/>
      <c r="N2021" s="11"/>
      <c r="O2021" s="11"/>
      <c r="P2021" s="11"/>
      <c r="Q2021" s="11"/>
      <c r="R2021" s="11"/>
      <c r="S2021" s="11"/>
      <c r="T2021" s="11"/>
      <c r="U2021" s="11"/>
      <c r="V2021" s="11"/>
      <c r="W2021" s="11"/>
      <c r="X2021" s="11"/>
      <c r="Y2021" s="11"/>
      <c r="Z2021" s="11"/>
      <c r="AA2021" s="11"/>
      <c r="AB2021" s="11"/>
      <c r="AC2021" s="11"/>
    </row>
    <row r="2022" spans="1:29" x14ac:dyDescent="0.3">
      <c r="A2022" s="11"/>
      <c r="B2022" s="11"/>
      <c r="C2022" s="11"/>
      <c r="D2022" s="11"/>
      <c r="E2022" s="11"/>
      <c r="F2022" s="11"/>
      <c r="G2022" s="11"/>
      <c r="H2022" s="11"/>
      <c r="I2022" s="11"/>
      <c r="J2022" s="11"/>
      <c r="K2022" s="11"/>
      <c r="L2022" s="11"/>
      <c r="M2022" s="11"/>
      <c r="N2022" s="11"/>
      <c r="O2022" s="11"/>
      <c r="P2022" s="11"/>
      <c r="Q2022" s="11"/>
      <c r="R2022" s="11"/>
      <c r="S2022" s="11"/>
      <c r="T2022" s="11"/>
      <c r="U2022" s="11"/>
      <c r="V2022" s="11"/>
      <c r="W2022" s="11"/>
      <c r="X2022" s="11"/>
      <c r="Y2022" s="11"/>
      <c r="Z2022" s="11"/>
      <c r="AA2022" s="11"/>
      <c r="AB2022" s="11"/>
      <c r="AC2022" s="11"/>
    </row>
    <row r="2023" spans="1:29" x14ac:dyDescent="0.3">
      <c r="A2023" s="11"/>
      <c r="B2023" s="11"/>
      <c r="C2023" s="11"/>
      <c r="D2023" s="11"/>
      <c r="E2023" s="11"/>
      <c r="F2023" s="11"/>
      <c r="G2023" s="11"/>
      <c r="H2023" s="11"/>
      <c r="I2023" s="11"/>
      <c r="J2023" s="11"/>
      <c r="K2023" s="11"/>
      <c r="L2023" s="11"/>
      <c r="M2023" s="11"/>
      <c r="N2023" s="11"/>
      <c r="O2023" s="11"/>
      <c r="P2023" s="11"/>
      <c r="Q2023" s="11"/>
      <c r="R2023" s="11"/>
      <c r="S2023" s="11"/>
      <c r="T2023" s="11"/>
      <c r="U2023" s="11"/>
      <c r="V2023" s="11"/>
      <c r="W2023" s="11"/>
      <c r="X2023" s="11"/>
      <c r="Y2023" s="11"/>
      <c r="Z2023" s="11"/>
      <c r="AA2023" s="11"/>
      <c r="AB2023" s="11"/>
      <c r="AC2023" s="11"/>
    </row>
    <row r="2024" spans="1:29" x14ac:dyDescent="0.3">
      <c r="A2024" s="11"/>
      <c r="B2024" s="11"/>
      <c r="C2024" s="11"/>
      <c r="D2024" s="11"/>
      <c r="E2024" s="11"/>
      <c r="F2024" s="11"/>
      <c r="G2024" s="11"/>
      <c r="H2024" s="11"/>
      <c r="I2024" s="11"/>
      <c r="J2024" s="11"/>
      <c r="K2024" s="11"/>
      <c r="L2024" s="11"/>
      <c r="M2024" s="11"/>
      <c r="N2024" s="11"/>
      <c r="O2024" s="11"/>
      <c r="P2024" s="11"/>
      <c r="Q2024" s="11"/>
      <c r="R2024" s="11"/>
      <c r="S2024" s="11"/>
      <c r="T2024" s="11"/>
      <c r="U2024" s="11"/>
      <c r="V2024" s="11"/>
      <c r="W2024" s="11"/>
      <c r="X2024" s="11"/>
      <c r="Y2024" s="11"/>
      <c r="Z2024" s="11"/>
      <c r="AA2024" s="11"/>
      <c r="AB2024" s="11"/>
      <c r="AC2024" s="11"/>
    </row>
    <row r="2025" spans="1:29" x14ac:dyDescent="0.3">
      <c r="A2025" s="11"/>
      <c r="B2025" s="11"/>
      <c r="C2025" s="11"/>
      <c r="D2025" s="11"/>
      <c r="E2025" s="11"/>
      <c r="F2025" s="11"/>
      <c r="G2025" s="11"/>
      <c r="H2025" s="11"/>
      <c r="I2025" s="11"/>
      <c r="J2025" s="11"/>
      <c r="K2025" s="11"/>
      <c r="L2025" s="11"/>
      <c r="M2025" s="11"/>
      <c r="N2025" s="11"/>
      <c r="O2025" s="11"/>
      <c r="P2025" s="11"/>
      <c r="Q2025" s="11"/>
      <c r="R2025" s="11"/>
      <c r="S2025" s="11"/>
      <c r="T2025" s="11"/>
      <c r="U2025" s="11"/>
      <c r="V2025" s="11"/>
      <c r="W2025" s="11"/>
      <c r="X2025" s="11"/>
      <c r="Y2025" s="11"/>
      <c r="Z2025" s="11"/>
      <c r="AA2025" s="11"/>
      <c r="AB2025" s="11"/>
      <c r="AC2025" s="11"/>
    </row>
    <row r="2026" spans="1:29" x14ac:dyDescent="0.3">
      <c r="A2026" s="11"/>
      <c r="B2026" s="11"/>
      <c r="C2026" s="11"/>
      <c r="D2026" s="11"/>
      <c r="E2026" s="11"/>
      <c r="F2026" s="11"/>
      <c r="G2026" s="11"/>
      <c r="H2026" s="11"/>
      <c r="I2026" s="11"/>
      <c r="J2026" s="11"/>
      <c r="K2026" s="11"/>
      <c r="L2026" s="11"/>
      <c r="M2026" s="11"/>
      <c r="N2026" s="11"/>
      <c r="O2026" s="11"/>
      <c r="P2026" s="11"/>
      <c r="Q2026" s="11"/>
      <c r="R2026" s="11"/>
      <c r="S2026" s="11"/>
      <c r="T2026" s="11"/>
      <c r="U2026" s="11"/>
      <c r="V2026" s="11"/>
      <c r="W2026" s="11"/>
      <c r="X2026" s="11"/>
      <c r="Y2026" s="11"/>
      <c r="Z2026" s="11"/>
      <c r="AA2026" s="11"/>
      <c r="AB2026" s="11"/>
      <c r="AC2026" s="11"/>
    </row>
    <row r="2027" spans="1:29" x14ac:dyDescent="0.3">
      <c r="A2027" s="11"/>
      <c r="B2027" s="11"/>
      <c r="C2027" s="11"/>
      <c r="D2027" s="11"/>
      <c r="E2027" s="11"/>
      <c r="F2027" s="11"/>
      <c r="G2027" s="11"/>
      <c r="H2027" s="11"/>
      <c r="I2027" s="11"/>
      <c r="J2027" s="11"/>
      <c r="K2027" s="11"/>
      <c r="L2027" s="11"/>
      <c r="M2027" s="11"/>
      <c r="N2027" s="11"/>
      <c r="O2027" s="11"/>
      <c r="P2027" s="11"/>
      <c r="Q2027" s="11"/>
      <c r="R2027" s="11"/>
      <c r="S2027" s="11"/>
      <c r="T2027" s="11"/>
      <c r="U2027" s="11"/>
      <c r="V2027" s="11"/>
      <c r="W2027" s="11"/>
      <c r="X2027" s="11"/>
      <c r="Y2027" s="11"/>
      <c r="Z2027" s="11"/>
      <c r="AA2027" s="11"/>
      <c r="AB2027" s="11"/>
      <c r="AC2027" s="11"/>
    </row>
    <row r="2028" spans="1:29" x14ac:dyDescent="0.3">
      <c r="A2028" s="11"/>
      <c r="B2028" s="11"/>
      <c r="C2028" s="11"/>
      <c r="D2028" s="11"/>
      <c r="E2028" s="11"/>
      <c r="F2028" s="11"/>
      <c r="G2028" s="11"/>
      <c r="H2028" s="11"/>
      <c r="I2028" s="11"/>
      <c r="J2028" s="11"/>
      <c r="K2028" s="11"/>
      <c r="L2028" s="11"/>
      <c r="M2028" s="11"/>
      <c r="N2028" s="11"/>
      <c r="O2028" s="11"/>
      <c r="P2028" s="11"/>
      <c r="Q2028" s="11"/>
      <c r="R2028" s="11"/>
      <c r="S2028" s="11"/>
      <c r="T2028" s="11"/>
      <c r="U2028" s="11"/>
      <c r="V2028" s="11"/>
      <c r="W2028" s="11"/>
      <c r="X2028" s="11"/>
      <c r="Y2028" s="11"/>
      <c r="Z2028" s="11"/>
      <c r="AA2028" s="11"/>
      <c r="AB2028" s="11"/>
      <c r="AC2028" s="11"/>
    </row>
    <row r="2029" spans="1:29" x14ac:dyDescent="0.3">
      <c r="A2029" s="11"/>
      <c r="B2029" s="11"/>
      <c r="C2029" s="11"/>
      <c r="D2029" s="11"/>
      <c r="E2029" s="11"/>
      <c r="F2029" s="11"/>
      <c r="G2029" s="11"/>
      <c r="H2029" s="11"/>
      <c r="I2029" s="11"/>
      <c r="J2029" s="11"/>
      <c r="K2029" s="11"/>
      <c r="L2029" s="11"/>
      <c r="M2029" s="11"/>
      <c r="N2029" s="11"/>
      <c r="O2029" s="11"/>
      <c r="P2029" s="11"/>
      <c r="Q2029" s="11"/>
      <c r="R2029" s="11"/>
      <c r="S2029" s="11"/>
      <c r="T2029" s="11"/>
      <c r="U2029" s="11"/>
      <c r="V2029" s="11"/>
      <c r="W2029" s="11"/>
      <c r="X2029" s="11"/>
      <c r="Y2029" s="11"/>
      <c r="Z2029" s="11"/>
      <c r="AA2029" s="11"/>
      <c r="AB2029" s="11"/>
      <c r="AC2029" s="11"/>
    </row>
    <row r="2030" spans="1:29" x14ac:dyDescent="0.3">
      <c r="A2030" s="11"/>
      <c r="B2030" s="11"/>
      <c r="C2030" s="11"/>
      <c r="D2030" s="11"/>
      <c r="E2030" s="11"/>
      <c r="F2030" s="11"/>
      <c r="G2030" s="11"/>
      <c r="H2030" s="11"/>
      <c r="I2030" s="11"/>
      <c r="J2030" s="11"/>
      <c r="K2030" s="11"/>
      <c r="L2030" s="11"/>
      <c r="M2030" s="11"/>
      <c r="N2030" s="11"/>
      <c r="O2030" s="11"/>
      <c r="P2030" s="11"/>
      <c r="Q2030" s="11"/>
      <c r="R2030" s="11"/>
      <c r="S2030" s="11"/>
      <c r="T2030" s="11"/>
      <c r="U2030" s="11"/>
      <c r="V2030" s="11"/>
      <c r="W2030" s="11"/>
      <c r="X2030" s="11"/>
      <c r="Y2030" s="11"/>
      <c r="Z2030" s="11"/>
      <c r="AA2030" s="11"/>
      <c r="AB2030" s="11"/>
      <c r="AC2030" s="11"/>
    </row>
    <row r="2031" spans="1:29" x14ac:dyDescent="0.3">
      <c r="A2031" s="11"/>
      <c r="B2031" s="11"/>
      <c r="C2031" s="11"/>
      <c r="D2031" s="11"/>
      <c r="E2031" s="11"/>
      <c r="F2031" s="11"/>
      <c r="G2031" s="11"/>
      <c r="H2031" s="11"/>
      <c r="I2031" s="11"/>
      <c r="J2031" s="11"/>
      <c r="K2031" s="11"/>
      <c r="L2031" s="11"/>
      <c r="M2031" s="11"/>
      <c r="N2031" s="11"/>
      <c r="O2031" s="11"/>
      <c r="P2031" s="11"/>
      <c r="Q2031" s="11"/>
      <c r="R2031" s="11"/>
      <c r="S2031" s="11"/>
      <c r="T2031" s="11"/>
      <c r="U2031" s="11"/>
      <c r="V2031" s="11"/>
      <c r="W2031" s="11"/>
      <c r="X2031" s="11"/>
      <c r="Y2031" s="11"/>
      <c r="Z2031" s="11"/>
      <c r="AA2031" s="11"/>
      <c r="AB2031" s="11"/>
      <c r="AC2031" s="11"/>
    </row>
    <row r="2032" spans="1:29" x14ac:dyDescent="0.3">
      <c r="A2032" s="11"/>
      <c r="B2032" s="11"/>
      <c r="C2032" s="11"/>
      <c r="D2032" s="11"/>
      <c r="E2032" s="11"/>
      <c r="F2032" s="11"/>
      <c r="G2032" s="11"/>
      <c r="H2032" s="11"/>
      <c r="I2032" s="11"/>
      <c r="J2032" s="11"/>
      <c r="K2032" s="11"/>
      <c r="L2032" s="11"/>
      <c r="M2032" s="11"/>
      <c r="N2032" s="11"/>
      <c r="O2032" s="11"/>
      <c r="P2032" s="11"/>
      <c r="Q2032" s="11"/>
      <c r="R2032" s="11"/>
      <c r="S2032" s="11"/>
      <c r="T2032" s="11"/>
      <c r="U2032" s="11"/>
      <c r="V2032" s="11"/>
      <c r="W2032" s="11"/>
      <c r="X2032" s="11"/>
      <c r="Y2032" s="11"/>
      <c r="Z2032" s="11"/>
      <c r="AA2032" s="11"/>
      <c r="AB2032" s="11"/>
      <c r="AC2032" s="11"/>
    </row>
    <row r="2033" spans="1:29" x14ac:dyDescent="0.3">
      <c r="A2033" s="11"/>
      <c r="B2033" s="11"/>
      <c r="C2033" s="11"/>
      <c r="D2033" s="11"/>
      <c r="E2033" s="11"/>
      <c r="F2033" s="11"/>
      <c r="G2033" s="11"/>
      <c r="H2033" s="11"/>
      <c r="I2033" s="11"/>
      <c r="J2033" s="11"/>
      <c r="K2033" s="11"/>
      <c r="L2033" s="11"/>
      <c r="M2033" s="11"/>
      <c r="N2033" s="11"/>
      <c r="O2033" s="11"/>
      <c r="P2033" s="11"/>
      <c r="Q2033" s="11"/>
      <c r="R2033" s="11"/>
      <c r="S2033" s="11"/>
      <c r="T2033" s="11"/>
      <c r="U2033" s="11"/>
      <c r="V2033" s="11"/>
      <c r="W2033" s="11"/>
      <c r="X2033" s="11"/>
      <c r="Y2033" s="11"/>
      <c r="Z2033" s="11"/>
      <c r="AA2033" s="11"/>
      <c r="AB2033" s="11"/>
      <c r="AC2033" s="11"/>
    </row>
    <row r="2034" spans="1:29" x14ac:dyDescent="0.3">
      <c r="A2034" s="11"/>
      <c r="B2034" s="11"/>
      <c r="C2034" s="11"/>
      <c r="D2034" s="11"/>
      <c r="E2034" s="11"/>
      <c r="F2034" s="11"/>
      <c r="G2034" s="11"/>
      <c r="H2034" s="11"/>
      <c r="I2034" s="11"/>
      <c r="J2034" s="11"/>
      <c r="K2034" s="11"/>
      <c r="L2034" s="11"/>
      <c r="M2034" s="11"/>
      <c r="N2034" s="11"/>
      <c r="O2034" s="11"/>
      <c r="P2034" s="11"/>
      <c r="Q2034" s="11"/>
      <c r="R2034" s="11"/>
      <c r="S2034" s="11"/>
      <c r="T2034" s="11"/>
      <c r="U2034" s="11"/>
      <c r="V2034" s="11"/>
      <c r="W2034" s="11"/>
      <c r="X2034" s="11"/>
      <c r="Y2034" s="11"/>
      <c r="Z2034" s="11"/>
      <c r="AA2034" s="11"/>
      <c r="AB2034" s="11"/>
      <c r="AC2034" s="11"/>
    </row>
    <row r="2035" spans="1:29" x14ac:dyDescent="0.3">
      <c r="A2035" s="11"/>
      <c r="B2035" s="11"/>
      <c r="C2035" s="11"/>
      <c r="D2035" s="11"/>
      <c r="E2035" s="11"/>
      <c r="F2035" s="11"/>
      <c r="G2035" s="11"/>
      <c r="H2035" s="11"/>
      <c r="I2035" s="11"/>
      <c r="J2035" s="11"/>
      <c r="K2035" s="11"/>
      <c r="L2035" s="11"/>
      <c r="M2035" s="11"/>
      <c r="N2035" s="11"/>
      <c r="O2035" s="11"/>
      <c r="P2035" s="11"/>
      <c r="Q2035" s="11"/>
      <c r="R2035" s="11"/>
      <c r="S2035" s="11"/>
      <c r="T2035" s="11"/>
      <c r="U2035" s="11"/>
      <c r="V2035" s="11"/>
      <c r="W2035" s="11"/>
      <c r="X2035" s="11"/>
      <c r="Y2035" s="11"/>
      <c r="Z2035" s="11"/>
      <c r="AA2035" s="11"/>
      <c r="AB2035" s="11"/>
      <c r="AC2035" s="11"/>
    </row>
    <row r="2036" spans="1:29" x14ac:dyDescent="0.3">
      <c r="A2036" s="11"/>
      <c r="B2036" s="11"/>
      <c r="C2036" s="11"/>
      <c r="D2036" s="11"/>
      <c r="E2036" s="11"/>
      <c r="F2036" s="11"/>
      <c r="G2036" s="11"/>
      <c r="H2036" s="11"/>
      <c r="I2036" s="11"/>
      <c r="J2036" s="11"/>
      <c r="K2036" s="11"/>
      <c r="L2036" s="11"/>
      <c r="M2036" s="11"/>
      <c r="N2036" s="11"/>
      <c r="O2036" s="11"/>
      <c r="P2036" s="11"/>
      <c r="Q2036" s="11"/>
      <c r="R2036" s="11"/>
      <c r="S2036" s="11"/>
      <c r="T2036" s="11"/>
      <c r="U2036" s="11"/>
      <c r="V2036" s="11"/>
      <c r="W2036" s="11"/>
      <c r="X2036" s="11"/>
      <c r="Y2036" s="11"/>
      <c r="Z2036" s="11"/>
      <c r="AA2036" s="11"/>
      <c r="AB2036" s="11"/>
      <c r="AC2036" s="11"/>
    </row>
    <row r="2037" spans="1:29" x14ac:dyDescent="0.3">
      <c r="A2037" s="11"/>
      <c r="B2037" s="11"/>
      <c r="C2037" s="11"/>
      <c r="D2037" s="11"/>
      <c r="E2037" s="11"/>
      <c r="F2037" s="11"/>
      <c r="G2037" s="11"/>
      <c r="H2037" s="11"/>
      <c r="I2037" s="11"/>
      <c r="J2037" s="11"/>
      <c r="K2037" s="11"/>
      <c r="L2037" s="11"/>
      <c r="M2037" s="11"/>
      <c r="N2037" s="11"/>
      <c r="O2037" s="11"/>
      <c r="P2037" s="11"/>
      <c r="Q2037" s="11"/>
      <c r="R2037" s="11"/>
      <c r="S2037" s="11"/>
      <c r="T2037" s="11"/>
      <c r="U2037" s="11"/>
      <c r="V2037" s="11"/>
      <c r="W2037" s="11"/>
      <c r="X2037" s="11"/>
      <c r="Y2037" s="11"/>
      <c r="Z2037" s="11"/>
      <c r="AA2037" s="11"/>
      <c r="AB2037" s="11"/>
      <c r="AC2037" s="11"/>
    </row>
    <row r="2038" spans="1:29" x14ac:dyDescent="0.3">
      <c r="A2038" s="11"/>
      <c r="B2038" s="11"/>
      <c r="C2038" s="11"/>
      <c r="D2038" s="11"/>
      <c r="E2038" s="11"/>
      <c r="F2038" s="11"/>
      <c r="G2038" s="11"/>
      <c r="H2038" s="11"/>
      <c r="I2038" s="11"/>
      <c r="J2038" s="11"/>
      <c r="K2038" s="11"/>
      <c r="L2038" s="11"/>
      <c r="M2038" s="11"/>
      <c r="N2038" s="11"/>
      <c r="O2038" s="11"/>
      <c r="P2038" s="11"/>
      <c r="Q2038" s="11"/>
      <c r="R2038" s="11"/>
      <c r="S2038" s="11"/>
      <c r="T2038" s="11"/>
      <c r="U2038" s="11"/>
      <c r="V2038" s="11"/>
      <c r="W2038" s="11"/>
      <c r="X2038" s="11"/>
      <c r="Y2038" s="11"/>
      <c r="Z2038" s="11"/>
      <c r="AA2038" s="11"/>
      <c r="AB2038" s="11"/>
      <c r="AC2038" s="11"/>
    </row>
  </sheetData>
  <mergeCells count="1">
    <mergeCell ref="A1:W4"/>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B6AC21D-69B1-4DD8-B6C6-2A08C548F26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Detail2</vt:lpstr>
      <vt:lpstr>pivot</vt:lpstr>
      <vt:lpstr>global_finance_sales_dataset_12</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Nandana P</cp:lastModifiedBy>
  <dcterms:created xsi:type="dcterms:W3CDTF">2026-09-22T12:49:42Z</dcterms:created>
  <dcterms:modified xsi:type="dcterms:W3CDTF">2026-10-20T11:38:28Z</dcterms:modified>
</cp:coreProperties>
</file>